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4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727" r:id="rId7"/>
    <sheet name="Graficos Indicadores" sheetId="735" r:id="rId8"/>
  </sheets>
  <functionGroups builtInGroupCount="18"/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<sst xmlns="http://schemas.openxmlformats.org/spreadsheetml/2006/main" count="1277" uniqueCount="474">
  <si>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</si>
  <si>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</si>
  <si>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</si>
  <si>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</si>
  <si>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</si>
  <si>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</si>
  <si>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</si>
  <si>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</si>
  <si>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</si>
  <si>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</si>
  <si>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</si>
  <si>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</si>
  <si>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</si>
  <si>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</si>
  <si>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</si>
  <si>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</si>
  <si>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</si>
  <si>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</si>
  <si>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</si>
  <si>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</si>
  <si>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</si>
  <si>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</si>
  <si>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</si>
  <si>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</si>
  <si>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</si>
  <si>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</si>
  <si>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</si>
  <si>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</si>
  <si>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</si>
  <si>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</si>
  <si>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</si>
  <si>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</si>
  <si>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</si>
  <si>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</si>
  <si>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</si>
  <si>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</si>
  <si>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</si>
  <si>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</si>
  <si>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</si>
  <si>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</si>
  <si>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</si>
  <si>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</si>
  <si>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</si>
  <si>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</si>
  <si>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</si>
  <si>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</si>
  <si>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</si>
  <si>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</si>
  <si>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</si>
  <si>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</si>
  <si>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</si>
  <si>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</si>
  <si>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</si>
  <si>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</si>
  <si>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</si>
  <si>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</si>
  <si>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</si>
  <si>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</si>
  <si>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</si>
  <si>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</si>
  <si>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</si>
  <si>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</si>
  <si>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</si>
  <si>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</si>
  <si>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</si>
  <si>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</si>
  <si>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</si>
  <si>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</si>
  <si>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</si>
  <si>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</si>
  <si>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</si>
  <si>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</si>
  <si>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</si>
  <si>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</si>
  <si>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</si>
  <si>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</si>
  <si>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</si>
  <si>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</si>
  <si>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</si>
  <si>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</si>
  <si>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</si>
  <si>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</si>
  <si>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</si>
  <si>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</si>
  <si>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</si>
  <si>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</si>
  <si>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</si>
  <si>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</si>
  <si>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</si>
  <si>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</si>
  <si>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</si>
  <si>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</si>
  <si>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</si>
  <si>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</si>
  <si>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</si>
  <si>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</si>
  <si>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</si>
  <si>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</si>
  <si>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</si>
  <si>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</si>
  <si>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</si>
  <si>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</si>
  <si>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</si>
  <si>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</si>
  <si>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</si>
  <si>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</si>
  <si>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</si>
  <si>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</si>
  <si>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</si>
  <si>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</si>
  <si>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</si>
  <si>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</si>
  <si>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</si>
  <si>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</si>
  <si>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</si>
  <si>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</si>
  <si>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</si>
  <si>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</si>
  <si>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</si>
  <si>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</si>
  <si>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</si>
  <si>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</si>
  <si>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</si>
  <si>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</si>
  <si>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</si>
  <si>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</si>
  <si>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</si>
  <si>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</si>
  <si>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</si>
  <si>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</si>
  <si>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</si>
  <si>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</si>
  <si>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</si>
  <si>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</si>
  <si>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</si>
  <si>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</si>
  <si>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</si>
  <si>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</si>
  <si>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</si>
  <si>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</si>
  <si>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</si>
  <si>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</si>
  <si>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</si>
  <si>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</si>
  <si>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</si>
  <si>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</si>
  <si>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</si>
  <si>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</si>
  <si>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</si>
  <si>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</si>
  <si>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</si>
  <si>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</si>
  <si>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</si>
  <si>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</si>
  <si>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</si>
  <si>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</si>
  <si>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</si>
  <si>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</si>
  <si>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</si>
  <si>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</si>
  <si>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</si>
  <si>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</si>
  <si>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</si>
  <si>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</si>
  <si>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</si>
  <si>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</si>
  <si>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</si>
  <si>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</si>
  <si>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</si>
  <si>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</si>
  <si>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</si>
  <si>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</si>
  <si>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</si>
  <si>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</si>
  <si>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</si>
  <si>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</si>
  <si>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</si>
  <si>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</si>
  <si>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</si>
  <si>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</si>
  <si>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</si>
  <si>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</si>
  <si>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</si>
  <si>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</si>
  <si>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</si>
  <si>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</si>
  <si>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</si>
  <si>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</si>
  <si>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</si>
  <si>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</si>
  <si>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</si>
  <si>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</si>
  <si>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</si>
  <si>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</si>
  <si>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</si>
  <si>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</si>
  <si>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</si>
  <si>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</si>
  <si>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</si>
  <si>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</si>
  <si>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</si>
  <si>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</si>
  <si>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</si>
  <si>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</si>
  <si>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</si>
  <si>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</si>
  <si>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</si>
  <si>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</si>
  <si>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</si>
  <si>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</si>
  <si>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</si>
  <si>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</si>
  <si>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</si>
  <si>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</si>
  <si>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</si>
  <si>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</si>
  <si>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</si>
  <si>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</si>
  <si>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</si>
  <si>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</si>
  <si>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</si>
  <si>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</si>
  <si>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</si>
  <si>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</si>
  <si>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</si>
  <si>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</si>
  <si>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</si>
  <si>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</si>
  <si>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</si>
  <si>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</si>
  <si>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</si>
  <si>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</si>
  <si>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</si>
  <si>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</si>
  <si>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</si>
  <si>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</si>
  <si>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</si>
  <si>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</si>
  <si>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</si>
  <si>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</si>
  <si>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</si>
  <si>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</si>
  <si>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</si>
  <si>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</si>
  <si>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</si>
  <si>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</si>
  <si>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</si>
  <si>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</si>
  <si>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</si>
  <si>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</si>
  <si>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</si>
  <si>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</si>
  <si>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</si>
  <si>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</si>
  <si>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</si>
  <si>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</si>
  <si>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</si>
  <si>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</si>
  <si>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</si>
  <si>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</si>
  <si>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</si>
  <si>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</si>
  <si>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</si>
  <si>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</si>
  <si>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</si>
  <si>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</si>
  <si>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</si>
  <si>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</si>
  <si>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</si>
  <si>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</si>
  <si>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</si>
  <si>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</si>
  <si>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</si>
  <si>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</si>
  <si>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</si>
  <si>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</si>
  <si>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</si>
  <si>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</si>
  <si>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</si>
  <si>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</si>
  <si>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</si>
  <si>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</si>
  <si>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</si>
  <si>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</si>
  <si>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</si>
  <si>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</si>
  <si>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</si>
  <si>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</si>
  <si>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</si>
  <si>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</si>
  <si>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</si>
  <si>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</si>
  <si>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</si>
  <si>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</si>
  <si>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</si>
  <si>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</si>
  <si>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</si>
  <si>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</si>
  <si>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</si>
  <si>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</si>
  <si>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</si>
  <si>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</si>
  <si>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</si>
  <si>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</si>
  <si>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</si>
  <si>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</si>
  <si>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</si>
  <si>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</si>
  <si>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</si>
  <si>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</si>
  <si>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</si>
  <si>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</si>
  <si>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</si>
  <si>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</si>
  <si>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</si>
  <si>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</si>
  <si>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</si>
  <si>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</si>
  <si>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</si>
  <si>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</si>
  <si>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</si>
  <si>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</si>
  <si>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</si>
  <si>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</si>
  <si>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</si>
  <si>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</si>
  <si>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</si>
  <si>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</si>
  <si>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</si>
  <si>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</si>
  <si>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</si>
  <si>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</si>
  <si>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</si>
  <si>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</si>
  <si>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</si>
  <si>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</si>
  <si>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</si>
  <si>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</si>
  <si>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</si>
  <si>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</si>
  <si>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</si>
  <si>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</si>
  <si>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</si>
  <si>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</si>
  <si>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</si>
  <si>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</si>
  <si>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</si>
  <si>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</si>
  <si>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</si>
  <si>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</si>
  <si>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</si>
  <si>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</si>
  <si>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</si>
  <si>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</si>
  <si>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</si>
  <si>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</si>
  <si>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</si>
  <si>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</si>
  <si>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</si>
  <si>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</si>
  <si>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</si>
  <si>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</si>
  <si>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</si>
  <si>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</si>
  <si>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</si>
  <si>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</si>
  <si>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</si>
  <si>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</si>
  <si>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</si>
  <si>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</si>
  <si>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</si>
  <si>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</si>
  <si>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</si>
  <si>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</si>
  <si>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</si>
  <si>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</si>
  <si>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</si>
  <si>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</si>
  <si>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</si>
  <si>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</si>
  <si>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</si>
  <si>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</si>
  <si>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</si>
  <si>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</si>
  <si>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</si>
  <si>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</si>
  <si>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</si>
  <si>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</si>
  <si>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</si>
  <si>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</si>
  <si>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</si>
  <si>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</si>
  <si>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</si>
  <si>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</si>
  <si>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</si>
  <si>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</si>
  <si>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</si>
  <si>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</si>
  <si>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</si>
  <si>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</si>
  <si>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</si>
  <si>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</si>
  <si>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</si>
  <si>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</si>
  <si>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</si>
  <si>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</si>
  <si>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</si>
  <si>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</si>
  <si>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</si>
  <si>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</si>
  <si>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</si>
  <si>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</si>
  <si>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CRED</t>
  </si>
  <si>
    <t>RES</t>
  </si>
  <si>
    <t>IMP</t>
  </si>
  <si>
    <t>ORG</t>
  </si>
  <si>
    <t>CAM</t>
  </si>
  <si>
    <t>PG</t>
  </si>
  <si>
    <t>Percepcion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</si>
  <si>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</si>
  <si>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</si>
  <si>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</si>
  <si>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</si>
  <si>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</si>
  <si>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</si>
  <si>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</si>
  <si>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</si>
  <si>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</si>
  <si>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</si>
  <si>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</si>
  <si>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</si>
  <si>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</si>
  <si>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</si>
  <si>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</si>
  <si>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</si>
  <si>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</si>
  <si>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</si>
  <si>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</si>
  <si>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</si>
  <si>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</si>
  <si>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</si>
  <si>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</si>
  <si>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</si>
  <si>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</si>
  <si>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</si>
  <si>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</si>
  <si>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</si>
  <si>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</si>
  <si>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</si>
  <si>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</si>
  <si>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</si>
  <si>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</si>
  <si>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</si>
  <si>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</si>
  <si>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</si>
  <si>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</si>
  <si>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</si>
  <si>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</si>
  <si>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</si>
  <si>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</si>
  <si>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</si>
  <si>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</si>
  <si>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</si>
  <si>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</si>
  <si>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</si>
  <si>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</si>
  <si>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Años - Evolutivos</t>
  </si>
  <si>
    <t>Margen de error (95% Conf.)</t>
  </si>
  <si>
    <t>T3</t>
  </si>
  <si>
    <t>T14</t>
  </si>
  <si>
    <t>U3</t>
  </si>
  <si>
    <t>Y14</t>
  </si>
  <si>
    <t>Z3</t>
  </si>
  <si>
    <t>AB14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</si>
</sst>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72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0" fillId="0" borderId="84" xfId="0" applyBorder="1" applyAlignment="1">
      <alignment vertical="center" wrapText="1"/>
    </xf>
    <xf numFmtId="0" fontId="0" fillId="0" borderId="84" xfId="0" applyBorder="1" applyAlignment="1">
      <alignment horizontal="center" vertical="center" wrapText="1"/>
    </xf>
    <xf numFmtId="0" fontId="0" fillId="0" borderId="85" xfId="0" applyBorder="1" applyAlignment="1">
      <alignment vertical="center" wrapText="1"/>
    </xf>
    <xf numFmtId="0" fontId="0" fillId="0" borderId="85" xfId="0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6" fillId="53" borderId="37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56" fillId="42" borderId="6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56" fillId="42" borderId="80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 wrapText="1"/>
    </xf>
    <xf numFmtId="0" fontId="22" fillId="13" borderId="9" xfId="0" applyFont="1" applyFill="1" applyBorder="1" applyAlignment="1">
      <alignment horizontal="left" vertical="center" wrapText="1" readingOrder="1"/>
    </xf>
    <xf numFmtId="0" fontId="22" fillId="13" borderId="9" xfId="0" applyFont="1" applyFill="1" applyBorder="1" applyAlignment="1">
      <alignment horizontal="center" vertical="center" wrapText="1" readingOrder="1"/>
    </xf>
    <xf numFmtId="0" fontId="26" fillId="0" borderId="9" xfId="0" applyFont="1" applyFill="1" applyBorder="1" applyAlignment="1">
      <alignment horizontal="left" vertical="center" wrapText="1" readingOrder="1"/>
    </xf>
    <xf numFmtId="0" fontId="26" fillId="0" borderId="9" xfId="0" applyFont="1" applyFill="1" applyBorder="1" applyAlignment="1">
      <alignment horizontal="center" vertical="center" wrapText="1" readingOrder="1"/>
    </xf>
    <xf numFmtId="9" fontId="26" fillId="0" borderId="9" xfId="0" applyNumberFormat="1" applyFont="1" applyFill="1" applyBorder="1" applyAlignment="1">
      <alignment horizontal="center" vertical="center" wrapText="1" readingOrder="1"/>
    </xf>
    <xf numFmtId="10" fontId="26" fillId="0" borderId="9" xfId="0" applyNumberFormat="1" applyFont="1" applyFill="1" applyBorder="1" applyAlignment="1">
      <alignment horizontal="center" vertical="center" wrapText="1" readingOrder="1"/>
    </xf>
    <xf numFmtId="16" fontId="26" fillId="0" borderId="9" xfId="0" applyNumberFormat="1" applyFont="1" applyFill="1" applyBorder="1" applyAlignment="1">
      <alignment horizontal="center" vertical="center" wrapText="1" readingOrder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292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2968592"/>
        <c:axId val="2729691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2968592"/>
        <c:axId val="272969152"/>
      </c:lineChart>
      <c:catAx>
        <c:axId val="27296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969152"/>
        <c:crosses val="autoZero"/>
        <c:auto val="1"/>
        <c:lblAlgn val="ctr"/>
        <c:lblOffset val="100"/>
        <c:noMultiLvlLbl val="0"/>
      </c:catAx>
      <c:valAx>
        <c:axId val="272969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296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5176880"/>
        <c:axId val="4051724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76880"/>
        <c:axId val="405172400"/>
      </c:lineChart>
      <c:catAx>
        <c:axId val="405176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5172400"/>
        <c:crosses val="autoZero"/>
        <c:auto val="1"/>
        <c:lblAlgn val="ctr"/>
        <c:lblOffset val="100"/>
        <c:noMultiLvlLbl val="0"/>
      </c:catAx>
      <c:valAx>
        <c:axId val="40517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517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748448"/>
        <c:axId val="2087490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48448"/>
        <c:axId val="208749008"/>
      </c:lineChart>
      <c:catAx>
        <c:axId val="208748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749008"/>
        <c:crosses val="autoZero"/>
        <c:auto val="1"/>
        <c:lblAlgn val="ctr"/>
        <c:lblOffset val="100"/>
        <c:noMultiLvlLbl val="0"/>
      </c:catAx>
      <c:valAx>
        <c:axId val="208749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74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8622096"/>
        <c:axId val="16861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22096"/>
        <c:axId val="168619296"/>
      </c:lineChart>
      <c:catAx>
        <c:axId val="168622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619296"/>
        <c:crosses val="autoZero"/>
        <c:auto val="1"/>
        <c:lblAlgn val="ctr"/>
        <c:lblOffset val="100"/>
        <c:noMultiLvlLbl val="0"/>
      </c:catAx>
      <c:valAx>
        <c:axId val="168619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862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9664560"/>
        <c:axId val="1696589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64560"/>
        <c:axId val="169658960"/>
      </c:lineChart>
      <c:catAx>
        <c:axId val="169664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658960"/>
        <c:crosses val="autoZero"/>
        <c:auto val="1"/>
        <c:lblAlgn val="ctr"/>
        <c:lblOffset val="100"/>
        <c:noMultiLvlLbl val="0"/>
      </c:catAx>
      <c:valAx>
        <c:axId val="169658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66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80937872"/>
        <c:axId val="2809345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937872"/>
        <c:axId val="280934512"/>
      </c:lineChart>
      <c:catAx>
        <c:axId val="28093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80934512"/>
        <c:crosses val="autoZero"/>
        <c:auto val="1"/>
        <c:lblAlgn val="ctr"/>
        <c:lblOffset val="100"/>
        <c:noMultiLvlLbl val="0"/>
      </c:catAx>
      <c:valAx>
        <c:axId val="280934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093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5194240"/>
        <c:axId val="4052015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194240"/>
        <c:axId val="405201520"/>
      </c:lineChart>
      <c:catAx>
        <c:axId val="405194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5201520"/>
        <c:crosses val="autoZero"/>
        <c:auto val="1"/>
        <c:lblAlgn val="ctr"/>
        <c:lblOffset val="100"/>
        <c:noMultiLvlLbl val="0"/>
      </c:catAx>
      <c:valAx>
        <c:axId val="405201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519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66968784"/>
        <c:axId val="2669671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968784"/>
        <c:axId val="266967104"/>
      </c:lineChart>
      <c:catAx>
        <c:axId val="266968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66967104"/>
        <c:crosses val="autoZero"/>
        <c:auto val="1"/>
        <c:lblAlgn val="ctr"/>
        <c:lblOffset val="100"/>
        <c:noMultiLvlLbl val="0"/>
      </c:catAx>
      <c:valAx>
        <c:axId val="266967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96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4599840"/>
        <c:axId val="2145970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99840"/>
        <c:axId val="214597040"/>
      </c:lineChart>
      <c:catAx>
        <c:axId val="214599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597040"/>
        <c:crosses val="autoZero"/>
        <c:auto val="1"/>
        <c:lblAlgn val="ctr"/>
        <c:lblOffset val="100"/>
        <c:noMultiLvlLbl val="0"/>
      </c:catAx>
      <c:valAx>
        <c:axId val="214597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59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8588032"/>
        <c:axId val="2785897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588032"/>
        <c:axId val="278589712"/>
      </c:lineChart>
      <c:catAx>
        <c:axId val="278588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8589712"/>
        <c:crosses val="autoZero"/>
        <c:auto val="1"/>
        <c:lblAlgn val="ctr"/>
        <c:lblOffset val="100"/>
        <c:noMultiLvlLbl val="0"/>
      </c:catAx>
      <c:valAx>
        <c:axId val="278589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858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14134720"/>
        <c:axId val="41414480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34720"/>
        <c:axId val="414144800"/>
      </c:lineChart>
      <c:catAx>
        <c:axId val="414134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4144800"/>
        <c:crosses val="autoZero"/>
        <c:auto val="1"/>
        <c:lblAlgn val="ctr"/>
        <c:lblOffset val="100"/>
        <c:noMultiLvlLbl val="0"/>
      </c:catAx>
      <c:valAx>
        <c:axId val="4141448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141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4135840"/>
        <c:axId val="414131360"/>
      </c:lineChart>
      <c:catAx>
        <c:axId val="41413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131360"/>
        <c:crosses val="autoZero"/>
        <c:auto val="1"/>
        <c:lblAlgn val="ctr"/>
        <c:lblOffset val="100"/>
        <c:noMultiLvlLbl val="0"/>
      </c:catAx>
      <c:valAx>
        <c:axId val="41413136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1413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14130240"/>
        <c:axId val="41414312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30240"/>
        <c:axId val="414143120"/>
      </c:lineChart>
      <c:catAx>
        <c:axId val="414130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4143120"/>
        <c:crosses val="autoZero"/>
        <c:auto val="1"/>
        <c:lblAlgn val="ctr"/>
        <c:lblOffset val="100"/>
        <c:noMultiLvlLbl val="0"/>
      </c:catAx>
      <c:valAx>
        <c:axId val="414143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413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7814896"/>
        <c:axId val="437811536"/>
      </c:lineChart>
      <c:catAx>
        <c:axId val="43781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7811536"/>
        <c:crosses val="autoZero"/>
        <c:auto val="1"/>
        <c:lblAlgn val="ctr"/>
        <c:lblOffset val="100"/>
        <c:noMultiLvlLbl val="0"/>
      </c:catAx>
      <c:valAx>
        <c:axId val="437811536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3781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7824976"/>
        <c:axId val="43780705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24976"/>
        <c:axId val="437807056"/>
      </c:lineChart>
      <c:catAx>
        <c:axId val="437824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807056"/>
        <c:crosses val="autoZero"/>
        <c:auto val="1"/>
        <c:lblAlgn val="ctr"/>
        <c:lblOffset val="100"/>
        <c:noMultiLvlLbl val="0"/>
      </c:catAx>
      <c:valAx>
        <c:axId val="437807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7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7818816"/>
        <c:axId val="43781041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18816"/>
        <c:axId val="437810416"/>
      </c:lineChart>
      <c:catAx>
        <c:axId val="437818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810416"/>
        <c:crosses val="autoZero"/>
        <c:auto val="1"/>
        <c:lblAlgn val="ctr"/>
        <c:lblOffset val="100"/>
        <c:noMultiLvlLbl val="0"/>
      </c:catAx>
      <c:valAx>
        <c:axId val="437810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781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7803696"/>
        <c:axId val="43780257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03696"/>
        <c:axId val="437802576"/>
      </c:lineChart>
      <c:catAx>
        <c:axId val="43780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802576"/>
        <c:crosses val="autoZero"/>
        <c:auto val="1"/>
        <c:lblAlgn val="ctr"/>
        <c:lblOffset val="100"/>
        <c:noMultiLvlLbl val="0"/>
      </c:catAx>
      <c:valAx>
        <c:axId val="437802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78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7818256"/>
        <c:axId val="43781377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18256"/>
        <c:axId val="437813776"/>
      </c:lineChart>
      <c:catAx>
        <c:axId val="437818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813776"/>
        <c:crosses val="autoZero"/>
        <c:auto val="1"/>
        <c:lblAlgn val="ctr"/>
        <c:lblOffset val="100"/>
        <c:noMultiLvlLbl val="0"/>
      </c:catAx>
      <c:valAx>
        <c:axId val="437813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781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7822176"/>
        <c:axId val="4378031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22176"/>
        <c:axId val="437803136"/>
      </c:lineChart>
      <c:catAx>
        <c:axId val="437822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803136"/>
        <c:crosses val="autoZero"/>
        <c:auto val="1"/>
        <c:lblAlgn val="ctr"/>
        <c:lblOffset val="100"/>
        <c:noMultiLvlLbl val="0"/>
      </c:catAx>
      <c:valAx>
        <c:axId val="43780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78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37805376"/>
        <c:axId val="20985468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805376"/>
        <c:axId val="209854688"/>
      </c:lineChart>
      <c:catAx>
        <c:axId val="437805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854688"/>
        <c:crosses val="autoZero"/>
        <c:auto val="1"/>
        <c:lblAlgn val="ctr"/>
        <c:lblOffset val="100"/>
        <c:noMultiLvlLbl val="0"/>
      </c:catAx>
      <c:valAx>
        <c:axId val="209854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7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858048"/>
        <c:axId val="20985972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58048"/>
        <c:axId val="209859728"/>
      </c:lineChart>
      <c:catAx>
        <c:axId val="209858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859728"/>
        <c:crosses val="autoZero"/>
        <c:auto val="1"/>
        <c:lblAlgn val="ctr"/>
        <c:lblOffset val="100"/>
        <c:noMultiLvlLbl val="0"/>
      </c:catAx>
      <c:valAx>
        <c:axId val="209859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85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860848"/>
        <c:axId val="20984684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60848"/>
        <c:axId val="209846848"/>
      </c:lineChart>
      <c:catAx>
        <c:axId val="209860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846848"/>
        <c:crosses val="autoZero"/>
        <c:auto val="1"/>
        <c:lblAlgn val="ctr"/>
        <c:lblOffset val="100"/>
        <c:noMultiLvlLbl val="0"/>
      </c:catAx>
      <c:valAx>
        <c:axId val="20984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86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834528"/>
        <c:axId val="20983900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4528"/>
        <c:axId val="209839008"/>
      </c:lineChart>
      <c:catAx>
        <c:axId val="209834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839008"/>
        <c:crosses val="autoZero"/>
        <c:auto val="1"/>
        <c:lblAlgn val="ctr"/>
        <c:lblOffset val="100"/>
        <c:noMultiLvlLbl val="0"/>
      </c:catAx>
      <c:valAx>
        <c:axId val="209839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83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9848528"/>
        <c:axId val="20984236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48528"/>
        <c:axId val="209842368"/>
      </c:lineChart>
      <c:catAx>
        <c:axId val="209848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842368"/>
        <c:crosses val="autoZero"/>
        <c:auto val="1"/>
        <c:lblAlgn val="ctr"/>
        <c:lblOffset val="100"/>
        <c:noMultiLvlLbl val="0"/>
      </c:catAx>
      <c:valAx>
        <c:axId val="209842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8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71825424"/>
        <c:axId val="271819824"/>
      </c:barChart>
      <c:catAx>
        <c:axId val="271825424"/>
        <c:scaling>
          <c:orientation val="minMax"/>
        </c:scaling>
        <c:delete val="1"/>
        <c:axPos val="l"/>
        <c:majorTickMark val="none"/>
        <c:minorTickMark val="none"/>
        <c:tickLblPos val="nextTo"/>
        <c:crossAx val="271819824"/>
        <c:crosses val="autoZero"/>
        <c:auto val="1"/>
        <c:lblAlgn val="ctr"/>
        <c:lblOffset val="100"/>
        <c:noMultiLvlLbl val="0"/>
      </c:catAx>
      <c:valAx>
        <c:axId val="2718198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718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73</xdr:row>
          <xdr:rowOff>180975</xdr:rowOff>
        </xdr:from>
        <xdr:to>
          <xdr:col>8</xdr:col>
          <xdr:colOff>0</xdr:colOff>
          <xdr:row>75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77</xdr:row>
          <xdr:rowOff>9525</xdr:rowOff>
        </xdr:from>
        <xdr:to>
          <xdr:col>8</xdr:col>
          <xdr:colOff>0</xdr:colOff>
          <xdr:row>79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281</xdr:row>
      <xdr:rowOff>28575</xdr:rowOff>
    </xdr:from>
    <xdr:to>
      <xdr:col>4</xdr:col>
      <xdr:colOff>4983925</xdr:colOff>
      <xdr:row>307</xdr:row>
      <xdr:rowOff>97575</xdr:rowOff>
    </xdr:to>
    <xdr:grpSp>
      <xdr:nvGrpSpPr>
        <xdr:cNvPr id="22" name="GraficoSintesis1"/>
        <xdr:cNvGrpSpPr/>
      </xdr:nvGrpSpPr>
      <xdr:grpSpPr>
        <a:xfrm>
          <a:off x="552450" y="54673500"/>
          <a:ext cx="6946075" cy="6403125"/>
          <a:chOff x="771525" y="546735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546735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547497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55778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56794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57810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588391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9" sqref="F9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206" t="s">
        <v>6</v>
      </c>
      <c r="G2" s="206"/>
      <c r="H2" s="206"/>
      <c r="J2" s="206" t="s">
        <v>7</v>
      </c>
      <c r="K2" s="206"/>
      <c r="L2" s="206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465</v>
      </c>
      <c r="J6" s="6" t="s">
        <v>20</v>
      </c>
      <c r="K6" s="6" t="s">
        <v>8</v>
      </c>
      <c r="L6" s="6" t="s">
        <v>465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27" t="s">
        <v>231</v>
      </c>
      <c r="B1" s="227"/>
      <c r="C1" s="124"/>
      <c r="D1" s="216" t="s">
        <v>174</v>
      </c>
      <c r="E1" s="217"/>
      <c r="F1" s="217"/>
      <c r="G1" s="217"/>
      <c r="H1" s="217"/>
      <c r="I1" s="217"/>
      <c r="J1" s="217"/>
      <c r="K1" s="125"/>
      <c r="L1" s="216" t="s">
        <v>175</v>
      </c>
      <c r="M1" s="217"/>
      <c r="N1" s="217"/>
      <c r="O1" s="217"/>
      <c r="P1" s="218"/>
      <c r="Q1" s="125"/>
      <c r="R1" s="216" t="s">
        <v>176</v>
      </c>
      <c r="S1" s="218"/>
      <c r="T1" s="125"/>
      <c r="U1" s="216" t="s">
        <v>253</v>
      </c>
      <c r="V1" s="217"/>
      <c r="W1" s="217"/>
      <c r="X1" s="217"/>
      <c r="Y1" s="218"/>
      <c r="Z1" s="125"/>
      <c r="AA1" s="216" t="s">
        <v>254</v>
      </c>
      <c r="AB1" s="217"/>
      <c r="AC1" s="217"/>
      <c r="AD1" s="217"/>
      <c r="AE1" s="217"/>
      <c r="AF1" s="217"/>
      <c r="AG1" s="217"/>
      <c r="AH1" s="217"/>
      <c r="AI1" s="217"/>
      <c r="AJ1" s="218"/>
      <c r="AK1" s="125"/>
      <c r="AL1" s="216" t="s">
        <v>255</v>
      </c>
      <c r="AM1" s="217"/>
      <c r="AN1" s="217"/>
      <c r="AO1" s="217"/>
      <c r="AP1" s="217"/>
      <c r="AQ1" s="218"/>
      <c r="AR1" s="125"/>
      <c r="AS1" s="216" t="s">
        <v>256</v>
      </c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8"/>
      <c r="BG1" s="125"/>
      <c r="BH1" s="216" t="s">
        <v>257</v>
      </c>
      <c r="BI1" s="217"/>
      <c r="BJ1" s="217"/>
      <c r="BK1" s="218"/>
      <c r="BL1" s="125"/>
      <c r="BM1" s="216" t="s">
        <v>258</v>
      </c>
      <c r="BN1" s="217"/>
      <c r="BO1" s="217"/>
      <c r="BP1" s="217"/>
      <c r="BQ1" s="218"/>
      <c r="BR1" s="125"/>
      <c r="BS1" s="216" t="s">
        <v>259</v>
      </c>
      <c r="BT1" s="217"/>
      <c r="BU1" s="217"/>
      <c r="BV1" s="218"/>
    </row>
    <row r="2" spans="1:74" ht="273.75">
      <c r="A2" s="225" t="s">
        <v>260</v>
      </c>
      <c r="B2" s="225"/>
      <c r="C2" s="226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28" t="s">
        <v>12</v>
      </c>
      <c r="B7" s="229"/>
      <c r="C7" s="230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31" t="s">
        <v>13</v>
      </c>
      <c r="B8" s="232"/>
      <c r="C8" s="233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34" t="s">
        <v>14</v>
      </c>
      <c r="B9" s="235"/>
      <c r="C9" s="236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207" t="s">
        <v>15</v>
      </c>
      <c r="B10" s="208"/>
      <c r="C10" s="209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210" t="s">
        <v>16</v>
      </c>
      <c r="B11" s="211"/>
      <c r="C11" s="212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22" t="s">
        <v>18</v>
      </c>
      <c r="B13" s="223"/>
      <c r="C13" s="224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13">
        <f>+SUM(L3:P3)</f>
        <v>4698</v>
      </c>
      <c r="M16" s="214"/>
      <c r="N16" s="214"/>
      <c r="O16" s="214"/>
      <c r="P16" s="215"/>
      <c r="Q16" s="125"/>
      <c r="R16" s="213">
        <f>+SUM(R3:S3)</f>
        <v>4667</v>
      </c>
      <c r="S16" s="215"/>
      <c r="T16" s="125"/>
      <c r="U16" s="213">
        <f>+SUM(U3:Y3)</f>
        <v>4690</v>
      </c>
      <c r="V16" s="214"/>
      <c r="W16" s="214"/>
      <c r="X16" s="214"/>
      <c r="Y16" s="215"/>
      <c r="Z16" s="125"/>
      <c r="AA16" s="213">
        <f>+SUM(AA3:AJ3)</f>
        <v>4649</v>
      </c>
      <c r="AB16" s="214"/>
      <c r="AC16" s="214"/>
      <c r="AD16" s="214"/>
      <c r="AE16" s="214"/>
      <c r="AF16" s="214"/>
      <c r="AG16" s="214"/>
      <c r="AH16" s="214"/>
      <c r="AI16" s="214"/>
      <c r="AJ16" s="215"/>
      <c r="AK16" s="125"/>
      <c r="AL16" s="213">
        <f>+SUM(AL3:AQ3)</f>
        <v>4670</v>
      </c>
      <c r="AM16" s="214"/>
      <c r="AN16" s="214"/>
      <c r="AO16" s="214"/>
      <c r="AP16" s="214"/>
      <c r="AQ16" s="215"/>
      <c r="AR16" s="125"/>
      <c r="AS16" s="213">
        <f>+SUM(AS3:BF3)</f>
        <v>4886</v>
      </c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5"/>
      <c r="BG16" s="125"/>
      <c r="BH16" s="213">
        <f>+SUM(BH3:BK3)</f>
        <v>4149</v>
      </c>
      <c r="BI16" s="214"/>
      <c r="BJ16" s="214"/>
      <c r="BK16" s="215"/>
      <c r="BL16" s="125"/>
      <c r="BM16" s="213">
        <f>+SUM(BM3:BQ3)</f>
        <v>3932</v>
      </c>
      <c r="BN16" s="214"/>
      <c r="BO16" s="214"/>
      <c r="BP16" s="214"/>
      <c r="BQ16" s="215"/>
      <c r="BR16" s="125"/>
      <c r="BS16" s="213">
        <f>+SUM(BS3:BV3)</f>
        <v>1839</v>
      </c>
      <c r="BT16" s="214"/>
      <c r="BU16" s="214"/>
      <c r="BV16" s="215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19">
        <f>+SUM(BM5:BQ5)</f>
        <v>4577</v>
      </c>
      <c r="BN19" s="220"/>
      <c r="BO19" s="220"/>
      <c r="BP19" s="220"/>
      <c r="BQ19" s="221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291" priority="43" stopIfTrue="1" operator="lessThanOrEqual">
      <formula>44.49</formula>
    </cfRule>
    <cfRule type="cellIs" dxfId="290" priority="44" stopIfTrue="1" operator="greaterThanOrEqual">
      <formula>85.5</formula>
    </cfRule>
    <cfRule type="cellIs" dxfId="289" priority="45" stopIfTrue="1" operator="between">
      <formula>44.5</formula>
      <formula>60.49</formula>
    </cfRule>
  </conditionalFormatting>
  <conditionalFormatting sqref="D7:D11">
    <cfRule type="cellIs" dxfId="288" priority="40" stopIfTrue="1" operator="lessThanOrEqual">
      <formula>44.49</formula>
    </cfRule>
    <cfRule type="cellIs" dxfId="287" priority="41" stopIfTrue="1" operator="greaterThanOrEqual">
      <formula>85.5</formula>
    </cfRule>
    <cfRule type="cellIs" dxfId="286" priority="42" stopIfTrue="1" operator="between">
      <formula>44.5</formula>
      <formula>60.49</formula>
    </cfRule>
  </conditionalFormatting>
  <conditionalFormatting sqref="E7:E11">
    <cfRule type="cellIs" dxfId="285" priority="37" stopIfTrue="1" operator="lessThanOrEqual">
      <formula>44.49</formula>
    </cfRule>
    <cfRule type="cellIs" dxfId="284" priority="38" stopIfTrue="1" operator="greaterThanOrEqual">
      <formula>85.5</formula>
    </cfRule>
    <cfRule type="cellIs" dxfId="283" priority="39" stopIfTrue="1" operator="between">
      <formula>44.5</formula>
      <formula>60.49</formula>
    </cfRule>
  </conditionalFormatting>
  <conditionalFormatting sqref="F7:F11">
    <cfRule type="cellIs" dxfId="282" priority="34" stopIfTrue="1" operator="lessThanOrEqual">
      <formula>44.49</formula>
    </cfRule>
    <cfRule type="cellIs" dxfId="281" priority="35" stopIfTrue="1" operator="greaterThanOrEqual">
      <formula>85.5</formula>
    </cfRule>
    <cfRule type="cellIs" dxfId="280" priority="36" stopIfTrue="1" operator="between">
      <formula>44.5</formula>
      <formula>60.49</formula>
    </cfRule>
  </conditionalFormatting>
  <conditionalFormatting sqref="G7:G11">
    <cfRule type="cellIs" dxfId="279" priority="31" stopIfTrue="1" operator="lessThanOrEqual">
      <formula>44.49</formula>
    </cfRule>
    <cfRule type="cellIs" dxfId="278" priority="32" stopIfTrue="1" operator="greaterThanOrEqual">
      <formula>85.5</formula>
    </cfRule>
    <cfRule type="cellIs" dxfId="277" priority="33" stopIfTrue="1" operator="between">
      <formula>44.5</formula>
      <formula>60.49</formula>
    </cfRule>
  </conditionalFormatting>
  <conditionalFormatting sqref="R7:R11">
    <cfRule type="cellIs" dxfId="276" priority="28" stopIfTrue="1" operator="lessThanOrEqual">
      <formula>44.49</formula>
    </cfRule>
    <cfRule type="cellIs" dxfId="275" priority="29" stopIfTrue="1" operator="greaterThanOrEqual">
      <formula>85.5</formula>
    </cfRule>
    <cfRule type="cellIs" dxfId="274" priority="30" stopIfTrue="1" operator="between">
      <formula>44.5</formula>
      <formula>60.49</formula>
    </cfRule>
  </conditionalFormatting>
  <conditionalFormatting sqref="S7:S11">
    <cfRule type="cellIs" dxfId="273" priority="25" stopIfTrue="1" operator="lessThanOrEqual">
      <formula>44.49</formula>
    </cfRule>
    <cfRule type="cellIs" dxfId="272" priority="26" stopIfTrue="1" operator="greaterThanOrEqual">
      <formula>85.5</formula>
    </cfRule>
    <cfRule type="cellIs" dxfId="271" priority="27" stopIfTrue="1" operator="between">
      <formula>44.5</formula>
      <formula>60.49</formula>
    </cfRule>
  </conditionalFormatting>
  <conditionalFormatting sqref="U7:U11">
    <cfRule type="cellIs" dxfId="270" priority="22" stopIfTrue="1" operator="lessThanOrEqual">
      <formula>44.49</formula>
    </cfRule>
    <cfRule type="cellIs" dxfId="269" priority="23" stopIfTrue="1" operator="greaterThanOrEqual">
      <formula>85.5</formula>
    </cfRule>
    <cfRule type="cellIs" dxfId="268" priority="24" stopIfTrue="1" operator="between">
      <formula>44.5</formula>
      <formula>60.49</formula>
    </cfRule>
  </conditionalFormatting>
  <conditionalFormatting sqref="V7:Y11">
    <cfRule type="cellIs" dxfId="267" priority="19" stopIfTrue="1" operator="lessThanOrEqual">
      <formula>44.49</formula>
    </cfRule>
    <cfRule type="cellIs" dxfId="266" priority="20" stopIfTrue="1" operator="greaterThanOrEqual">
      <formula>85.5</formula>
    </cfRule>
    <cfRule type="cellIs" dxfId="265" priority="21" stopIfTrue="1" operator="between">
      <formula>44.5</formula>
      <formula>60.49</formula>
    </cfRule>
  </conditionalFormatting>
  <conditionalFormatting sqref="AA7:AJ11">
    <cfRule type="cellIs" dxfId="264" priority="16" stopIfTrue="1" operator="lessThanOrEqual">
      <formula>44.49</formula>
    </cfRule>
    <cfRule type="cellIs" dxfId="263" priority="17" stopIfTrue="1" operator="greaterThanOrEqual">
      <formula>85.5</formula>
    </cfRule>
    <cfRule type="cellIs" dxfId="262" priority="18" stopIfTrue="1" operator="between">
      <formula>44.5</formula>
      <formula>60.49</formula>
    </cfRule>
  </conditionalFormatting>
  <conditionalFormatting sqref="AL7:AQ11">
    <cfRule type="cellIs" dxfId="261" priority="13" stopIfTrue="1" operator="lessThanOrEqual">
      <formula>44.49</formula>
    </cfRule>
    <cfRule type="cellIs" dxfId="260" priority="14" stopIfTrue="1" operator="greaterThanOrEqual">
      <formula>85.5</formula>
    </cfRule>
    <cfRule type="cellIs" dxfId="259" priority="15" stopIfTrue="1" operator="between">
      <formula>44.5</formula>
      <formula>60.49</formula>
    </cfRule>
  </conditionalFormatting>
  <conditionalFormatting sqref="AS7:BD11 BF7:BF11">
    <cfRule type="cellIs" dxfId="258" priority="10" stopIfTrue="1" operator="lessThanOrEqual">
      <formula>44.49</formula>
    </cfRule>
    <cfRule type="cellIs" dxfId="257" priority="11" stopIfTrue="1" operator="greaterThanOrEqual">
      <formula>85.5</formula>
    </cfRule>
    <cfRule type="cellIs" dxfId="256" priority="12" stopIfTrue="1" operator="between">
      <formula>44.5</formula>
      <formula>60.49</formula>
    </cfRule>
  </conditionalFormatting>
  <conditionalFormatting sqref="BH7:BK11">
    <cfRule type="cellIs" dxfId="255" priority="7" stopIfTrue="1" operator="lessThanOrEqual">
      <formula>44.49</formula>
    </cfRule>
    <cfRule type="cellIs" dxfId="254" priority="8" stopIfTrue="1" operator="greaterThanOrEqual">
      <formula>85.5</formula>
    </cfRule>
    <cfRule type="cellIs" dxfId="253" priority="9" stopIfTrue="1" operator="between">
      <formula>44.5</formula>
      <formula>60.49</formula>
    </cfRule>
  </conditionalFormatting>
  <conditionalFormatting sqref="BM7:BQ11">
    <cfRule type="cellIs" dxfId="252" priority="4" stopIfTrue="1" operator="lessThanOrEqual">
      <formula>44.49</formula>
    </cfRule>
    <cfRule type="cellIs" dxfId="251" priority="5" stopIfTrue="1" operator="greaterThanOrEqual">
      <formula>85.5</formula>
    </cfRule>
    <cfRule type="cellIs" dxfId="250" priority="6" stopIfTrue="1" operator="between">
      <formula>44.5</formula>
      <formula>60.49</formula>
    </cfRule>
  </conditionalFormatting>
  <conditionalFormatting sqref="BS7:BV11">
    <cfRule type="cellIs" dxfId="249" priority="1" stopIfTrue="1" operator="lessThanOrEqual">
      <formula>44.49</formula>
    </cfRule>
    <cfRule type="cellIs" dxfId="248" priority="2" stopIfTrue="1" operator="greaterThanOrEqual">
      <formula>85.5</formula>
    </cfRule>
    <cfRule type="cellIs" dxfId="247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A1" zoomScaleNormal="100" workbookViewId="0">
      <selection activeCell="Z3" sqref="Z3:AB14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166" t="s">
        <v>466</v>
      </c>
      <c r="U1" s="86" t="s">
        <v>412</v>
      </c>
      <c r="V1" s="87" t="s">
        <v>413</v>
      </c>
      <c r="W1" s="88" t="s">
        <v>414</v>
      </c>
      <c r="X1" s="89" t="s">
        <v>415</v>
      </c>
      <c r="Y1" s="90" t="s">
        <v>416</v>
      </c>
      <c r="Z1" s="167" t="s">
        <v>33</v>
      </c>
      <c r="AA1" s="167" t="s">
        <v>417</v>
      </c>
      <c r="AB1" s="167" t="s">
        <v>418</v>
      </c>
      <c r="AC1" s="73"/>
      <c r="AD1" s="365" t="s">
        <v>21</v>
      </c>
      <c r="AE1" s="366">
        <v>2007</v>
      </c>
      <c r="AF1" s="366">
        <v>2008</v>
      </c>
      <c r="AG1" s="366">
        <v>2009</v>
      </c>
      <c r="AH1" s="366">
        <v>2010</v>
      </c>
      <c r="AI1" s="366">
        <v>2011</v>
      </c>
      <c r="AJ1" s="366">
        <v>2012</v>
      </c>
      <c r="AK1" s="366">
        <v>2013</v>
      </c>
      <c r="AL1" s="366">
        <v>2014</v>
      </c>
      <c r="AM1" s="366">
        <v>2015</v>
      </c>
      <c r="AN1" s="366">
        <v>2016</v>
      </c>
    </row>
    <row r="2" spans="1:40" ht="15.75" thickBot="1">
      <c r="A2" s="320" t="s">
        <v>61</v>
      </c>
      <c r="B2" s="284" t="s">
        <v>62</v>
      </c>
      <c r="C2" s="332">
        <f>+ROUND(AVERAGE(M2:M5),0)</f>
        <v>87</v>
      </c>
      <c r="D2" s="332">
        <f>+ROUND(AVERAGE(N2:N5),0)</f>
        <v>84</v>
      </c>
      <c r="E2" s="332">
        <f>+ROUND(AVERAGE(O2:O5),0)</f>
        <v>89</v>
      </c>
      <c r="F2" s="332">
        <f>+ROUND(AVERAGE(P2:P5),0)</f>
        <v>78</v>
      </c>
      <c r="G2" s="328">
        <f>+C2-E2</f>
        <v>-2</v>
      </c>
      <c r="H2" s="330">
        <f>+C2-F2</f>
        <v>9</v>
      </c>
      <c r="I2" s="324" t="s">
        <v>62</v>
      </c>
      <c r="J2" s="326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>
        <v>2017</v>
      </c>
      <c r="U2" s="102"/>
      <c r="V2" s="102"/>
      <c r="W2" s="102"/>
      <c r="X2" s="102"/>
      <c r="Y2" s="102"/>
      <c r="Z2" s="102"/>
      <c r="AA2" s="102"/>
      <c r="AB2" s="102"/>
      <c r="AC2" s="72"/>
      <c r="AD2" s="367" t="s">
        <v>22</v>
      </c>
      <c r="AE2" s="368">
        <v>376</v>
      </c>
      <c r="AF2" s="368">
        <v>387</v>
      </c>
      <c r="AG2" s="368">
        <v>532</v>
      </c>
      <c r="AH2" s="368">
        <v>581</v>
      </c>
      <c r="AI2" s="368">
        <v>676</v>
      </c>
      <c r="AJ2" s="368">
        <v>704</v>
      </c>
      <c r="AK2" s="368">
        <v>711</v>
      </c>
      <c r="AL2" s="368">
        <v>669</v>
      </c>
      <c r="AM2" s="368">
        <v>664</v>
      </c>
      <c r="AN2" s="368">
        <v>669</v>
      </c>
    </row>
    <row r="3" spans="1:40" ht="15.75" thickBot="1">
      <c r="A3" s="320"/>
      <c r="B3" s="284"/>
      <c r="C3" s="332"/>
      <c r="D3" s="332"/>
      <c r="E3" s="332"/>
      <c r="F3" s="332"/>
      <c r="G3" s="328"/>
      <c r="H3" s="330"/>
      <c r="I3" s="324"/>
      <c r="J3" s="327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>
        <v>2016</v>
      </c>
      <c r="U3" s="102">
        <v>66.926923076923075</v>
      </c>
      <c r="V3" s="102">
        <v>59.937692307692302</v>
      </c>
      <c r="W3" s="102">
        <v>63.74666666666667</v>
      </c>
      <c r="X3" s="102">
        <v>63.75</v>
      </c>
      <c r="Y3" s="102">
        <v>59.8</v>
      </c>
      <c r="Z3" s="102">
        <v>63.53157894736843</v>
      </c>
      <c r="AA3" s="102">
        <v>62.775438596491249</v>
      </c>
      <c r="AB3" s="102">
        <v>56</v>
      </c>
      <c r="AC3" s="72"/>
      <c r="AD3" s="367" t="s">
        <v>10</v>
      </c>
      <c r="AE3" s="368">
        <v>336</v>
      </c>
      <c r="AF3" s="368">
        <v>364</v>
      </c>
      <c r="AG3" s="368">
        <v>491</v>
      </c>
      <c r="AH3" s="368">
        <v>448</v>
      </c>
      <c r="AI3" s="368">
        <v>560</v>
      </c>
      <c r="AJ3" s="368">
        <v>594</v>
      </c>
      <c r="AK3" s="368">
        <v>610</v>
      </c>
      <c r="AL3" s="368">
        <v>580</v>
      </c>
      <c r="AM3" s="368">
        <v>600</v>
      </c>
      <c r="AN3" s="368">
        <v>546</v>
      </c>
    </row>
    <row r="4" spans="1:40" ht="15.75" thickBot="1">
      <c r="A4" s="320"/>
      <c r="B4" s="284"/>
      <c r="C4" s="332"/>
      <c r="D4" s="332"/>
      <c r="E4" s="332"/>
      <c r="F4" s="332"/>
      <c r="G4" s="328"/>
      <c r="H4" s="330"/>
      <c r="I4" s="324"/>
      <c r="J4" s="326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>
        <v>2015</v>
      </c>
      <c r="U4" s="102">
        <v>67.15384615384616</v>
      </c>
      <c r="V4" s="102">
        <v>61</v>
      </c>
      <c r="W4" s="102">
        <v>59.083333333333336</v>
      </c>
      <c r="X4" s="102">
        <v>65</v>
      </c>
      <c r="Y4" s="102">
        <v>62.3</v>
      </c>
      <c r="Z4" s="102">
        <v>62.421052631578945</v>
      </c>
      <c r="AA4" s="102">
        <v>62.666666666666664</v>
      </c>
      <c r="AB4" s="102">
        <v>57</v>
      </c>
      <c r="AC4" s="72"/>
      <c r="AD4" s="367" t="s">
        <v>23</v>
      </c>
      <c r="AE4" s="369">
        <v>0.9</v>
      </c>
      <c r="AF4" s="369">
        <v>0.94099999999999995</v>
      </c>
      <c r="AG4" s="369">
        <v>0.92</v>
      </c>
      <c r="AH4" s="369">
        <v>0.77</v>
      </c>
      <c r="AI4" s="369">
        <v>0.83</v>
      </c>
      <c r="AJ4" s="369">
        <v>0.84</v>
      </c>
      <c r="AK4" s="369">
        <v>0.86</v>
      </c>
      <c r="AL4" s="369">
        <v>0.87</v>
      </c>
      <c r="AM4" s="369">
        <v>0.90361445783132532</v>
      </c>
      <c r="AN4" s="369">
        <v>0.81614349775784756</v>
      </c>
    </row>
    <row r="5" spans="1:40" ht="29.25" thickBot="1">
      <c r="A5" s="320"/>
      <c r="B5" s="285"/>
      <c r="C5" s="333"/>
      <c r="D5" s="333"/>
      <c r="E5" s="333"/>
      <c r="F5" s="333"/>
      <c r="G5" s="329"/>
      <c r="H5" s="331"/>
      <c r="I5" s="325"/>
      <c r="J5" s="327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>
        <v>2014</v>
      </c>
      <c r="U5" s="102">
        <v>61.92307692307692</v>
      </c>
      <c r="V5" s="102">
        <v>59.615384615384613</v>
      </c>
      <c r="W5" s="102">
        <v>58.416666666666664</v>
      </c>
      <c r="X5" s="102">
        <v>64.25</v>
      </c>
      <c r="Y5" s="102">
        <v>63.5</v>
      </c>
      <c r="Z5" s="102">
        <v>60.026315789473685</v>
      </c>
      <c r="AA5" s="102">
        <v>61.070175438596493</v>
      </c>
      <c r="AB5" s="102">
        <v>51</v>
      </c>
      <c r="AC5" s="72"/>
      <c r="AD5" s="367" t="s">
        <v>467</v>
      </c>
      <c r="AE5" s="370">
        <v>1.6400000000000001E-2</v>
      </c>
      <c r="AF5" s="370">
        <v>1.2500000000000001E-2</v>
      </c>
      <c r="AG5" s="370">
        <v>1.23E-2</v>
      </c>
      <c r="AH5" s="370">
        <v>2.2200000000000001E-2</v>
      </c>
      <c r="AI5" s="370">
        <v>1.72E-2</v>
      </c>
      <c r="AJ5" s="370">
        <v>1.5900000000000001E-2</v>
      </c>
      <c r="AK5" s="370">
        <v>1.4999999999999999E-2</v>
      </c>
      <c r="AL5" s="370">
        <v>1.4800000000000001E-2</v>
      </c>
      <c r="AM5" s="370">
        <v>1.24E-2</v>
      </c>
      <c r="AN5" s="370">
        <v>0</v>
      </c>
    </row>
    <row r="6" spans="1:40" ht="15.75" thickBot="1">
      <c r="A6" s="320"/>
      <c r="B6" s="283" t="s">
        <v>69</v>
      </c>
      <c r="C6" s="260">
        <f>+ROUND(AVERAGE(M6:M11),0)</f>
        <v>86</v>
      </c>
      <c r="D6" s="260">
        <f>+ROUND(AVERAGE(N6:N11),0)</f>
        <v>82</v>
      </c>
      <c r="E6" s="260">
        <f>+ROUND(AVERAGE(O6:O11),0)</f>
        <v>89</v>
      </c>
      <c r="F6" s="260">
        <f>+ROUND(AVERAGE(P6:P11),0)</f>
        <v>80</v>
      </c>
      <c r="G6" s="307">
        <f>+C6-E6</f>
        <v>-3</v>
      </c>
      <c r="H6" s="263">
        <f>+C6-F6</f>
        <v>6</v>
      </c>
      <c r="I6" s="324" t="s">
        <v>69</v>
      </c>
      <c r="J6" s="326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>
        <v>2013</v>
      </c>
      <c r="U6" s="102">
        <v>66</v>
      </c>
      <c r="V6" s="102">
        <v>62</v>
      </c>
      <c r="W6" s="102">
        <v>63</v>
      </c>
      <c r="X6" s="102">
        <v>66</v>
      </c>
      <c r="Y6" s="102">
        <v>65</v>
      </c>
      <c r="Z6" s="102">
        <v>63.842105263157897</v>
      </c>
      <c r="AA6" s="102">
        <v>64</v>
      </c>
      <c r="AB6" s="102">
        <v>57</v>
      </c>
      <c r="AC6" s="72"/>
      <c r="AD6" s="367" t="s">
        <v>24</v>
      </c>
      <c r="AE6" s="371">
        <v>41081</v>
      </c>
      <c r="AF6" s="371">
        <v>41078</v>
      </c>
      <c r="AG6" s="371">
        <v>41076</v>
      </c>
      <c r="AH6" s="371">
        <v>41088</v>
      </c>
      <c r="AI6" s="371">
        <v>41112</v>
      </c>
      <c r="AJ6" s="371">
        <v>41117</v>
      </c>
      <c r="AK6" s="371">
        <v>41484</v>
      </c>
      <c r="AL6" s="371">
        <v>41827</v>
      </c>
      <c r="AM6" s="371">
        <v>42193</v>
      </c>
      <c r="AN6" s="371">
        <v>42559</v>
      </c>
    </row>
    <row r="7" spans="1:40" ht="15.75" thickBot="1">
      <c r="A7" s="320"/>
      <c r="B7" s="284"/>
      <c r="C7" s="247"/>
      <c r="D7" s="247"/>
      <c r="E7" s="247"/>
      <c r="F7" s="247"/>
      <c r="G7" s="287"/>
      <c r="H7" s="237"/>
      <c r="I7" s="324"/>
      <c r="J7" s="326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>
        <v>2012</v>
      </c>
      <c r="U7" s="102">
        <v>69</v>
      </c>
      <c r="V7" s="102">
        <v>67</v>
      </c>
      <c r="W7" s="102">
        <v>66</v>
      </c>
      <c r="X7" s="102">
        <v>68</v>
      </c>
      <c r="Y7" s="102">
        <v>68</v>
      </c>
      <c r="Z7" s="102">
        <v>67.07692307692308</v>
      </c>
      <c r="AA7" s="102">
        <v>67</v>
      </c>
      <c r="AB7" s="102">
        <v>62</v>
      </c>
      <c r="AC7" s="72"/>
      <c r="AD7" s="367" t="s">
        <v>27</v>
      </c>
      <c r="AE7" s="368" t="s">
        <v>28</v>
      </c>
      <c r="AF7" s="368" t="s">
        <v>28</v>
      </c>
      <c r="AG7" s="368" t="s">
        <v>28</v>
      </c>
      <c r="AH7" s="368" t="s">
        <v>28</v>
      </c>
      <c r="AI7" s="368" t="s">
        <v>28</v>
      </c>
      <c r="AJ7" s="368" t="s">
        <v>28</v>
      </c>
      <c r="AK7" s="368" t="s">
        <v>28</v>
      </c>
      <c r="AL7" s="368" t="s">
        <v>28</v>
      </c>
      <c r="AM7" s="368" t="s">
        <v>28</v>
      </c>
      <c r="AN7" s="368" t="s">
        <v>28</v>
      </c>
    </row>
    <row r="8" spans="1:40" ht="15.75" thickBot="1">
      <c r="A8" s="320"/>
      <c r="B8" s="284"/>
      <c r="C8" s="247"/>
      <c r="D8" s="247"/>
      <c r="E8" s="247"/>
      <c r="F8" s="247"/>
      <c r="G8" s="287"/>
      <c r="H8" s="237"/>
      <c r="I8" s="324"/>
      <c r="J8" s="327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>
        <v>2011</v>
      </c>
      <c r="U8" s="102">
        <v>62</v>
      </c>
      <c r="V8" s="102">
        <v>61</v>
      </c>
      <c r="W8" s="102">
        <v>60</v>
      </c>
      <c r="X8" s="102">
        <v>62</v>
      </c>
      <c r="Y8" s="102">
        <v>66</v>
      </c>
      <c r="Z8" s="102">
        <v>61.179487179487182</v>
      </c>
      <c r="AA8" s="102">
        <v>62</v>
      </c>
      <c r="AB8" s="102">
        <v>51</v>
      </c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</row>
    <row r="9" spans="1:40" ht="28.5">
      <c r="A9" s="320"/>
      <c r="B9" s="284"/>
      <c r="C9" s="247"/>
      <c r="D9" s="247"/>
      <c r="E9" s="247"/>
      <c r="F9" s="247"/>
      <c r="G9" s="287"/>
      <c r="H9" s="237"/>
      <c r="I9" s="324"/>
      <c r="J9" s="326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>
        <v>2010</v>
      </c>
      <c r="U9" s="102">
        <v>65</v>
      </c>
      <c r="V9" s="102">
        <v>63</v>
      </c>
      <c r="W9" s="102">
        <v>61</v>
      </c>
      <c r="X9" s="102">
        <v>61</v>
      </c>
      <c r="Y9" s="102">
        <v>63</v>
      </c>
      <c r="Z9" s="102">
        <v>63.358974358974358</v>
      </c>
      <c r="AA9" s="102">
        <v>63</v>
      </c>
      <c r="AB9" s="102">
        <v>55</v>
      </c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</row>
    <row r="10" spans="1:40" ht="15.75" thickBot="1">
      <c r="A10" s="320"/>
      <c r="B10" s="284"/>
      <c r="C10" s="247"/>
      <c r="D10" s="247"/>
      <c r="E10" s="247"/>
      <c r="F10" s="247"/>
      <c r="G10" s="287"/>
      <c r="H10" s="237"/>
      <c r="I10" s="324"/>
      <c r="J10" s="327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>
        <v>2009</v>
      </c>
      <c r="U10" s="102">
        <v>66</v>
      </c>
      <c r="V10" s="102">
        <v>64</v>
      </c>
      <c r="W10" s="102">
        <v>61</v>
      </c>
      <c r="X10" s="102">
        <v>58</v>
      </c>
      <c r="Y10" s="102">
        <v>62</v>
      </c>
      <c r="Z10" s="102">
        <v>63.615384615384613</v>
      </c>
      <c r="AA10" s="102">
        <v>62</v>
      </c>
      <c r="AB10" s="102">
        <v>52</v>
      </c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</row>
    <row r="11" spans="1:40" ht="15.75" thickBot="1">
      <c r="A11" s="320"/>
      <c r="B11" s="285"/>
      <c r="C11" s="248"/>
      <c r="D11" s="248"/>
      <c r="E11" s="248"/>
      <c r="F11" s="248"/>
      <c r="G11" s="318"/>
      <c r="H11" s="238"/>
      <c r="I11" s="325"/>
      <c r="J11" s="205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>
        <v>2008</v>
      </c>
      <c r="U11" s="102">
        <v>66</v>
      </c>
      <c r="V11" s="102">
        <v>64</v>
      </c>
      <c r="W11" s="102">
        <v>61</v>
      </c>
      <c r="X11" s="102">
        <v>59</v>
      </c>
      <c r="Y11" s="102">
        <v>62</v>
      </c>
      <c r="Z11" s="102">
        <v>64</v>
      </c>
      <c r="AA11" s="102">
        <v>62</v>
      </c>
      <c r="AB11" s="102">
        <v>48</v>
      </c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</row>
    <row r="12" spans="1:40">
      <c r="A12" s="320"/>
      <c r="B12" s="283" t="s">
        <v>79</v>
      </c>
      <c r="C12" s="260">
        <f>+ROUND(AVERAGE(M12:M15),0)</f>
        <v>86</v>
      </c>
      <c r="D12" s="260">
        <f>+ROUND(AVERAGE(N12:N15),0)</f>
        <v>82</v>
      </c>
      <c r="E12" s="260">
        <f>+ROUND(AVERAGE(O12:O15),0)</f>
        <v>90</v>
      </c>
      <c r="F12" s="260">
        <f>+ROUND(AVERAGE(P12:P15),0)</f>
        <v>79</v>
      </c>
      <c r="G12" s="307">
        <f>+C12-E12</f>
        <v>-4</v>
      </c>
      <c r="H12" s="263">
        <f>+C12-F12</f>
        <v>7</v>
      </c>
      <c r="I12" s="324" t="s">
        <v>79</v>
      </c>
      <c r="J12" s="326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>
        <v>2007</v>
      </c>
      <c r="U12" s="102">
        <v>66.721428571428561</v>
      </c>
      <c r="V12" s="102">
        <v>66.944615384615389</v>
      </c>
      <c r="W12" s="102">
        <v>63.770833333333336</v>
      </c>
      <c r="X12" s="102">
        <v>61.237499999999997</v>
      </c>
      <c r="Y12" s="102">
        <v>65.471000000000004</v>
      </c>
      <c r="Z12" s="102">
        <v>66</v>
      </c>
      <c r="AA12" s="102">
        <v>65</v>
      </c>
      <c r="AB12" s="102">
        <v>57.02</v>
      </c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</row>
    <row r="13" spans="1:40">
      <c r="A13" s="320"/>
      <c r="B13" s="284"/>
      <c r="C13" s="247"/>
      <c r="D13" s="247"/>
      <c r="E13" s="247"/>
      <c r="F13" s="247"/>
      <c r="G13" s="287"/>
      <c r="H13" s="237"/>
      <c r="I13" s="324"/>
      <c r="J13" s="326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>
        <v>2006</v>
      </c>
      <c r="U13" s="102">
        <v>74.330714285714294</v>
      </c>
      <c r="V13" s="102">
        <v>73.815384615384602</v>
      </c>
      <c r="W13" s="102">
        <v>69.734999999999999</v>
      </c>
      <c r="X13" s="102">
        <v>71.428750000000008</v>
      </c>
      <c r="Y13" s="102">
        <v>73.431000000000012</v>
      </c>
      <c r="Z13" s="102">
        <v>73</v>
      </c>
      <c r="AA13" s="102">
        <v>73</v>
      </c>
      <c r="AB13" s="102">
        <v>70.81</v>
      </c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</row>
    <row r="14" spans="1:40" ht="15.75" thickBot="1">
      <c r="A14" s="320"/>
      <c r="B14" s="284"/>
      <c r="C14" s="247"/>
      <c r="D14" s="247"/>
      <c r="E14" s="247"/>
      <c r="F14" s="247"/>
      <c r="G14" s="287"/>
      <c r="H14" s="237"/>
      <c r="I14" s="324"/>
      <c r="J14" s="327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>
        <v>2005</v>
      </c>
      <c r="U14" s="102">
        <v>70</v>
      </c>
      <c r="V14" s="102">
        <v>71</v>
      </c>
      <c r="W14" s="102">
        <v>66</v>
      </c>
      <c r="X14" s="102">
        <v>67</v>
      </c>
      <c r="Y14" s="102">
        <v>69</v>
      </c>
      <c r="Z14" s="102">
        <v>69</v>
      </c>
      <c r="AA14" s="102">
        <v>69</v>
      </c>
      <c r="AB14" s="102">
        <v>66.099999999999994</v>
      </c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</row>
    <row r="15" spans="1:40" ht="15.75" thickBot="1">
      <c r="A15" s="321"/>
      <c r="B15" s="322"/>
      <c r="C15" s="261"/>
      <c r="D15" s="261"/>
      <c r="E15" s="261"/>
      <c r="F15" s="261"/>
      <c r="G15" s="323"/>
      <c r="H15" s="264"/>
      <c r="I15" s="325"/>
      <c r="J15" s="205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>
        <v>2004</v>
      </c>
      <c r="U15" s="102"/>
      <c r="V15" s="102"/>
      <c r="W15" s="102"/>
      <c r="X15" s="102"/>
      <c r="Y15" s="102"/>
      <c r="Z15" s="102"/>
      <c r="AA15" s="10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</row>
    <row r="16" spans="1:4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2">
        <v>2003</v>
      </c>
      <c r="U16" s="102"/>
      <c r="V16" s="102"/>
      <c r="W16" s="102"/>
      <c r="X16" s="102"/>
      <c r="Y16" s="102"/>
      <c r="Z16" s="102"/>
      <c r="AA16" s="102"/>
      <c r="AB16" s="72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</row>
    <row r="17" spans="1:40">
      <c r="A17" s="319" t="s">
        <v>86</v>
      </c>
      <c r="B17" s="283" t="s">
        <v>87</v>
      </c>
      <c r="C17" s="260">
        <f>+ROUND(AVERAGE(M17:M20),0)</f>
        <v>82</v>
      </c>
      <c r="D17" s="260">
        <f>+ROUND(AVERAGE(N17:N20),0)</f>
        <v>79</v>
      </c>
      <c r="E17" s="260">
        <f>+ROUND(AVERAGE(O17:O20),0)</f>
        <v>89</v>
      </c>
      <c r="F17" s="260">
        <f>+ROUND(AVERAGE(P17:P20),0)</f>
        <v>77</v>
      </c>
      <c r="G17" s="307">
        <f>+C17-E17</f>
        <v>-7</v>
      </c>
      <c r="H17" s="263">
        <f>+C17-F17</f>
        <v>5</v>
      </c>
      <c r="I17" s="300" t="s">
        <v>87</v>
      </c>
      <c r="J17" s="317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>
        <v>2002</v>
      </c>
      <c r="U17" s="102"/>
      <c r="V17" s="102"/>
      <c r="W17" s="102"/>
      <c r="X17" s="102"/>
      <c r="Y17" s="102"/>
      <c r="Z17" s="102"/>
      <c r="AA17" s="10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</row>
    <row r="18" spans="1:40" ht="15.75" thickBot="1">
      <c r="A18" s="319"/>
      <c r="B18" s="284"/>
      <c r="C18" s="247"/>
      <c r="D18" s="247"/>
      <c r="E18" s="247"/>
      <c r="F18" s="247"/>
      <c r="G18" s="287"/>
      <c r="H18" s="237"/>
      <c r="I18" s="301"/>
      <c r="J18" s="304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</row>
    <row r="19" spans="1:40">
      <c r="A19" s="319"/>
      <c r="B19" s="284"/>
      <c r="C19" s="247"/>
      <c r="D19" s="247"/>
      <c r="E19" s="247"/>
      <c r="F19" s="247"/>
      <c r="G19" s="287"/>
      <c r="H19" s="237"/>
      <c r="I19" s="301"/>
      <c r="J19" s="303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</row>
    <row r="20" spans="1:40" ht="15.75" thickBot="1">
      <c r="A20" s="319"/>
      <c r="B20" s="285"/>
      <c r="C20" s="248"/>
      <c r="D20" s="248"/>
      <c r="E20" s="248"/>
      <c r="F20" s="248"/>
      <c r="G20" s="318"/>
      <c r="H20" s="238"/>
      <c r="I20" s="302"/>
      <c r="J20" s="304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</row>
    <row r="21" spans="1:40" ht="28.5">
      <c r="A21" s="319"/>
      <c r="B21" s="283" t="s">
        <v>94</v>
      </c>
      <c r="C21" s="260">
        <f>+ROUND(AVERAGE(M21:M22),0)</f>
        <v>81</v>
      </c>
      <c r="D21" s="260">
        <f>+ROUND(AVERAGE(N21:N22),0)</f>
        <v>77</v>
      </c>
      <c r="E21" s="260">
        <f>+ROUND(AVERAGE(O21:O22),0)</f>
        <v>87</v>
      </c>
      <c r="F21" s="260">
        <f>+ROUND(AVERAGE(P21:P22),0)</f>
        <v>73</v>
      </c>
      <c r="G21" s="307">
        <f>+C21-E21</f>
        <v>-6</v>
      </c>
      <c r="H21" s="263">
        <f>+C21-F21</f>
        <v>8</v>
      </c>
      <c r="I21" s="300" t="s">
        <v>94</v>
      </c>
      <c r="J21" s="303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</row>
    <row r="22" spans="1:40" ht="29.25" thickBot="1">
      <c r="A22" s="319"/>
      <c r="B22" s="285"/>
      <c r="C22" s="248"/>
      <c r="D22" s="248"/>
      <c r="E22" s="248"/>
      <c r="F22" s="248"/>
      <c r="G22" s="318"/>
      <c r="H22" s="238"/>
      <c r="I22" s="302"/>
      <c r="J22" s="304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</row>
    <row r="23" spans="1:40">
      <c r="A23" s="319"/>
      <c r="B23" s="283" t="s">
        <v>98</v>
      </c>
      <c r="C23" s="260">
        <f>+ROUND(AVERAGE(M23:M29),0)</f>
        <v>81</v>
      </c>
      <c r="D23" s="260">
        <f>+ROUND(AVERAGE(N23:N29),0)</f>
        <v>77</v>
      </c>
      <c r="E23" s="260">
        <f>+ROUND(AVERAGE(O23:O29),0)</f>
        <v>89</v>
      </c>
      <c r="F23" s="260">
        <f>+ROUND(AVERAGE(P23:P29),0)</f>
        <v>78</v>
      </c>
      <c r="G23" s="307">
        <f>+C23-E23</f>
        <v>-8</v>
      </c>
      <c r="H23" s="263">
        <f>+C23-F23</f>
        <v>3</v>
      </c>
      <c r="I23" s="300" t="s">
        <v>98</v>
      </c>
      <c r="J23" s="303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</row>
    <row r="24" spans="1:40">
      <c r="A24" s="319"/>
      <c r="B24" s="284"/>
      <c r="C24" s="247"/>
      <c r="D24" s="247"/>
      <c r="E24" s="247"/>
      <c r="F24" s="247"/>
      <c r="G24" s="287"/>
      <c r="H24" s="237"/>
      <c r="I24" s="301"/>
      <c r="J24" s="303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</row>
    <row r="25" spans="1:40" ht="15.75" thickBot="1">
      <c r="A25" s="319"/>
      <c r="B25" s="284"/>
      <c r="C25" s="247"/>
      <c r="D25" s="247"/>
      <c r="E25" s="247"/>
      <c r="F25" s="247"/>
      <c r="G25" s="287"/>
      <c r="H25" s="237"/>
      <c r="I25" s="301"/>
      <c r="J25" s="304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</row>
    <row r="26" spans="1:40">
      <c r="A26" s="319"/>
      <c r="B26" s="284"/>
      <c r="C26" s="247"/>
      <c r="D26" s="247"/>
      <c r="E26" s="247"/>
      <c r="F26" s="247"/>
      <c r="G26" s="287"/>
      <c r="H26" s="237"/>
      <c r="I26" s="301"/>
      <c r="J26" s="303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</row>
    <row r="27" spans="1:40">
      <c r="A27" s="319"/>
      <c r="B27" s="284"/>
      <c r="C27" s="247"/>
      <c r="D27" s="247"/>
      <c r="E27" s="247"/>
      <c r="F27" s="247"/>
      <c r="G27" s="287"/>
      <c r="H27" s="237"/>
      <c r="I27" s="301"/>
      <c r="J27" s="303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</row>
    <row r="28" spans="1:40">
      <c r="A28" s="319"/>
      <c r="B28" s="284"/>
      <c r="C28" s="247"/>
      <c r="D28" s="247"/>
      <c r="E28" s="247"/>
      <c r="F28" s="247"/>
      <c r="G28" s="287"/>
      <c r="H28" s="237"/>
      <c r="I28" s="301"/>
      <c r="J28" s="303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</row>
    <row r="29" spans="1:40" ht="15.75" thickBot="1">
      <c r="A29" s="319"/>
      <c r="B29" s="322"/>
      <c r="C29" s="261"/>
      <c r="D29" s="261"/>
      <c r="E29" s="261"/>
      <c r="F29" s="261"/>
      <c r="G29" s="323"/>
      <c r="H29" s="264"/>
      <c r="I29" s="302"/>
      <c r="J29" s="304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</row>
    <row r="30" spans="1:4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</row>
    <row r="31" spans="1:40">
      <c r="A31" s="305" t="s">
        <v>108</v>
      </c>
      <c r="B31" s="283" t="s">
        <v>109</v>
      </c>
      <c r="C31" s="260">
        <f>+ROUND(AVERAGE(M31:M34),0)</f>
        <v>69</v>
      </c>
      <c r="D31" s="260">
        <f>+ROUND(AVERAGE(N31:N34),0)</f>
        <v>63</v>
      </c>
      <c r="E31" s="260">
        <f>+ROUND(AVERAGE(O31:O34),0)</f>
        <v>77</v>
      </c>
      <c r="F31" s="260">
        <f>+ROUND(AVERAGE(P31:P34),0)</f>
        <v>65</v>
      </c>
      <c r="G31" s="307">
        <f>+C31-E31</f>
        <v>-8</v>
      </c>
      <c r="H31" s="263">
        <f>+C31-F31</f>
        <v>4</v>
      </c>
      <c r="I31" s="292" t="s">
        <v>109</v>
      </c>
      <c r="J31" s="308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</row>
    <row r="32" spans="1:40" ht="15.75" thickBot="1">
      <c r="A32" s="305"/>
      <c r="B32" s="284"/>
      <c r="C32" s="247"/>
      <c r="D32" s="247"/>
      <c r="E32" s="247"/>
      <c r="F32" s="247"/>
      <c r="G32" s="287"/>
      <c r="H32" s="237"/>
      <c r="I32" s="292"/>
      <c r="J32" s="295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</row>
    <row r="33" spans="1:40">
      <c r="A33" s="305"/>
      <c r="B33" s="284"/>
      <c r="C33" s="247"/>
      <c r="D33" s="247"/>
      <c r="E33" s="247"/>
      <c r="F33" s="247"/>
      <c r="G33" s="287"/>
      <c r="H33" s="237"/>
      <c r="I33" s="292"/>
      <c r="J33" s="294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</row>
    <row r="34" spans="1:40" ht="15.75" thickBot="1">
      <c r="A34" s="305"/>
      <c r="B34" s="285"/>
      <c r="C34" s="248"/>
      <c r="D34" s="248"/>
      <c r="E34" s="248"/>
      <c r="F34" s="248"/>
      <c r="G34" s="287"/>
      <c r="H34" s="238"/>
      <c r="I34" s="293"/>
      <c r="J34" s="309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</row>
    <row r="35" spans="1:40">
      <c r="A35" s="305"/>
      <c r="B35" s="310" t="s">
        <v>116</v>
      </c>
      <c r="C35" s="260">
        <f>+ROUND(AVERAGE(M35:M37),0)</f>
        <v>68</v>
      </c>
      <c r="D35" s="260">
        <f>+ROUND(AVERAGE(N35:N37),0)</f>
        <v>62</v>
      </c>
      <c r="E35" s="260">
        <f>+ROUND(AVERAGE(O35:O37),0)</f>
        <v>78</v>
      </c>
      <c r="F35" s="260">
        <f>+ROUND(AVERAGE(P35:P37),0)</f>
        <v>64</v>
      </c>
      <c r="G35" s="262">
        <f>+C35-E35</f>
        <v>-10</v>
      </c>
      <c r="H35" s="263">
        <f>+C35-F35</f>
        <v>4</v>
      </c>
      <c r="I35" s="313" t="s">
        <v>116</v>
      </c>
      <c r="J35" s="313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</row>
    <row r="36" spans="1:40">
      <c r="A36" s="305"/>
      <c r="B36" s="311"/>
      <c r="C36" s="247"/>
      <c r="D36" s="247"/>
      <c r="E36" s="247"/>
      <c r="F36" s="247"/>
      <c r="G36" s="250"/>
      <c r="H36" s="237"/>
      <c r="I36" s="314"/>
      <c r="J36" s="314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</row>
    <row r="37" spans="1:40" ht="15.75" thickBot="1">
      <c r="A37" s="305"/>
      <c r="B37" s="312"/>
      <c r="C37" s="248"/>
      <c r="D37" s="248"/>
      <c r="E37" s="248"/>
      <c r="F37" s="248"/>
      <c r="G37" s="251"/>
      <c r="H37" s="238"/>
      <c r="I37" s="315"/>
      <c r="J37" s="315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</row>
    <row r="38" spans="1:40">
      <c r="A38" s="305"/>
      <c r="B38" s="283" t="s">
        <v>120</v>
      </c>
      <c r="C38" s="260">
        <f>+ROUND(AVERAGE(M38:M42),0)</f>
        <v>91</v>
      </c>
      <c r="D38" s="260">
        <f>+ROUND(AVERAGE(N38:N42),0)</f>
        <v>89</v>
      </c>
      <c r="E38" s="260">
        <f>+ROUND(AVERAGE(O38:O42),0)</f>
        <v>96</v>
      </c>
      <c r="F38" s="260">
        <f>+ROUND(AVERAGE(P38:P42),0)</f>
        <v>91</v>
      </c>
      <c r="G38" s="286">
        <f>+C38-E38</f>
        <v>-5</v>
      </c>
      <c r="H38" s="263">
        <f>+C38-F38</f>
        <v>0</v>
      </c>
      <c r="I38" s="291" t="s">
        <v>120</v>
      </c>
      <c r="J38" s="294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</row>
    <row r="39" spans="1:40">
      <c r="A39" s="305"/>
      <c r="B39" s="284"/>
      <c r="C39" s="247"/>
      <c r="D39" s="247"/>
      <c r="E39" s="247"/>
      <c r="F39" s="247"/>
      <c r="G39" s="287"/>
      <c r="H39" s="237"/>
      <c r="I39" s="292"/>
      <c r="J39" s="295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</row>
    <row r="40" spans="1:40">
      <c r="A40" s="305"/>
      <c r="B40" s="284"/>
      <c r="C40" s="247"/>
      <c r="D40" s="247"/>
      <c r="E40" s="247"/>
      <c r="F40" s="247"/>
      <c r="G40" s="287"/>
      <c r="H40" s="237"/>
      <c r="I40" s="292"/>
      <c r="J40" s="295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</row>
    <row r="41" spans="1:40" ht="15.75" thickBot="1">
      <c r="A41" s="305"/>
      <c r="B41" s="284"/>
      <c r="C41" s="247"/>
      <c r="D41" s="247"/>
      <c r="E41" s="247"/>
      <c r="F41" s="247"/>
      <c r="G41" s="287"/>
      <c r="H41" s="237"/>
      <c r="I41" s="292"/>
      <c r="J41" s="295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</row>
    <row r="42" spans="1:40" ht="29.25" thickBot="1">
      <c r="A42" s="306"/>
      <c r="B42" s="316"/>
      <c r="C42" s="288"/>
      <c r="D42" s="288"/>
      <c r="E42" s="288"/>
      <c r="F42" s="288"/>
      <c r="G42" s="289"/>
      <c r="H42" s="290"/>
      <c r="I42" s="293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</row>
    <row r="43" spans="1:4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</row>
    <row r="44" spans="1:40">
      <c r="A44" s="296" t="s">
        <v>128</v>
      </c>
      <c r="B44" s="278" t="s">
        <v>129</v>
      </c>
      <c r="C44" s="247">
        <f>+ROUND(AVERAGE(M44:M45),0)</f>
        <v>81</v>
      </c>
      <c r="D44" s="247">
        <f>+ROUND(AVERAGE(N44:N45),0)</f>
        <v>76</v>
      </c>
      <c r="E44" s="247">
        <f>+ROUND(AVERAGE(O44:O45),0)</f>
        <v>88</v>
      </c>
      <c r="F44" s="247">
        <f>+ROUND(AVERAGE(P44:P45),0)</f>
        <v>77</v>
      </c>
      <c r="G44" s="249">
        <f>+C44-E44</f>
        <v>-7</v>
      </c>
      <c r="H44" s="237">
        <f>+C44-F44</f>
        <v>4</v>
      </c>
      <c r="I44" s="269" t="s">
        <v>129</v>
      </c>
      <c r="J44" s="270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</row>
    <row r="45" spans="1:40" ht="15.75" thickBot="1">
      <c r="A45" s="296"/>
      <c r="B45" s="298"/>
      <c r="C45" s="248"/>
      <c r="D45" s="248"/>
      <c r="E45" s="248"/>
      <c r="F45" s="248"/>
      <c r="G45" s="299"/>
      <c r="H45" s="238"/>
      <c r="I45" s="273"/>
      <c r="J45" s="274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</row>
    <row r="46" spans="1:40">
      <c r="A46" s="296"/>
      <c r="B46" s="277" t="s">
        <v>132</v>
      </c>
      <c r="C46" s="260">
        <f>+ROUND(AVERAGE(M46:M47),0)</f>
        <v>84</v>
      </c>
      <c r="D46" s="260">
        <f>+ROUND(AVERAGE(N46:N47),0)</f>
        <v>79</v>
      </c>
      <c r="E46" s="260">
        <f>+ROUND(AVERAGE(O46:O47),0)</f>
        <v>91</v>
      </c>
      <c r="F46" s="260">
        <f>+ROUND(AVERAGE(P46:P47),0)</f>
        <v>80</v>
      </c>
      <c r="G46" s="281">
        <f>+C46-E46</f>
        <v>-7</v>
      </c>
      <c r="H46" s="263">
        <f>+C46-F46</f>
        <v>4</v>
      </c>
      <c r="I46" s="269" t="s">
        <v>132</v>
      </c>
      <c r="J46" s="270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</row>
    <row r="47" spans="1:40" ht="15.75" thickBot="1">
      <c r="A47" s="296"/>
      <c r="B47" s="298"/>
      <c r="C47" s="248"/>
      <c r="D47" s="248"/>
      <c r="E47" s="248"/>
      <c r="F47" s="248"/>
      <c r="G47" s="299"/>
      <c r="H47" s="238"/>
      <c r="I47" s="273"/>
      <c r="J47" s="274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</row>
    <row r="48" spans="1:40">
      <c r="A48" s="296"/>
      <c r="B48" s="277" t="s">
        <v>135</v>
      </c>
      <c r="C48" s="260">
        <f>+ROUND(AVERAGE(M48:M51),0)</f>
        <v>84</v>
      </c>
      <c r="D48" s="260">
        <f>+ROUND(AVERAGE(N48:N51),0)</f>
        <v>79</v>
      </c>
      <c r="E48" s="260">
        <f>+ROUND(AVERAGE(O48:O51),0)</f>
        <v>91</v>
      </c>
      <c r="F48" s="260">
        <f>+ROUND(AVERAGE(P48:P51),0)</f>
        <v>82</v>
      </c>
      <c r="G48" s="281">
        <f>+C48-E48</f>
        <v>-7</v>
      </c>
      <c r="H48" s="263">
        <f>+C48-F48</f>
        <v>2</v>
      </c>
      <c r="I48" s="269" t="s">
        <v>135</v>
      </c>
      <c r="J48" s="270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</row>
    <row r="49" spans="1:40">
      <c r="A49" s="296"/>
      <c r="B49" s="278"/>
      <c r="C49" s="247"/>
      <c r="D49" s="247"/>
      <c r="E49" s="247"/>
      <c r="F49" s="247"/>
      <c r="G49" s="250"/>
      <c r="H49" s="237"/>
      <c r="I49" s="271"/>
      <c r="J49" s="272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</row>
    <row r="50" spans="1:40">
      <c r="A50" s="296"/>
      <c r="B50" s="278"/>
      <c r="C50" s="247"/>
      <c r="D50" s="247"/>
      <c r="E50" s="247"/>
      <c r="F50" s="247"/>
      <c r="G50" s="250"/>
      <c r="H50" s="237"/>
      <c r="I50" s="271"/>
      <c r="J50" s="272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</row>
    <row r="51" spans="1:40" ht="15.75" thickBot="1">
      <c r="A51" s="297"/>
      <c r="B51" s="279"/>
      <c r="C51" s="280"/>
      <c r="D51" s="280"/>
      <c r="E51" s="280"/>
      <c r="F51" s="280"/>
      <c r="G51" s="282"/>
      <c r="H51" s="268"/>
      <c r="I51" s="273"/>
      <c r="J51" s="274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</row>
    <row r="52" spans="1:4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</row>
    <row r="53" spans="1:40">
      <c r="A53" s="275" t="s">
        <v>140</v>
      </c>
      <c r="B53" s="245" t="s">
        <v>141</v>
      </c>
      <c r="C53" s="247">
        <f>+ROUND(AVERAGE(M53:M55),0)</f>
        <v>87</v>
      </c>
      <c r="D53" s="247">
        <f>+ROUND(AVERAGE(N53:N55),0)</f>
        <v>83</v>
      </c>
      <c r="E53" s="247">
        <f>+ROUND(AVERAGE(O53:O55),0)</f>
        <v>93</v>
      </c>
      <c r="F53" s="247">
        <f>+ROUND(AVERAGE(P53:P55),0)</f>
        <v>84</v>
      </c>
      <c r="G53" s="249">
        <f>+C53-E53</f>
        <v>-6</v>
      </c>
      <c r="H53" s="237">
        <f>+C53-F53</f>
        <v>3</v>
      </c>
      <c r="I53" s="266" t="s">
        <v>141</v>
      </c>
      <c r="J53" s="266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</row>
    <row r="54" spans="1:40">
      <c r="A54" s="275"/>
      <c r="B54" s="245"/>
      <c r="C54" s="247"/>
      <c r="D54" s="247"/>
      <c r="E54" s="247"/>
      <c r="F54" s="247"/>
      <c r="G54" s="250"/>
      <c r="H54" s="237"/>
      <c r="I54" s="266"/>
      <c r="J54" s="266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</row>
    <row r="55" spans="1:40" ht="15.75" thickBot="1">
      <c r="A55" s="275"/>
      <c r="B55" s="246"/>
      <c r="C55" s="248"/>
      <c r="D55" s="248"/>
      <c r="E55" s="248"/>
      <c r="F55" s="248"/>
      <c r="G55" s="251"/>
      <c r="H55" s="238"/>
      <c r="I55" s="267"/>
      <c r="J55" s="267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</row>
    <row r="56" spans="1:40">
      <c r="A56" s="275"/>
      <c r="B56" s="283" t="s">
        <v>145</v>
      </c>
      <c r="C56" s="260">
        <f>+ROUND(AVERAGE(M56:M59),0)</f>
        <v>88</v>
      </c>
      <c r="D56" s="260">
        <f>+ROUND(AVERAGE(N56:N59),0)</f>
        <v>84</v>
      </c>
      <c r="E56" s="260">
        <f>+ROUND(AVERAGE(O56:O59),0)</f>
        <v>94</v>
      </c>
      <c r="F56" s="260">
        <f>+ROUND(AVERAGE(P56:P59),0)</f>
        <v>86</v>
      </c>
      <c r="G56" s="286">
        <f>+C56-E56</f>
        <v>-6</v>
      </c>
      <c r="H56" s="263">
        <f>+C56-F56</f>
        <v>2</v>
      </c>
      <c r="I56" s="252" t="s">
        <v>145</v>
      </c>
      <c r="J56" s="255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</row>
    <row r="57" spans="1:40" ht="15.75" thickBot="1">
      <c r="A57" s="275"/>
      <c r="B57" s="284"/>
      <c r="C57" s="247"/>
      <c r="D57" s="247"/>
      <c r="E57" s="247"/>
      <c r="F57" s="247"/>
      <c r="G57" s="287"/>
      <c r="H57" s="237"/>
      <c r="I57" s="253"/>
      <c r="J57" s="256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</row>
    <row r="58" spans="1:40">
      <c r="A58" s="275"/>
      <c r="B58" s="284"/>
      <c r="C58" s="247"/>
      <c r="D58" s="247"/>
      <c r="E58" s="247"/>
      <c r="F58" s="247"/>
      <c r="G58" s="287"/>
      <c r="H58" s="237"/>
      <c r="I58" s="253"/>
      <c r="J58" s="255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</row>
    <row r="59" spans="1:40" ht="29.25" thickBot="1">
      <c r="A59" s="275"/>
      <c r="B59" s="285"/>
      <c r="C59" s="248"/>
      <c r="D59" s="248"/>
      <c r="E59" s="248"/>
      <c r="F59" s="248"/>
      <c r="G59" s="287"/>
      <c r="H59" s="238"/>
      <c r="I59" s="254"/>
      <c r="J59" s="257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</row>
    <row r="60" spans="1:40">
      <c r="A60" s="275"/>
      <c r="B60" s="258" t="s">
        <v>152</v>
      </c>
      <c r="C60" s="260">
        <f>+ROUND(AVERAGE(M60:M62),0)</f>
        <v>82</v>
      </c>
      <c r="D60" s="260">
        <f>+ROUND(AVERAGE(N60:N62),0)</f>
        <v>78</v>
      </c>
      <c r="E60" s="260">
        <f>+ROUND(AVERAGE(O60:O62),0)</f>
        <v>90</v>
      </c>
      <c r="F60" s="260">
        <f>+ROUND(AVERAGE(P60:P62),0)</f>
        <v>78</v>
      </c>
      <c r="G60" s="262">
        <f>+C60-E60</f>
        <v>-8</v>
      </c>
      <c r="H60" s="263">
        <f>+C60-F60</f>
        <v>4</v>
      </c>
      <c r="I60" s="265" t="s">
        <v>152</v>
      </c>
      <c r="J60" s="265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</row>
    <row r="61" spans="1:40">
      <c r="A61" s="275"/>
      <c r="B61" s="245"/>
      <c r="C61" s="247"/>
      <c r="D61" s="247"/>
      <c r="E61" s="247"/>
      <c r="F61" s="247"/>
      <c r="G61" s="250"/>
      <c r="H61" s="237"/>
      <c r="I61" s="266"/>
      <c r="J61" s="266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</row>
    <row r="62" spans="1:40" ht="15.75" thickBot="1">
      <c r="A62" s="276"/>
      <c r="B62" s="259"/>
      <c r="C62" s="261"/>
      <c r="D62" s="261"/>
      <c r="E62" s="261"/>
      <c r="F62" s="261"/>
      <c r="G62" s="251"/>
      <c r="H62" s="264"/>
      <c r="I62" s="267"/>
      <c r="J62" s="267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</row>
    <row r="63" spans="1:4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</row>
    <row r="64" spans="1:40">
      <c r="A64" s="70"/>
      <c r="B64" s="245"/>
      <c r="C64" s="247"/>
      <c r="D64" s="247"/>
      <c r="E64" s="247"/>
      <c r="F64" s="247"/>
      <c r="G64" s="249"/>
      <c r="H64" s="237"/>
      <c r="I64" s="71"/>
      <c r="J64" s="239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</row>
    <row r="65" spans="1:40" ht="28.5">
      <c r="A65" s="70"/>
      <c r="B65" s="245"/>
      <c r="C65" s="247"/>
      <c r="D65" s="247"/>
      <c r="E65" s="247"/>
      <c r="F65" s="247"/>
      <c r="G65" s="249"/>
      <c r="H65" s="237"/>
      <c r="I65" s="71"/>
      <c r="J65" s="240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</row>
    <row r="66" spans="1:40" ht="28.5">
      <c r="A66" s="70"/>
      <c r="B66" s="245"/>
      <c r="C66" s="247"/>
      <c r="D66" s="247"/>
      <c r="E66" s="247"/>
      <c r="F66" s="247"/>
      <c r="G66" s="249"/>
      <c r="H66" s="237"/>
      <c r="I66" s="71"/>
      <c r="J66" s="240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</row>
    <row r="67" spans="1:40" ht="28.5">
      <c r="A67" s="70"/>
      <c r="B67" s="245"/>
      <c r="C67" s="247"/>
      <c r="D67" s="247"/>
      <c r="E67" s="247"/>
      <c r="F67" s="247"/>
      <c r="G67" s="249"/>
      <c r="H67" s="237"/>
      <c r="I67" s="71"/>
      <c r="J67" s="240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</row>
    <row r="68" spans="1:40">
      <c r="A68" s="70"/>
      <c r="B68" s="245"/>
      <c r="C68" s="247"/>
      <c r="D68" s="247"/>
      <c r="E68" s="247"/>
      <c r="F68" s="247"/>
      <c r="G68" s="249"/>
      <c r="H68" s="237"/>
      <c r="I68" s="71"/>
      <c r="J68" s="240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</row>
    <row r="69" spans="1:40" ht="28.5">
      <c r="A69" s="70"/>
      <c r="B69" s="245"/>
      <c r="C69" s="247"/>
      <c r="D69" s="247"/>
      <c r="E69" s="247"/>
      <c r="F69" s="247"/>
      <c r="G69" s="250"/>
      <c r="H69" s="237"/>
      <c r="I69" s="71"/>
      <c r="J69" s="240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ht="29.25" thickBot="1">
      <c r="A70" s="70"/>
      <c r="B70" s="246"/>
      <c r="C70" s="248"/>
      <c r="D70" s="248"/>
      <c r="E70" s="248"/>
      <c r="F70" s="248"/>
      <c r="G70" s="251"/>
      <c r="H70" s="238"/>
      <c r="I70" s="71"/>
      <c r="J70" s="241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</row>
    <row r="71" spans="1:4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</row>
    <row r="72" spans="1:4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42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</row>
    <row r="73" spans="1:40">
      <c r="A73" s="70"/>
      <c r="B73" s="72"/>
      <c r="C73" s="72"/>
      <c r="D73" s="72"/>
      <c r="E73" s="72"/>
      <c r="F73" s="72"/>
      <c r="G73" s="72"/>
      <c r="H73" s="72"/>
      <c r="I73" s="71"/>
      <c r="J73" s="243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</row>
    <row r="74" spans="1:40">
      <c r="A74" s="70"/>
      <c r="B74" s="72"/>
      <c r="C74" s="72"/>
      <c r="D74" s="72"/>
      <c r="E74" s="72"/>
      <c r="F74" s="72"/>
      <c r="G74" s="72"/>
      <c r="H74" s="72"/>
      <c r="I74" s="71"/>
      <c r="J74" s="243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</row>
    <row r="75" spans="1:40">
      <c r="A75" s="70"/>
      <c r="B75" s="72"/>
      <c r="C75" s="72"/>
      <c r="D75" s="72"/>
      <c r="E75" s="72"/>
      <c r="F75" s="72"/>
      <c r="G75" s="72"/>
      <c r="H75" s="72"/>
      <c r="I75" s="71"/>
      <c r="J75" s="243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</row>
    <row r="77" spans="1:4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</row>
    <row r="78" spans="1:40">
      <c r="A78" s="70"/>
      <c r="B78" s="72"/>
      <c r="C78" s="72"/>
      <c r="D78" s="72"/>
      <c r="E78" s="72"/>
      <c r="F78" s="72"/>
      <c r="G78" s="72"/>
      <c r="H78" s="72"/>
      <c r="I78" s="71"/>
      <c r="J78" s="244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</row>
    <row r="79" spans="1:40">
      <c r="A79" s="70"/>
      <c r="B79" s="72"/>
      <c r="C79" s="72"/>
      <c r="D79" s="72"/>
      <c r="E79" s="72"/>
      <c r="F79" s="72"/>
      <c r="G79" s="72"/>
      <c r="H79" s="72"/>
      <c r="I79" s="71"/>
      <c r="J79" s="244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</row>
    <row r="80" spans="1:40">
      <c r="A80" s="70"/>
      <c r="B80" s="72"/>
      <c r="C80" s="72"/>
      <c r="D80" s="72"/>
      <c r="E80" s="72"/>
      <c r="F80" s="72"/>
      <c r="G80" s="72"/>
      <c r="H80" s="72"/>
      <c r="I80" s="71"/>
      <c r="J80" s="244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</row>
    <row r="81" spans="1:40">
      <c r="A81" s="70"/>
      <c r="B81" s="72"/>
      <c r="C81" s="72"/>
      <c r="D81" s="72"/>
      <c r="E81" s="72"/>
      <c r="F81" s="72"/>
      <c r="G81" s="72"/>
      <c r="H81" s="72"/>
      <c r="I81" s="71"/>
      <c r="J81" s="244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>
      <c r="A82" s="70"/>
      <c r="B82" s="72"/>
      <c r="C82" s="72"/>
      <c r="D82" s="72"/>
      <c r="E82" s="72"/>
      <c r="F82" s="72"/>
      <c r="G82" s="72"/>
      <c r="H82" s="72"/>
      <c r="I82" s="71"/>
      <c r="J82" s="244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</row>
    <row r="83" spans="1:4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</row>
    <row r="84" spans="1:4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</row>
    <row r="85" spans="1:4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</row>
    <row r="86" spans="1:4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</row>
    <row r="87" spans="1:4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46" priority="102" operator="lessThanOrEqual">
      <formula>-5</formula>
    </cfRule>
    <cfRule type="cellIs" dxfId="245" priority="103" operator="greaterThanOrEqual">
      <formula>5</formula>
    </cfRule>
  </conditionalFormatting>
  <conditionalFormatting sqref="M2:M15">
    <cfRule type="expression" dxfId="244" priority="97">
      <formula>M2=""</formula>
    </cfRule>
    <cfRule type="expression" dxfId="243" priority="98">
      <formula>M2&lt;44.5</formula>
    </cfRule>
    <cfRule type="expression" dxfId="242" priority="99">
      <formula>M2&lt;60.5</formula>
    </cfRule>
    <cfRule type="expression" dxfId="241" priority="100">
      <formula>M2&lt;85.5</formula>
    </cfRule>
    <cfRule type="expression" dxfId="240" priority="101">
      <formula>M2&gt;85.5</formula>
    </cfRule>
  </conditionalFormatting>
  <conditionalFormatting sqref="O2:P15 M2:M15">
    <cfRule type="expression" dxfId="239" priority="92">
      <formula>M2=""</formula>
    </cfRule>
    <cfRule type="expression" dxfId="238" priority="93">
      <formula>M2&lt;44.5</formula>
    </cfRule>
    <cfRule type="expression" dxfId="237" priority="94">
      <formula>M2&lt;60.5</formula>
    </cfRule>
    <cfRule type="expression" dxfId="236" priority="95">
      <formula>M2&lt;85.5</formula>
    </cfRule>
    <cfRule type="expression" dxfId="235" priority="96">
      <formula>M2&gt;85.5</formula>
    </cfRule>
  </conditionalFormatting>
  <conditionalFormatting sqref="N2:N15">
    <cfRule type="expression" dxfId="234" priority="87">
      <formula>N2=""</formula>
    </cfRule>
    <cfRule type="expression" dxfId="233" priority="88">
      <formula>N2&lt;44.5</formula>
    </cfRule>
    <cfRule type="expression" dxfId="232" priority="89">
      <formula>N2&lt;60.5</formula>
    </cfRule>
    <cfRule type="expression" dxfId="231" priority="90">
      <formula>N2&lt;85.5</formula>
    </cfRule>
    <cfRule type="expression" dxfId="230" priority="91">
      <formula>N2&gt;85.5</formula>
    </cfRule>
  </conditionalFormatting>
  <conditionalFormatting sqref="N2:N15">
    <cfRule type="expression" dxfId="229" priority="82">
      <formula>N2=""</formula>
    </cfRule>
    <cfRule type="expression" dxfId="228" priority="83">
      <formula>N2&lt;44.5</formula>
    </cfRule>
    <cfRule type="expression" dxfId="227" priority="84">
      <formula>N2&lt;60.5</formula>
    </cfRule>
    <cfRule type="expression" dxfId="226" priority="85">
      <formula>N2&lt;85.5</formula>
    </cfRule>
    <cfRule type="expression" dxfId="225" priority="86">
      <formula>N2&gt;85.5</formula>
    </cfRule>
  </conditionalFormatting>
  <conditionalFormatting sqref="M17:M29">
    <cfRule type="expression" dxfId="224" priority="77">
      <formula>M17=""</formula>
    </cfRule>
    <cfRule type="expression" dxfId="223" priority="78">
      <formula>M17&lt;44.5</formula>
    </cfRule>
    <cfRule type="expression" dxfId="222" priority="79">
      <formula>M17&lt;60.5</formula>
    </cfRule>
    <cfRule type="expression" dxfId="221" priority="80">
      <formula>M17&lt;85.5</formula>
    </cfRule>
    <cfRule type="expression" dxfId="220" priority="81">
      <formula>M17&gt;85.5</formula>
    </cfRule>
  </conditionalFormatting>
  <conditionalFormatting sqref="O17:P29">
    <cfRule type="expression" dxfId="219" priority="72">
      <formula>O17=""</formula>
    </cfRule>
    <cfRule type="expression" dxfId="218" priority="73">
      <formula>O17&lt;44.5</formula>
    </cfRule>
    <cfRule type="expression" dxfId="217" priority="74">
      <formula>O17&lt;60.5</formula>
    </cfRule>
    <cfRule type="expression" dxfId="216" priority="75">
      <formula>O17&lt;85.5</formula>
    </cfRule>
    <cfRule type="expression" dxfId="215" priority="76">
      <formula>O17&gt;85.5</formula>
    </cfRule>
  </conditionalFormatting>
  <conditionalFormatting sqref="N17:N29">
    <cfRule type="expression" dxfId="214" priority="67">
      <formula>N17=""</formula>
    </cfRule>
    <cfRule type="expression" dxfId="213" priority="68">
      <formula>N17&lt;44.5</formula>
    </cfRule>
    <cfRule type="expression" dxfId="212" priority="69">
      <formula>N17&lt;60.5</formula>
    </cfRule>
    <cfRule type="expression" dxfId="211" priority="70">
      <formula>N17&lt;85.5</formula>
    </cfRule>
    <cfRule type="expression" dxfId="210" priority="71">
      <formula>N17&gt;85.5</formula>
    </cfRule>
  </conditionalFormatting>
  <conditionalFormatting sqref="M31:M42">
    <cfRule type="expression" dxfId="209" priority="62">
      <formula>M31=""</formula>
    </cfRule>
    <cfRule type="expression" dxfId="208" priority="63">
      <formula>M31&lt;44.5</formula>
    </cfRule>
    <cfRule type="expression" dxfId="207" priority="64">
      <formula>M31&lt;60.5</formula>
    </cfRule>
    <cfRule type="expression" dxfId="206" priority="65">
      <formula>M31&lt;85.5</formula>
    </cfRule>
    <cfRule type="expression" dxfId="205" priority="66">
      <formula>M31&gt;85.5</formula>
    </cfRule>
  </conditionalFormatting>
  <conditionalFormatting sqref="O31:P42">
    <cfRule type="expression" dxfId="204" priority="57">
      <formula>O31=""</formula>
    </cfRule>
    <cfRule type="expression" dxfId="203" priority="58">
      <formula>O31&lt;44.5</formula>
    </cfRule>
    <cfRule type="expression" dxfId="202" priority="59">
      <formula>O31&lt;60.5</formula>
    </cfRule>
    <cfRule type="expression" dxfId="201" priority="60">
      <formula>O31&lt;85.5</formula>
    </cfRule>
    <cfRule type="expression" dxfId="200" priority="61">
      <formula>O31&gt;85.5</formula>
    </cfRule>
  </conditionalFormatting>
  <conditionalFormatting sqref="N31:N42">
    <cfRule type="expression" dxfId="199" priority="52">
      <formula>N31=""</formula>
    </cfRule>
    <cfRule type="expression" dxfId="198" priority="53">
      <formula>N31&lt;44.5</formula>
    </cfRule>
    <cfRule type="expression" dxfId="197" priority="54">
      <formula>N31&lt;60.5</formula>
    </cfRule>
    <cfRule type="expression" dxfId="196" priority="55">
      <formula>N31&lt;85.5</formula>
    </cfRule>
    <cfRule type="expression" dxfId="195" priority="56">
      <formula>N31&gt;85.5</formula>
    </cfRule>
  </conditionalFormatting>
  <conditionalFormatting sqref="M44:M51">
    <cfRule type="expression" dxfId="194" priority="47">
      <formula>M44=""</formula>
    </cfRule>
    <cfRule type="expression" dxfId="193" priority="48">
      <formula>M44&lt;44.5</formula>
    </cfRule>
    <cfRule type="expression" dxfId="192" priority="49">
      <formula>M44&lt;60.5</formula>
    </cfRule>
    <cfRule type="expression" dxfId="191" priority="50">
      <formula>M44&lt;85.5</formula>
    </cfRule>
    <cfRule type="expression" dxfId="190" priority="51">
      <formula>M44&gt;85.5</formula>
    </cfRule>
  </conditionalFormatting>
  <conditionalFormatting sqref="O44:P51">
    <cfRule type="expression" dxfId="189" priority="42">
      <formula>O44=""</formula>
    </cfRule>
    <cfRule type="expression" dxfId="188" priority="43">
      <formula>O44&lt;44.5</formula>
    </cfRule>
    <cfRule type="expression" dxfId="187" priority="44">
      <formula>O44&lt;60.5</formula>
    </cfRule>
    <cfRule type="expression" dxfId="186" priority="45">
      <formula>O44&lt;85.5</formula>
    </cfRule>
    <cfRule type="expression" dxfId="185" priority="46">
      <formula>O44&gt;85.5</formula>
    </cfRule>
  </conditionalFormatting>
  <conditionalFormatting sqref="N44:N51">
    <cfRule type="expression" dxfId="184" priority="37">
      <formula>N44=""</formula>
    </cfRule>
    <cfRule type="expression" dxfId="183" priority="38">
      <formula>N44&lt;44.5</formula>
    </cfRule>
    <cfRule type="expression" dxfId="182" priority="39">
      <formula>N44&lt;60.5</formula>
    </cfRule>
    <cfRule type="expression" dxfId="181" priority="40">
      <formula>N44&lt;85.5</formula>
    </cfRule>
    <cfRule type="expression" dxfId="180" priority="41">
      <formula>N44&gt;85.5</formula>
    </cfRule>
  </conditionalFormatting>
  <conditionalFormatting sqref="M53:M62">
    <cfRule type="expression" dxfId="179" priority="32">
      <formula>M53=""</formula>
    </cfRule>
    <cfRule type="expression" dxfId="178" priority="33">
      <formula>M53&lt;44.5</formula>
    </cfRule>
    <cfRule type="expression" dxfId="177" priority="34">
      <formula>M53&lt;60.5</formula>
    </cfRule>
    <cfRule type="expression" dxfId="176" priority="35">
      <formula>M53&lt;85.5</formula>
    </cfRule>
    <cfRule type="expression" dxfId="175" priority="36">
      <formula>M53&gt;85.5</formula>
    </cfRule>
  </conditionalFormatting>
  <conditionalFormatting sqref="O53:P62">
    <cfRule type="expression" dxfId="174" priority="27">
      <formula>O53=""</formula>
    </cfRule>
    <cfRule type="expression" dxfId="173" priority="28">
      <formula>O53&lt;44.5</formula>
    </cfRule>
    <cfRule type="expression" dxfId="172" priority="29">
      <formula>O53&lt;60.5</formula>
    </cfRule>
    <cfRule type="expression" dxfId="171" priority="30">
      <formula>O53&lt;85.5</formula>
    </cfRule>
    <cfRule type="expression" dxfId="170" priority="31">
      <formula>O53&gt;85.5</formula>
    </cfRule>
  </conditionalFormatting>
  <conditionalFormatting sqref="N53:N62">
    <cfRule type="expression" dxfId="169" priority="22">
      <formula>N53=""</formula>
    </cfRule>
    <cfRule type="expression" dxfId="168" priority="23">
      <formula>N53&lt;44.5</formula>
    </cfRule>
    <cfRule type="expression" dxfId="167" priority="24">
      <formula>N53&lt;60.5</formula>
    </cfRule>
    <cfRule type="expression" dxfId="166" priority="25">
      <formula>N53&lt;85.5</formula>
    </cfRule>
    <cfRule type="expression" dxfId="165" priority="26">
      <formula>N53&gt;85.5</formula>
    </cfRule>
  </conditionalFormatting>
  <conditionalFormatting sqref="Q63:Q70">
    <cfRule type="cellIs" dxfId="164" priority="20" operator="lessThanOrEqual">
      <formula>-5</formula>
    </cfRule>
    <cfRule type="cellIs" dxfId="163" priority="21" operator="greaterThanOrEqual">
      <formula>5</formula>
    </cfRule>
  </conditionalFormatting>
  <conditionalFormatting sqref="M64:M70">
    <cfRule type="expression" dxfId="162" priority="15">
      <formula>M64=""</formula>
    </cfRule>
    <cfRule type="expression" dxfId="161" priority="16">
      <formula>M64&lt;44.5</formula>
    </cfRule>
    <cfRule type="expression" dxfId="160" priority="17">
      <formula>M64&lt;60.5</formula>
    </cfRule>
    <cfRule type="expression" dxfId="159" priority="18">
      <formula>M64&lt;85.5</formula>
    </cfRule>
    <cfRule type="expression" dxfId="158" priority="19">
      <formula>M64&gt;85.5</formula>
    </cfRule>
  </conditionalFormatting>
  <conditionalFormatting sqref="O64:P70">
    <cfRule type="expression" dxfId="157" priority="10">
      <formula>O64=""</formula>
    </cfRule>
    <cfRule type="expression" dxfId="156" priority="11">
      <formula>O64&lt;44.5</formula>
    </cfRule>
    <cfRule type="expression" dxfId="155" priority="12">
      <formula>O64&lt;60.5</formula>
    </cfRule>
    <cfRule type="expression" dxfId="154" priority="13">
      <formula>O64&lt;85.5</formula>
    </cfRule>
    <cfRule type="expression" dxfId="153" priority="14">
      <formula>O64&gt;85.5</formula>
    </cfRule>
  </conditionalFormatting>
  <conditionalFormatting sqref="N64:N68">
    <cfRule type="expression" dxfId="152" priority="5">
      <formula>N64=""</formula>
    </cfRule>
    <cfRule type="expression" dxfId="151" priority="6">
      <formula>N64&lt;44.5</formula>
    </cfRule>
    <cfRule type="expression" dxfId="150" priority="7">
      <formula>N64&lt;60.5</formula>
    </cfRule>
    <cfRule type="expression" dxfId="149" priority="8">
      <formula>N64&lt;85.5</formula>
    </cfRule>
    <cfRule type="expression" dxfId="148" priority="9">
      <formula>N64&gt;85.5</formula>
    </cfRule>
  </conditionalFormatting>
  <conditionalFormatting sqref="J86 H86">
    <cfRule type="expression" dxfId="147" priority="3">
      <formula>$C86="IMPARCIALIDAD"</formula>
    </cfRule>
  </conditionalFormatting>
  <conditionalFormatting sqref="J98:J107 H98:H107 J86:J96 H86:H96">
    <cfRule type="expression" dxfId="146" priority="4">
      <formula>$C86="RESPETO"</formula>
    </cfRule>
    <cfRule type="expression" dxfId="145" priority="104">
      <formula>$C86="CREDIBILIDAD"</formula>
    </cfRule>
  </conditionalFormatting>
  <conditionalFormatting sqref="I86">
    <cfRule type="expression" dxfId="144" priority="1">
      <formula>$C86="IMPARCIALIDAD"</formula>
    </cfRule>
  </conditionalFormatting>
  <conditionalFormatting sqref="I98:I107 I86:I96">
    <cfRule type="expression" dxfId="143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42" t="s">
        <v>29</v>
      </c>
      <c r="D11" s="343"/>
      <c r="E11" s="343"/>
      <c r="F11" s="343"/>
      <c r="G11" s="343"/>
      <c r="H11" s="11"/>
    </row>
    <row r="12" spans="2:9">
      <c r="H12" s="11"/>
    </row>
    <row r="13" spans="2:9">
      <c r="C13" s="348" t="s">
        <v>30</v>
      </c>
      <c r="D13" s="348"/>
      <c r="E13" s="349"/>
      <c r="G13" s="340" t="s">
        <v>31</v>
      </c>
      <c r="H13" s="340"/>
      <c r="I13" s="11"/>
    </row>
    <row r="14" spans="2:9">
      <c r="C14" s="334" t="s">
        <v>32</v>
      </c>
      <c r="D14" s="335"/>
      <c r="E14" s="109">
        <v>1.96</v>
      </c>
      <c r="G14" s="111" t="s">
        <v>32</v>
      </c>
      <c r="H14" s="111" t="s">
        <v>33</v>
      </c>
      <c r="I14" s="11"/>
    </row>
    <row r="15" spans="2:9">
      <c r="C15" s="346" t="s">
        <v>34</v>
      </c>
      <c r="D15" s="335"/>
      <c r="E15" s="109">
        <v>0.05</v>
      </c>
      <c r="G15" s="112">
        <v>1.282</v>
      </c>
      <c r="H15" s="113">
        <v>0.8</v>
      </c>
      <c r="I15" s="11"/>
    </row>
    <row r="16" spans="2:9">
      <c r="C16" s="334" t="s">
        <v>35</v>
      </c>
      <c r="D16" s="335"/>
      <c r="E16" s="109">
        <v>0.5</v>
      </c>
      <c r="G16" s="112">
        <v>1.44</v>
      </c>
      <c r="H16" s="113">
        <v>0.85</v>
      </c>
      <c r="I16" s="11"/>
    </row>
    <row r="17" spans="3:9">
      <c r="C17" s="334" t="s">
        <v>36</v>
      </c>
      <c r="D17" s="335"/>
      <c r="E17" s="109">
        <v>0.5</v>
      </c>
      <c r="G17" s="112">
        <v>1.65</v>
      </c>
      <c r="H17" s="113">
        <v>0.9</v>
      </c>
      <c r="I17" s="11"/>
    </row>
    <row r="18" spans="3:9">
      <c r="C18" s="347" t="s">
        <v>37</v>
      </c>
      <c r="D18" s="335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40" t="s">
        <v>38</v>
      </c>
      <c r="D20" s="340"/>
      <c r="E20" s="341"/>
      <c r="I20" s="11"/>
    </row>
    <row r="21" spans="3:9">
      <c r="C21" s="334" t="s">
        <v>39</v>
      </c>
      <c r="D21" s="335"/>
      <c r="E21" s="109">
        <f>+(E16*E17)</f>
        <v>0.25</v>
      </c>
      <c r="I21" s="11"/>
    </row>
    <row r="22" spans="3:9">
      <c r="C22" s="334" t="s">
        <v>40</v>
      </c>
      <c r="D22" s="335"/>
      <c r="E22" s="114">
        <f>+E15/E14</f>
        <v>2.5510204081632654E-2</v>
      </c>
      <c r="I22" s="11"/>
    </row>
    <row r="23" spans="3:9">
      <c r="C23" s="334" t="s">
        <v>51</v>
      </c>
      <c r="D23" s="335"/>
      <c r="E23" s="114">
        <f>+E22*E22</f>
        <v>6.5077051228654734E-4</v>
      </c>
      <c r="I23" s="11"/>
    </row>
    <row r="24" spans="3:9">
      <c r="C24" s="334" t="s">
        <v>41</v>
      </c>
      <c r="D24" s="335"/>
      <c r="E24" s="109">
        <f>+E21/E18</f>
        <v>2.1739130434782609E-3</v>
      </c>
      <c r="I24" s="11"/>
    </row>
    <row r="25" spans="3:9" ht="15.75" thickBot="1">
      <c r="C25" s="337" t="s">
        <v>42</v>
      </c>
      <c r="D25" s="335"/>
      <c r="E25" s="115">
        <f>+E21/(E23+E24)</f>
        <v>88.505489221892788</v>
      </c>
      <c r="I25" s="11"/>
    </row>
    <row r="26" spans="3:9" ht="15.75" thickBot="1">
      <c r="C26" s="337" t="s">
        <v>43</v>
      </c>
      <c r="D26" s="335"/>
      <c r="E26" s="115">
        <f>+E25*2</f>
        <v>177.01097844378558</v>
      </c>
      <c r="G26" s="344" t="s">
        <v>44</v>
      </c>
      <c r="H26" s="345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42" t="s">
        <v>45</v>
      </c>
      <c r="D29" s="343"/>
      <c r="E29" s="343"/>
      <c r="F29" s="343"/>
      <c r="G29" s="343"/>
      <c r="H29" s="11"/>
    </row>
    <row r="30" spans="3:9">
      <c r="C30" s="340" t="s">
        <v>30</v>
      </c>
      <c r="D30" s="340"/>
      <c r="E30" s="341"/>
      <c r="G30" s="31"/>
      <c r="H30" s="31"/>
      <c r="I30" s="22"/>
    </row>
    <row r="31" spans="3:9" ht="20.100000000000001" customHeight="1">
      <c r="C31" s="334" t="s">
        <v>32</v>
      </c>
      <c r="D31" s="335"/>
      <c r="E31" s="116">
        <v>1.65</v>
      </c>
      <c r="G31" s="25"/>
      <c r="H31" s="25"/>
      <c r="I31" s="11"/>
    </row>
    <row r="32" spans="3:9">
      <c r="C32" s="334" t="s">
        <v>35</v>
      </c>
      <c r="D32" s="335"/>
      <c r="E32" s="109">
        <v>0.5</v>
      </c>
      <c r="G32" s="25"/>
      <c r="H32" s="25"/>
      <c r="I32" s="11"/>
    </row>
    <row r="33" spans="3:9">
      <c r="C33" s="334" t="s">
        <v>36</v>
      </c>
      <c r="D33" s="335"/>
      <c r="E33" s="109">
        <v>0.5</v>
      </c>
      <c r="G33" s="25"/>
      <c r="H33" s="25"/>
      <c r="I33" s="11"/>
    </row>
    <row r="34" spans="3:9">
      <c r="C34" s="338" t="s">
        <v>37</v>
      </c>
      <c r="D34" s="339"/>
      <c r="E34" s="110">
        <f>$G$3</f>
        <v>5231</v>
      </c>
      <c r="G34" s="26"/>
      <c r="H34" s="26"/>
      <c r="I34" s="11"/>
    </row>
    <row r="35" spans="3:9">
      <c r="C35" s="338" t="s">
        <v>42</v>
      </c>
      <c r="D35" s="339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40" t="s">
        <v>38</v>
      </c>
      <c r="D37" s="340"/>
      <c r="E37" s="341"/>
      <c r="G37" s="31"/>
      <c r="H37" s="31"/>
      <c r="I37" s="11"/>
    </row>
    <row r="38" spans="3:9">
      <c r="C38" s="334" t="s">
        <v>39</v>
      </c>
      <c r="D38" s="335"/>
      <c r="E38" s="117">
        <f>+(E32*E33)</f>
        <v>0.25</v>
      </c>
      <c r="F38" s="23"/>
      <c r="G38" s="25"/>
      <c r="H38" s="28"/>
      <c r="I38" s="11"/>
    </row>
    <row r="39" spans="3:9">
      <c r="C39" s="334" t="s">
        <v>46</v>
      </c>
      <c r="D39" s="335"/>
      <c r="E39" s="114">
        <f>(1/E35)-(1/E34)</f>
        <v>1.3498357073878575E-5</v>
      </c>
      <c r="F39" s="23"/>
      <c r="G39" s="25"/>
      <c r="H39" s="29"/>
      <c r="I39" s="11"/>
    </row>
    <row r="40" spans="3:9">
      <c r="C40" s="334" t="s">
        <v>47</v>
      </c>
      <c r="D40" s="335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34" t="s">
        <v>48</v>
      </c>
      <c r="D41" s="336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37" t="s">
        <v>49</v>
      </c>
      <c r="D42" s="335"/>
      <c r="E42" s="119">
        <f>+E41*E31</f>
        <v>3.0310591025924593E-3</v>
      </c>
      <c r="G42" s="344" t="s">
        <v>50</v>
      </c>
      <c r="H42" s="345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3"/>
  <sheetViews>
    <sheetView tabSelected="1" workbookViewId="0">
      <selection activeCell="D3" sqref="D3"/>
    </sheetView>
  </sheetViews>
  <sheetFormatPr baseColWidth="10" defaultRowHeight="15"/>
  <cols>
    <col min="1" max="1" width="5.7109375" customWidth="1"/>
    <col min="2" max="2" width="22.140625" style="158" bestFit="1" customWidth="1"/>
    <col min="3" max="3" width="21.7109375" style="156" bestFit="1" customWidth="1"/>
    <col min="4" max="4" width="25.28515625" bestFit="1" customWidth="1"/>
    <col min="5" max="6" width="10.7109375" style="168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457</v>
      </c>
      <c r="C3" s="151">
        <v>2</v>
      </c>
    </row>
    <row r="4" spans="2:8">
      <c r="C4" s="155"/>
    </row>
    <row r="5" spans="2:8" ht="15" customHeight="1">
      <c r="B5" s="159" t="s">
        <v>194</v>
      </c>
      <c r="C5" s="356" t="s">
        <v>373</v>
      </c>
      <c r="D5" s="357"/>
      <c r="E5" s="192" t="s">
        <v>328</v>
      </c>
      <c r="F5" s="192" t="s">
        <v>329</v>
      </c>
      <c r="G5" s="192" t="s">
        <v>431</v>
      </c>
      <c r="H5" s="192" t="s">
        <v>432</v>
      </c>
    </row>
    <row r="6" spans="2:8" ht="30">
      <c r="B6" s="160" t="s">
        <v>390</v>
      </c>
      <c r="C6" s="157" t="s">
        <v>374</v>
      </c>
      <c r="D6" s="162"/>
      <c r="E6" s="163" t="s">
        <v>421</v>
      </c>
      <c r="F6" s="163" t="s">
        <v>365</v>
      </c>
      <c r="G6" s="163"/>
      <c r="H6" s="163"/>
    </row>
    <row r="7" spans="2:8" ht="30">
      <c r="B7" s="160" t="s">
        <v>410</v>
      </c>
      <c r="C7" s="157" t="s">
        <v>375</v>
      </c>
      <c r="D7" s="162"/>
      <c r="E7" s="163" t="s">
        <v>472</v>
      </c>
      <c r="F7" s="163" t="s">
        <v>473</v>
      </c>
      <c r="G7" s="163" t="s">
        <v>468</v>
      </c>
      <c r="H7" s="163" t="s">
        <v>469</v>
      </c>
    </row>
    <row r="8" spans="2:8" ht="30.75" customHeight="1">
      <c r="B8" s="160" t="s">
        <v>391</v>
      </c>
      <c r="C8" s="157" t="s">
        <v>388</v>
      </c>
      <c r="D8" s="162"/>
      <c r="E8" s="163" t="s">
        <v>422</v>
      </c>
      <c r="F8" s="163" t="s">
        <v>366</v>
      </c>
      <c r="G8" s="163"/>
      <c r="H8" s="163"/>
    </row>
    <row r="9" spans="2:8" ht="45">
      <c r="B9" s="160" t="s">
        <v>411</v>
      </c>
      <c r="C9" s="157" t="s">
        <v>389</v>
      </c>
      <c r="D9" s="162"/>
      <c r="E9" s="163" t="s">
        <v>470</v>
      </c>
      <c r="F9" s="163" t="s">
        <v>471</v>
      </c>
      <c r="G9" s="163" t="s">
        <v>468</v>
      </c>
      <c r="H9" s="163" t="s">
        <v>469</v>
      </c>
    </row>
    <row r="10" spans="2:8">
      <c r="B10" s="159" t="s">
        <v>194</v>
      </c>
      <c r="C10" s="358" t="s">
        <v>166</v>
      </c>
      <c r="D10" s="359"/>
      <c r="E10" s="192" t="s">
        <v>328</v>
      </c>
      <c r="F10" s="192" t="s">
        <v>329</v>
      </c>
      <c r="G10" s="192" t="s">
        <v>431</v>
      </c>
      <c r="H10" s="192" t="s">
        <v>432</v>
      </c>
    </row>
    <row r="11" spans="2:8">
      <c r="B11" s="161" t="s">
        <v>404</v>
      </c>
      <c r="C11" s="157" t="s">
        <v>330</v>
      </c>
      <c r="D11" s="164"/>
      <c r="E11" s="165" t="s">
        <v>422</v>
      </c>
      <c r="F11" s="165" t="s">
        <v>433</v>
      </c>
      <c r="G11" s="163"/>
      <c r="H11" s="163"/>
    </row>
    <row r="12" spans="2:8">
      <c r="B12" s="350" t="s">
        <v>392</v>
      </c>
      <c r="C12" s="361" t="s">
        <v>330</v>
      </c>
      <c r="D12" s="153" t="s">
        <v>62</v>
      </c>
      <c r="E12" s="165" t="s">
        <v>331</v>
      </c>
      <c r="F12" s="165" t="s">
        <v>332</v>
      </c>
      <c r="G12" s="163"/>
      <c r="H12" s="163"/>
    </row>
    <row r="13" spans="2:8">
      <c r="B13" s="354"/>
      <c r="C13" s="361"/>
      <c r="D13" s="153" t="s">
        <v>69</v>
      </c>
      <c r="E13" s="165" t="s">
        <v>333</v>
      </c>
      <c r="F13" s="165" t="s">
        <v>334</v>
      </c>
      <c r="G13" s="163"/>
      <c r="H13" s="163"/>
    </row>
    <row r="14" spans="2:8">
      <c r="B14" s="355"/>
      <c r="C14" s="361"/>
      <c r="D14" s="153" t="s">
        <v>79</v>
      </c>
      <c r="E14" s="165" t="s">
        <v>335</v>
      </c>
      <c r="F14" s="165" t="s">
        <v>336</v>
      </c>
      <c r="G14" s="163"/>
      <c r="H14" s="163"/>
    </row>
    <row r="15" spans="2:8">
      <c r="B15" s="161" t="s">
        <v>405</v>
      </c>
      <c r="C15" s="157" t="s">
        <v>337</v>
      </c>
      <c r="D15" s="164"/>
      <c r="E15" s="165" t="s">
        <v>434</v>
      </c>
      <c r="F15" s="165" t="s">
        <v>435</v>
      </c>
      <c r="G15" s="163"/>
      <c r="H15" s="163"/>
    </row>
    <row r="16" spans="2:8">
      <c r="B16" s="350" t="s">
        <v>393</v>
      </c>
      <c r="C16" s="353" t="s">
        <v>337</v>
      </c>
      <c r="D16" s="153" t="s">
        <v>87</v>
      </c>
      <c r="E16" s="165" t="s">
        <v>338</v>
      </c>
      <c r="F16" s="165" t="s">
        <v>339</v>
      </c>
      <c r="G16" s="163"/>
      <c r="H16" s="163"/>
    </row>
    <row r="17" spans="2:8">
      <c r="B17" s="354"/>
      <c r="C17" s="362"/>
      <c r="D17" s="162" t="s">
        <v>94</v>
      </c>
      <c r="E17" s="163" t="s">
        <v>340</v>
      </c>
      <c r="F17" s="163" t="s">
        <v>341</v>
      </c>
      <c r="G17" s="163"/>
      <c r="H17" s="163"/>
    </row>
    <row r="18" spans="2:8">
      <c r="B18" s="355"/>
      <c r="C18" s="362"/>
      <c r="D18" s="153" t="s">
        <v>98</v>
      </c>
      <c r="E18" s="165" t="s">
        <v>342</v>
      </c>
      <c r="F18" s="165" t="s">
        <v>343</v>
      </c>
      <c r="G18" s="163"/>
      <c r="H18" s="163"/>
    </row>
    <row r="19" spans="2:8">
      <c r="B19" s="161" t="s">
        <v>406</v>
      </c>
      <c r="C19" s="157" t="s">
        <v>344</v>
      </c>
      <c r="D19" s="164"/>
      <c r="E19" s="165" t="s">
        <v>436</v>
      </c>
      <c r="F19" s="165" t="s">
        <v>437</v>
      </c>
      <c r="G19" s="163"/>
      <c r="H19" s="163"/>
    </row>
    <row r="20" spans="2:8">
      <c r="B20" s="350" t="s">
        <v>394</v>
      </c>
      <c r="C20" s="353" t="s">
        <v>344</v>
      </c>
      <c r="D20" s="153" t="s">
        <v>109</v>
      </c>
      <c r="E20" s="165" t="s">
        <v>345</v>
      </c>
      <c r="F20" s="165" t="s">
        <v>346</v>
      </c>
      <c r="G20" s="163"/>
      <c r="H20" s="163"/>
    </row>
    <row r="21" spans="2:8">
      <c r="B21" s="354"/>
      <c r="C21" s="362"/>
      <c r="D21" s="162" t="s">
        <v>116</v>
      </c>
      <c r="E21" s="163" t="s">
        <v>347</v>
      </c>
      <c r="F21" s="163" t="s">
        <v>348</v>
      </c>
      <c r="G21" s="163"/>
      <c r="H21" s="163"/>
    </row>
    <row r="22" spans="2:8">
      <c r="B22" s="355"/>
      <c r="C22" s="362"/>
      <c r="D22" s="153" t="s">
        <v>120</v>
      </c>
      <c r="E22" s="165" t="s">
        <v>349</v>
      </c>
      <c r="F22" s="165" t="s">
        <v>350</v>
      </c>
      <c r="G22" s="163"/>
      <c r="H22" s="163"/>
    </row>
    <row r="23" spans="2:8" ht="15" customHeight="1">
      <c r="B23" s="161" t="s">
        <v>407</v>
      </c>
      <c r="C23" s="157" t="s">
        <v>351</v>
      </c>
      <c r="D23" s="164"/>
      <c r="E23" s="165" t="s">
        <v>438</v>
      </c>
      <c r="F23" s="165" t="s">
        <v>439</v>
      </c>
      <c r="G23" s="163"/>
      <c r="H23" s="163"/>
    </row>
    <row r="24" spans="2:8">
      <c r="B24" s="350" t="s">
        <v>395</v>
      </c>
      <c r="C24" s="361" t="s">
        <v>351</v>
      </c>
      <c r="D24" s="162" t="s">
        <v>129</v>
      </c>
      <c r="E24" s="163" t="s">
        <v>352</v>
      </c>
      <c r="F24" s="163" t="s">
        <v>353</v>
      </c>
      <c r="G24" s="163"/>
      <c r="H24" s="163"/>
    </row>
    <row r="25" spans="2:8">
      <c r="B25" s="354"/>
      <c r="C25" s="361"/>
      <c r="D25" s="162" t="s">
        <v>132</v>
      </c>
      <c r="E25" s="163" t="s">
        <v>354</v>
      </c>
      <c r="F25" s="163" t="s">
        <v>355</v>
      </c>
      <c r="G25" s="163"/>
      <c r="H25" s="163"/>
    </row>
    <row r="26" spans="2:8">
      <c r="B26" s="355"/>
      <c r="C26" s="361"/>
      <c r="D26" s="162" t="s">
        <v>135</v>
      </c>
      <c r="E26" s="163" t="s">
        <v>356</v>
      </c>
      <c r="F26" s="163" t="s">
        <v>357</v>
      </c>
      <c r="G26" s="163"/>
      <c r="H26" s="163"/>
    </row>
    <row r="27" spans="2:8">
      <c r="B27" s="161" t="s">
        <v>408</v>
      </c>
      <c r="C27" s="157" t="s">
        <v>358</v>
      </c>
      <c r="D27" s="164"/>
      <c r="E27" s="165" t="s">
        <v>440</v>
      </c>
      <c r="F27" s="165" t="s">
        <v>366</v>
      </c>
      <c r="G27" s="163"/>
      <c r="H27" s="163"/>
    </row>
    <row r="28" spans="2:8">
      <c r="B28" s="350" t="s">
        <v>396</v>
      </c>
      <c r="C28" s="361" t="s">
        <v>358</v>
      </c>
      <c r="D28" s="162" t="s">
        <v>141</v>
      </c>
      <c r="E28" s="163" t="s">
        <v>359</v>
      </c>
      <c r="F28" s="163" t="s">
        <v>360</v>
      </c>
      <c r="G28" s="163"/>
      <c r="H28" s="163"/>
    </row>
    <row r="29" spans="2:8">
      <c r="B29" s="354"/>
      <c r="C29" s="361"/>
      <c r="D29" s="153" t="s">
        <v>145</v>
      </c>
      <c r="E29" s="165" t="s">
        <v>361</v>
      </c>
      <c r="F29" s="165" t="s">
        <v>362</v>
      </c>
      <c r="G29" s="163"/>
      <c r="H29" s="163"/>
    </row>
    <row r="30" spans="2:8">
      <c r="B30" s="355"/>
      <c r="C30" s="361"/>
      <c r="D30" s="162" t="s">
        <v>152</v>
      </c>
      <c r="E30" s="163" t="s">
        <v>363</v>
      </c>
      <c r="F30" s="163" t="s">
        <v>364</v>
      </c>
      <c r="G30" s="163"/>
      <c r="H30" s="163"/>
    </row>
    <row r="31" spans="2:8">
      <c r="B31" s="159" t="s">
        <v>194</v>
      </c>
      <c r="C31" s="358" t="s">
        <v>376</v>
      </c>
      <c r="D31" s="359"/>
      <c r="E31" s="192" t="s">
        <v>328</v>
      </c>
      <c r="F31" s="192" t="s">
        <v>329</v>
      </c>
      <c r="G31" s="192" t="s">
        <v>431</v>
      </c>
      <c r="H31" s="192" t="s">
        <v>432</v>
      </c>
    </row>
    <row r="32" spans="2:8">
      <c r="B32" s="160" t="s">
        <v>397</v>
      </c>
      <c r="C32" s="157" t="s">
        <v>330</v>
      </c>
      <c r="D32" s="162" t="s">
        <v>377</v>
      </c>
      <c r="E32" s="163" t="s">
        <v>378</v>
      </c>
      <c r="F32" s="163" t="s">
        <v>379</v>
      </c>
      <c r="G32" s="163"/>
      <c r="H32" s="163"/>
    </row>
    <row r="33" spans="2:8">
      <c r="B33" s="160" t="s">
        <v>398</v>
      </c>
      <c r="C33" s="157" t="s">
        <v>337</v>
      </c>
      <c r="D33" s="162" t="s">
        <v>377</v>
      </c>
      <c r="E33" s="163" t="s">
        <v>380</v>
      </c>
      <c r="F33" s="163" t="s">
        <v>384</v>
      </c>
      <c r="G33" s="163"/>
      <c r="H33" s="163"/>
    </row>
    <row r="34" spans="2:8">
      <c r="B34" s="160" t="s">
        <v>401</v>
      </c>
      <c r="C34" s="157" t="s">
        <v>344</v>
      </c>
      <c r="D34" s="162" t="s">
        <v>377</v>
      </c>
      <c r="E34" s="163" t="s">
        <v>381</v>
      </c>
      <c r="F34" s="163" t="s">
        <v>385</v>
      </c>
      <c r="G34" s="163"/>
      <c r="H34" s="163"/>
    </row>
    <row r="35" spans="2:8">
      <c r="B35" s="160" t="s">
        <v>399</v>
      </c>
      <c r="C35" s="157" t="s">
        <v>351</v>
      </c>
      <c r="D35" s="162" t="s">
        <v>377</v>
      </c>
      <c r="E35" s="163" t="s">
        <v>382</v>
      </c>
      <c r="F35" s="163" t="s">
        <v>386</v>
      </c>
      <c r="G35" s="163"/>
      <c r="H35" s="163"/>
    </row>
    <row r="36" spans="2:8">
      <c r="B36" s="160" t="s">
        <v>400</v>
      </c>
      <c r="C36" s="157" t="s">
        <v>358</v>
      </c>
      <c r="D36" s="162" t="s">
        <v>377</v>
      </c>
      <c r="E36" s="163" t="s">
        <v>383</v>
      </c>
      <c r="F36" s="163" t="s">
        <v>387</v>
      </c>
      <c r="G36" s="163"/>
      <c r="H36" s="163"/>
    </row>
    <row r="37" spans="2:8">
      <c r="B37" s="159" t="s">
        <v>194</v>
      </c>
      <c r="C37" s="358" t="s">
        <v>409</v>
      </c>
      <c r="D37" s="359"/>
      <c r="E37" s="192" t="s">
        <v>328</v>
      </c>
      <c r="F37" s="192" t="s">
        <v>329</v>
      </c>
      <c r="G37" s="192" t="s">
        <v>431</v>
      </c>
      <c r="H37" s="192" t="s">
        <v>432</v>
      </c>
    </row>
    <row r="38" spans="2:8">
      <c r="B38" s="350" t="s">
        <v>456</v>
      </c>
      <c r="C38" s="353" t="s">
        <v>409</v>
      </c>
      <c r="D38" s="153" t="s">
        <v>62</v>
      </c>
      <c r="E38" s="165" t="s">
        <v>441</v>
      </c>
      <c r="F38" s="163"/>
      <c r="G38" s="165" t="s">
        <v>331</v>
      </c>
      <c r="H38" s="163"/>
    </row>
    <row r="39" spans="2:8">
      <c r="B39" s="351"/>
      <c r="C39" s="351"/>
      <c r="D39" s="153" t="s">
        <v>69</v>
      </c>
      <c r="E39" s="165" t="s">
        <v>442</v>
      </c>
      <c r="F39" s="163"/>
      <c r="G39" s="165" t="s">
        <v>333</v>
      </c>
      <c r="H39" s="163"/>
    </row>
    <row r="40" spans="2:8">
      <c r="B40" s="351"/>
      <c r="C40" s="351"/>
      <c r="D40" s="153" t="s">
        <v>79</v>
      </c>
      <c r="E40" s="165" t="s">
        <v>443</v>
      </c>
      <c r="F40" s="163"/>
      <c r="G40" s="165" t="s">
        <v>335</v>
      </c>
      <c r="H40" s="163"/>
    </row>
    <row r="41" spans="2:8">
      <c r="B41" s="351"/>
      <c r="C41" s="351"/>
      <c r="D41" s="153" t="s">
        <v>87</v>
      </c>
      <c r="E41" s="165" t="s">
        <v>444</v>
      </c>
      <c r="F41" s="163"/>
      <c r="G41" s="165" t="s">
        <v>338</v>
      </c>
      <c r="H41" s="163"/>
    </row>
    <row r="42" spans="2:8">
      <c r="B42" s="351"/>
      <c r="C42" s="351"/>
      <c r="D42" s="162" t="s">
        <v>94</v>
      </c>
      <c r="E42" s="163" t="s">
        <v>445</v>
      </c>
      <c r="F42" s="163"/>
      <c r="G42" s="163" t="s">
        <v>340</v>
      </c>
      <c r="H42" s="163"/>
    </row>
    <row r="43" spans="2:8">
      <c r="B43" s="351"/>
      <c r="C43" s="351"/>
      <c r="D43" s="153" t="s">
        <v>98</v>
      </c>
      <c r="E43" s="165" t="s">
        <v>446</v>
      </c>
      <c r="F43" s="163"/>
      <c r="G43" s="165" t="s">
        <v>342</v>
      </c>
      <c r="H43" s="163"/>
    </row>
    <row r="44" spans="2:8">
      <c r="B44" s="351"/>
      <c r="C44" s="351"/>
      <c r="D44" s="153" t="s">
        <v>109</v>
      </c>
      <c r="E44" s="165" t="s">
        <v>447</v>
      </c>
      <c r="F44" s="163"/>
      <c r="G44" s="165" t="s">
        <v>345</v>
      </c>
      <c r="H44" s="163"/>
    </row>
    <row r="45" spans="2:8">
      <c r="B45" s="351"/>
      <c r="C45" s="351"/>
      <c r="D45" s="162" t="s">
        <v>116</v>
      </c>
      <c r="E45" s="163" t="s">
        <v>448</v>
      </c>
      <c r="F45" s="163"/>
      <c r="G45" s="163" t="s">
        <v>347</v>
      </c>
      <c r="H45" s="163"/>
    </row>
    <row r="46" spans="2:8">
      <c r="B46" s="351"/>
      <c r="C46" s="351"/>
      <c r="D46" s="153" t="s">
        <v>120</v>
      </c>
      <c r="E46" s="165" t="s">
        <v>449</v>
      </c>
      <c r="F46" s="163"/>
      <c r="G46" s="165" t="s">
        <v>349</v>
      </c>
      <c r="H46" s="163"/>
    </row>
    <row r="47" spans="2:8">
      <c r="B47" s="351"/>
      <c r="C47" s="351"/>
      <c r="D47" s="162" t="s">
        <v>129</v>
      </c>
      <c r="E47" s="163" t="s">
        <v>450</v>
      </c>
      <c r="F47" s="163"/>
      <c r="G47" s="163" t="s">
        <v>352</v>
      </c>
      <c r="H47" s="163"/>
    </row>
    <row r="48" spans="2:8">
      <c r="B48" s="351"/>
      <c r="C48" s="351"/>
      <c r="D48" s="162" t="s">
        <v>132</v>
      </c>
      <c r="E48" s="163" t="s">
        <v>451</v>
      </c>
      <c r="F48" s="163"/>
      <c r="G48" s="163" t="s">
        <v>354</v>
      </c>
      <c r="H48" s="163"/>
    </row>
    <row r="49" spans="2:8">
      <c r="B49" s="351"/>
      <c r="C49" s="351"/>
      <c r="D49" s="162" t="s">
        <v>135</v>
      </c>
      <c r="E49" s="163" t="s">
        <v>452</v>
      </c>
      <c r="F49" s="163"/>
      <c r="G49" s="163" t="s">
        <v>356</v>
      </c>
      <c r="H49" s="163"/>
    </row>
    <row r="50" spans="2:8">
      <c r="B50" s="351"/>
      <c r="C50" s="351"/>
      <c r="D50" s="162" t="s">
        <v>141</v>
      </c>
      <c r="E50" s="163" t="s">
        <v>453</v>
      </c>
      <c r="F50" s="163"/>
      <c r="G50" s="163" t="s">
        <v>359</v>
      </c>
      <c r="H50" s="163"/>
    </row>
    <row r="51" spans="2:8">
      <c r="B51" s="351"/>
      <c r="C51" s="351"/>
      <c r="D51" s="153" t="s">
        <v>145</v>
      </c>
      <c r="E51" s="165" t="s">
        <v>454</v>
      </c>
      <c r="F51" s="163"/>
      <c r="G51" s="165" t="s">
        <v>361</v>
      </c>
      <c r="H51" s="163"/>
    </row>
    <row r="52" spans="2:8">
      <c r="B52" s="352"/>
      <c r="C52" s="352"/>
      <c r="D52" s="162" t="s">
        <v>152</v>
      </c>
      <c r="E52" s="163" t="s">
        <v>455</v>
      </c>
      <c r="F52" s="163"/>
      <c r="G52" s="163" t="s">
        <v>363</v>
      </c>
      <c r="H52" s="163"/>
    </row>
    <row r="53" spans="2:8">
      <c r="B53" s="350" t="s">
        <v>419</v>
      </c>
      <c r="C53" s="353" t="s">
        <v>409</v>
      </c>
      <c r="D53" s="153" t="s">
        <v>460</v>
      </c>
      <c r="E53" s="165" t="s">
        <v>461</v>
      </c>
      <c r="F53" s="165" t="s">
        <v>462</v>
      </c>
      <c r="G53" s="163"/>
      <c r="H53" s="163"/>
    </row>
    <row r="54" spans="2:8" ht="15" customHeight="1">
      <c r="B54" s="351"/>
      <c r="C54" s="351"/>
      <c r="D54" s="153" t="s">
        <v>62</v>
      </c>
      <c r="E54" s="165" t="s">
        <v>331</v>
      </c>
      <c r="F54" s="165" t="s">
        <v>332</v>
      </c>
      <c r="G54" s="163"/>
      <c r="H54" s="163"/>
    </row>
    <row r="55" spans="2:8">
      <c r="B55" s="351"/>
      <c r="C55" s="351"/>
      <c r="D55" s="153" t="s">
        <v>69</v>
      </c>
      <c r="E55" s="165" t="s">
        <v>333</v>
      </c>
      <c r="F55" s="165" t="s">
        <v>334</v>
      </c>
      <c r="G55" s="163"/>
      <c r="H55" s="163"/>
    </row>
    <row r="56" spans="2:8">
      <c r="B56" s="351"/>
      <c r="C56" s="351"/>
      <c r="D56" s="153" t="s">
        <v>79</v>
      </c>
      <c r="E56" s="165" t="s">
        <v>335</v>
      </c>
      <c r="F56" s="165" t="s">
        <v>336</v>
      </c>
      <c r="G56" s="163"/>
      <c r="H56" s="163"/>
    </row>
    <row r="57" spans="2:8">
      <c r="B57" s="351"/>
      <c r="C57" s="351"/>
      <c r="D57" s="153" t="s">
        <v>87</v>
      </c>
      <c r="E57" s="165" t="s">
        <v>338</v>
      </c>
      <c r="F57" s="165" t="s">
        <v>339</v>
      </c>
      <c r="G57" s="163"/>
      <c r="H57" s="163"/>
    </row>
    <row r="58" spans="2:8">
      <c r="B58" s="351"/>
      <c r="C58" s="351"/>
      <c r="D58" s="162" t="s">
        <v>94</v>
      </c>
      <c r="E58" s="163" t="s">
        <v>340</v>
      </c>
      <c r="F58" s="163" t="s">
        <v>341</v>
      </c>
      <c r="G58" s="163"/>
      <c r="H58" s="163"/>
    </row>
    <row r="59" spans="2:8">
      <c r="B59" s="351"/>
      <c r="C59" s="351"/>
      <c r="D59" s="153" t="s">
        <v>98</v>
      </c>
      <c r="E59" s="165" t="s">
        <v>342</v>
      </c>
      <c r="F59" s="165" t="s">
        <v>343</v>
      </c>
      <c r="G59" s="163"/>
      <c r="H59" s="163"/>
    </row>
    <row r="60" spans="2:8">
      <c r="B60" s="351"/>
      <c r="C60" s="351"/>
      <c r="D60" s="153" t="s">
        <v>109</v>
      </c>
      <c r="E60" s="165" t="s">
        <v>345</v>
      </c>
      <c r="F60" s="165" t="s">
        <v>346</v>
      </c>
      <c r="G60" s="163"/>
      <c r="H60" s="163"/>
    </row>
    <row r="61" spans="2:8">
      <c r="B61" s="351"/>
      <c r="C61" s="351"/>
      <c r="D61" s="162" t="s">
        <v>116</v>
      </c>
      <c r="E61" s="163" t="s">
        <v>347</v>
      </c>
      <c r="F61" s="163" t="s">
        <v>348</v>
      </c>
      <c r="G61" s="163"/>
      <c r="H61" s="163"/>
    </row>
    <row r="62" spans="2:8">
      <c r="B62" s="351"/>
      <c r="C62" s="351"/>
      <c r="D62" s="153" t="s">
        <v>120</v>
      </c>
      <c r="E62" s="165" t="s">
        <v>349</v>
      </c>
      <c r="F62" s="165" t="s">
        <v>350</v>
      </c>
      <c r="G62" s="163"/>
      <c r="H62" s="163"/>
    </row>
    <row r="63" spans="2:8">
      <c r="B63" s="351"/>
      <c r="C63" s="351"/>
      <c r="D63" s="162" t="s">
        <v>129</v>
      </c>
      <c r="E63" s="163" t="s">
        <v>352</v>
      </c>
      <c r="F63" s="163" t="s">
        <v>353</v>
      </c>
      <c r="G63" s="163"/>
      <c r="H63" s="163"/>
    </row>
    <row r="64" spans="2:8" ht="15" customHeight="1">
      <c r="B64" s="351"/>
      <c r="C64" s="351"/>
      <c r="D64" s="162" t="s">
        <v>132</v>
      </c>
      <c r="E64" s="163" t="s">
        <v>354</v>
      </c>
      <c r="F64" s="163" t="s">
        <v>355</v>
      </c>
      <c r="G64" s="163"/>
      <c r="H64" s="163"/>
    </row>
    <row r="65" spans="2:8">
      <c r="B65" s="351"/>
      <c r="C65" s="351"/>
      <c r="D65" s="162" t="s">
        <v>135</v>
      </c>
      <c r="E65" s="163" t="s">
        <v>356</v>
      </c>
      <c r="F65" s="163" t="s">
        <v>357</v>
      </c>
      <c r="G65" s="163"/>
      <c r="H65" s="163"/>
    </row>
    <row r="66" spans="2:8">
      <c r="B66" s="351"/>
      <c r="C66" s="351"/>
      <c r="D66" s="162" t="s">
        <v>141</v>
      </c>
      <c r="E66" s="163" t="s">
        <v>359</v>
      </c>
      <c r="F66" s="163" t="s">
        <v>360</v>
      </c>
      <c r="G66" s="163"/>
      <c r="H66" s="163"/>
    </row>
    <row r="67" spans="2:8">
      <c r="B67" s="351"/>
      <c r="C67" s="351"/>
      <c r="D67" s="153" t="s">
        <v>145</v>
      </c>
      <c r="E67" s="165" t="s">
        <v>361</v>
      </c>
      <c r="F67" s="165" t="s">
        <v>362</v>
      </c>
      <c r="G67" s="163"/>
      <c r="H67" s="163"/>
    </row>
    <row r="68" spans="2:8">
      <c r="B68" s="352"/>
      <c r="C68" s="352"/>
      <c r="D68" s="162" t="s">
        <v>152</v>
      </c>
      <c r="E68" s="163" t="s">
        <v>363</v>
      </c>
      <c r="F68" s="163" t="s">
        <v>364</v>
      </c>
      <c r="G68" s="163"/>
      <c r="H68" s="163"/>
    </row>
    <row r="69" spans="2:8" ht="15" customHeight="1">
      <c r="B69" s="159" t="s">
        <v>194</v>
      </c>
      <c r="C69" s="358" t="s">
        <v>367</v>
      </c>
      <c r="D69" s="360"/>
      <c r="E69" s="192" t="s">
        <v>328</v>
      </c>
      <c r="F69" s="192" t="s">
        <v>329</v>
      </c>
      <c r="G69" s="192" t="s">
        <v>431</v>
      </c>
      <c r="H69" s="192" t="s">
        <v>432</v>
      </c>
    </row>
    <row r="70" spans="2:8">
      <c r="B70" s="160" t="s">
        <v>420</v>
      </c>
      <c r="C70" s="193" t="s">
        <v>368</v>
      </c>
      <c r="D70" s="162" t="s">
        <v>377</v>
      </c>
      <c r="E70" s="163" t="s">
        <v>459</v>
      </c>
      <c r="F70" s="163" t="s">
        <v>458</v>
      </c>
      <c r="G70" s="163"/>
      <c r="H70" s="163"/>
    </row>
    <row r="71" spans="2:8" ht="15" customHeight="1">
      <c r="B71" s="159" t="s">
        <v>194</v>
      </c>
      <c r="C71" s="358" t="s">
        <v>33</v>
      </c>
      <c r="D71" s="360"/>
      <c r="E71" s="192" t="s">
        <v>328</v>
      </c>
      <c r="F71" s="192" t="s">
        <v>329</v>
      </c>
      <c r="G71" s="192" t="s">
        <v>431</v>
      </c>
      <c r="H71" s="192" t="s">
        <v>432</v>
      </c>
    </row>
    <row r="72" spans="2:8">
      <c r="B72" s="160" t="s">
        <v>402</v>
      </c>
      <c r="C72" s="193" t="s">
        <v>369</v>
      </c>
      <c r="D72" s="162" t="s">
        <v>377</v>
      </c>
      <c r="E72" s="163" t="s">
        <v>463</v>
      </c>
      <c r="F72" s="163" t="s">
        <v>371</v>
      </c>
      <c r="G72" s="163"/>
      <c r="H72" s="163"/>
    </row>
    <row r="73" spans="2:8" ht="30">
      <c r="B73" s="160" t="s">
        <v>403</v>
      </c>
      <c r="C73" s="193" t="s">
        <v>370</v>
      </c>
      <c r="D73" s="162" t="s">
        <v>377</v>
      </c>
      <c r="E73" s="163" t="s">
        <v>464</v>
      </c>
      <c r="F73" s="163" t="s">
        <v>372</v>
      </c>
      <c r="G73" s="163"/>
      <c r="H73" s="163"/>
    </row>
  </sheetData>
  <mergeCells count="20">
    <mergeCell ref="C69:D69"/>
    <mergeCell ref="C71:D71"/>
    <mergeCell ref="C12:C14"/>
    <mergeCell ref="C16:C18"/>
    <mergeCell ref="C20:C22"/>
    <mergeCell ref="C24:C26"/>
    <mergeCell ref="C28:C30"/>
    <mergeCell ref="C31:D31"/>
    <mergeCell ref="C37:D37"/>
    <mergeCell ref="C53:C68"/>
    <mergeCell ref="B38:B52"/>
    <mergeCell ref="C38:C52"/>
    <mergeCell ref="B28:B30"/>
    <mergeCell ref="B53:B68"/>
    <mergeCell ref="C5:D5"/>
    <mergeCell ref="B12:B14"/>
    <mergeCell ref="B16:B18"/>
    <mergeCell ref="B20:B22"/>
    <mergeCell ref="B24:B26"/>
    <mergeCell ref="C10:D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73</xdr:row>
                    <xdr:rowOff>180975</xdr:rowOff>
                  </from>
                  <to>
                    <xdr:col>8</xdr:col>
                    <xdr:colOff>0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77</xdr:row>
                    <xdr:rowOff>9525</xdr:rowOff>
                  </from>
                  <to>
                    <xdr:col>8</xdr:col>
                    <xdr:colOff>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topLeftCell="E1" workbookViewId="0">
      <selection activeCell="I31" sqref="I31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63" t="s">
        <v>191</v>
      </c>
      <c r="C2" s="363"/>
      <c r="D2" s="363"/>
      <c r="E2" s="363"/>
      <c r="F2" s="363"/>
      <c r="G2" s="363"/>
      <c r="H2" s="363"/>
      <c r="I2" s="363"/>
      <c r="J2" s="363"/>
      <c r="K2" s="363"/>
      <c r="L2" s="363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P596"/>
  <sheetViews>
    <sheetView topLeftCell="A564" workbookViewId="0">
      <selection activeCell="C596" sqref="C596:F596"/>
    </sheetView>
  </sheetViews>
  <sheetFormatPr baseColWidth="10" defaultRowHeight="15"/>
  <cols>
    <col min="2" max="2" width="17.7109375" bestFit="1" customWidth="1"/>
  </cols>
  <sheetData>
    <row r="45" spans="2:9" ht="15.75" thickBot="1">
      <c r="B45" s="171" t="s">
        <v>171</v>
      </c>
      <c r="C45" s="169">
        <v>85.93</v>
      </c>
      <c r="D45" s="169">
        <v>82.67</v>
      </c>
      <c r="E45" s="169">
        <v>89.46</v>
      </c>
      <c r="F45" s="169">
        <v>79.150000000000006</v>
      </c>
      <c r="G45" s="170">
        <v>3.2600000000000051</v>
      </c>
      <c r="H45" s="170">
        <v>-3.5299999999999869</v>
      </c>
      <c r="I45" s="170">
        <v>6.7800000000000011</v>
      </c>
    </row>
    <row r="46" spans="2:9" ht="15.75" thickBot="1">
      <c r="B46" s="172" t="s">
        <v>172</v>
      </c>
      <c r="C46" s="173">
        <v>81.56</v>
      </c>
      <c r="D46" s="173">
        <v>77.59</v>
      </c>
      <c r="E46" s="173">
        <v>88.6</v>
      </c>
      <c r="F46" s="173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75" t="s">
        <v>170</v>
      </c>
      <c r="C47" s="176">
        <v>77.78</v>
      </c>
      <c r="D47" s="176">
        <v>73.56</v>
      </c>
      <c r="E47" s="176">
        <v>84.91</v>
      </c>
      <c r="F47" s="176">
        <v>75.44</v>
      </c>
      <c r="G47" s="177">
        <v>4.2199999999999989</v>
      </c>
      <c r="H47" s="177">
        <v>-7.1299999999999955</v>
      </c>
      <c r="I47" s="177">
        <v>2.3400000000000034</v>
      </c>
    </row>
    <row r="48" spans="2:9" ht="15.75" thickBot="1">
      <c r="B48" s="178" t="s">
        <v>423</v>
      </c>
      <c r="C48" s="179">
        <v>83.3</v>
      </c>
      <c r="D48" s="179">
        <v>78.540000000000006</v>
      </c>
      <c r="E48" s="179">
        <v>90.36</v>
      </c>
      <c r="F48" s="179">
        <v>80.28</v>
      </c>
      <c r="G48" s="180">
        <v>4.7599999999999909</v>
      </c>
      <c r="H48" s="180">
        <v>-7.0600000000000023</v>
      </c>
      <c r="I48" s="180">
        <v>3.019999999999996</v>
      </c>
    </row>
    <row r="49" spans="2:9" ht="15.75" thickBot="1">
      <c r="B49" s="181" t="s">
        <v>424</v>
      </c>
      <c r="C49" s="182">
        <v>86.19</v>
      </c>
      <c r="D49" s="182">
        <v>81.86</v>
      </c>
      <c r="E49" s="182">
        <v>92.63</v>
      </c>
      <c r="F49" s="182">
        <v>83.31</v>
      </c>
      <c r="G49" s="183">
        <v>4.3299999999999983</v>
      </c>
      <c r="H49" s="183">
        <v>-6.4399999999999977</v>
      </c>
      <c r="I49" s="183">
        <v>2.8799999999999955</v>
      </c>
    </row>
    <row r="50" spans="2:9">
      <c r="B50" t="s">
        <v>425</v>
      </c>
      <c r="C50" s="184">
        <v>82.91</v>
      </c>
      <c r="D50" s="184">
        <v>78.88</v>
      </c>
      <c r="E50" s="184">
        <v>89.03</v>
      </c>
      <c r="F50" s="184">
        <v>78.88</v>
      </c>
      <c r="G50" s="184">
        <v>4.0300000000000011</v>
      </c>
      <c r="H50" s="184">
        <v>-6.1200000000000045</v>
      </c>
      <c r="I50" s="184">
        <v>4.0300000000000011</v>
      </c>
    </row>
    <row r="51" spans="2:9">
      <c r="B51" t="s">
        <v>426</v>
      </c>
      <c r="C51" s="185">
        <v>4886</v>
      </c>
      <c r="D51" s="185">
        <v>4735</v>
      </c>
      <c r="E51" s="185"/>
      <c r="F51" s="185"/>
      <c r="G51" s="185"/>
      <c r="H51" s="185"/>
      <c r="I51" s="185"/>
    </row>
    <row r="52" spans="2:9">
      <c r="B52" t="s">
        <v>427</v>
      </c>
      <c r="C52" s="186">
        <v>78.88</v>
      </c>
      <c r="D52" s="186">
        <v>73.930000000000007</v>
      </c>
      <c r="E52" s="186"/>
      <c r="F52" s="186"/>
      <c r="G52" s="186"/>
      <c r="H52" s="186"/>
      <c r="I52" s="186"/>
    </row>
    <row r="53" spans="2:9">
      <c r="B53" t="s">
        <v>428</v>
      </c>
      <c r="C53" s="187">
        <v>4735</v>
      </c>
      <c r="D53" s="187">
        <v>4504</v>
      </c>
      <c r="E53" s="187"/>
      <c r="F53" s="187"/>
      <c r="G53" s="187"/>
      <c r="H53" s="187"/>
      <c r="I53" s="187"/>
    </row>
    <row r="54" spans="2:9" ht="33.75">
      <c r="B54" t="s">
        <v>429</v>
      </c>
      <c r="C54" s="188">
        <v>2016</v>
      </c>
      <c r="D54" s="188">
        <v>2015</v>
      </c>
      <c r="E54" s="188" t="s">
        <v>261</v>
      </c>
      <c r="F54" s="188" t="s">
        <v>262</v>
      </c>
      <c r="G54" s="188" t="s">
        <v>263</v>
      </c>
      <c r="H54" s="188" t="s">
        <v>264</v>
      </c>
      <c r="I54" s="188" t="s">
        <v>265</v>
      </c>
    </row>
    <row r="55" spans="2:9">
      <c r="B55" t="s">
        <v>18</v>
      </c>
      <c r="C55" s="184">
        <v>82.91</v>
      </c>
      <c r="D55" s="184">
        <v>82.91</v>
      </c>
      <c r="E55" s="184">
        <v>82.91</v>
      </c>
      <c r="F55" s="184">
        <v>82.91</v>
      </c>
      <c r="G55" s="184">
        <v>82.91</v>
      </c>
      <c r="H55" s="184">
        <v>82.91</v>
      </c>
      <c r="I55" s="184">
        <v>82.91</v>
      </c>
    </row>
    <row r="56" spans="2:9">
      <c r="B56" t="s">
        <v>430</v>
      </c>
      <c r="C56" s="189">
        <v>84.08</v>
      </c>
      <c r="D56" s="189">
        <v>79.319999999999993</v>
      </c>
      <c r="E56" s="189">
        <v>91.62</v>
      </c>
      <c r="F56" s="189">
        <v>82.28</v>
      </c>
      <c r="G56" s="190">
        <v>4.7600000000000051</v>
      </c>
      <c r="H56" s="190">
        <v>-7.5400000000000063</v>
      </c>
      <c r="I56" s="190">
        <v>1.7999999999999972</v>
      </c>
    </row>
    <row r="105" spans="2:7" ht="15.75" thickBot="1">
      <c r="B105" s="171" t="s">
        <v>171</v>
      </c>
      <c r="C105" s="169">
        <v>90.45</v>
      </c>
      <c r="D105" s="169">
        <v>86.08</v>
      </c>
      <c r="E105" s="169">
        <v>84.35</v>
      </c>
      <c r="F105" s="169">
        <v>87.74</v>
      </c>
      <c r="G105" s="169">
        <v>90.43</v>
      </c>
    </row>
    <row r="106" spans="2:7" ht="15.75" thickBot="1">
      <c r="B106" s="172" t="s">
        <v>172</v>
      </c>
      <c r="C106" s="173">
        <v>84.9</v>
      </c>
      <c r="D106" s="173">
        <v>80.59</v>
      </c>
      <c r="E106" s="173">
        <v>81</v>
      </c>
      <c r="F106" s="173">
        <v>84.36</v>
      </c>
      <c r="G106" s="173">
        <v>87.34</v>
      </c>
    </row>
    <row r="107" spans="2:7" ht="15.75" thickBot="1">
      <c r="B107" s="175" t="s">
        <v>170</v>
      </c>
      <c r="C107" s="176">
        <v>85.2</v>
      </c>
      <c r="D107" s="176">
        <v>77.400000000000006</v>
      </c>
      <c r="E107" s="176">
        <v>75.959999999999994</v>
      </c>
      <c r="F107" s="176">
        <v>79.81</v>
      </c>
      <c r="G107" s="176">
        <v>83.12</v>
      </c>
    </row>
    <row r="108" spans="2:7" ht="15.75" thickBot="1">
      <c r="B108" s="178" t="s">
        <v>423</v>
      </c>
      <c r="C108" s="179">
        <v>83.54</v>
      </c>
      <c r="D108" s="179">
        <v>81.03</v>
      </c>
      <c r="E108" s="179">
        <v>83.26</v>
      </c>
      <c r="F108" s="179">
        <v>88.56</v>
      </c>
      <c r="G108" s="179">
        <v>91.07</v>
      </c>
    </row>
    <row r="109" spans="2:7" ht="15.75" thickBot="1">
      <c r="B109" s="181" t="s">
        <v>424</v>
      </c>
      <c r="C109" s="182">
        <v>90.58</v>
      </c>
      <c r="D109" s="182">
        <v>85.89</v>
      </c>
      <c r="E109" s="182">
        <v>85.08</v>
      </c>
      <c r="F109" s="182">
        <v>88.42</v>
      </c>
      <c r="G109" s="182">
        <v>90.24</v>
      </c>
    </row>
    <row r="110" spans="2:7">
      <c r="B110" t="s">
        <v>425</v>
      </c>
      <c r="C110" s="184">
        <v>87.13</v>
      </c>
      <c r="D110" s="184">
        <v>82.26</v>
      </c>
      <c r="E110" s="184">
        <v>81.83</v>
      </c>
      <c r="F110" s="184">
        <v>85.57</v>
      </c>
      <c r="G110" s="184">
        <v>88.33</v>
      </c>
    </row>
    <row r="111" spans="2:7">
      <c r="B111" t="s">
        <v>426</v>
      </c>
      <c r="C111" s="185">
        <v>292</v>
      </c>
      <c r="D111" s="185">
        <v>1996</v>
      </c>
      <c r="E111" s="185">
        <v>1426</v>
      </c>
      <c r="F111" s="185">
        <v>736</v>
      </c>
      <c r="G111" s="185">
        <v>248</v>
      </c>
    </row>
    <row r="112" spans="2:7">
      <c r="B112" t="s">
        <v>427</v>
      </c>
      <c r="C112" s="186">
        <v>82.41</v>
      </c>
      <c r="D112" s="186">
        <v>77.44</v>
      </c>
      <c r="E112" s="186">
        <v>78.069999999999993</v>
      </c>
      <c r="F112" s="186">
        <v>82.57</v>
      </c>
      <c r="G112" s="186">
        <v>86.36</v>
      </c>
    </row>
    <row r="113" spans="2:7">
      <c r="B113" t="s">
        <v>428</v>
      </c>
      <c r="C113" s="187">
        <v>249</v>
      </c>
      <c r="D113" s="187">
        <v>1965</v>
      </c>
      <c r="E113" s="187">
        <v>1426</v>
      </c>
      <c r="F113" s="187">
        <v>733</v>
      </c>
      <c r="G113" s="187">
        <v>256</v>
      </c>
    </row>
    <row r="114" spans="2:7" ht="22.5">
      <c r="B114" t="s">
        <v>429</v>
      </c>
      <c r="C114" s="188" t="s">
        <v>232</v>
      </c>
      <c r="D114" s="188" t="s">
        <v>233</v>
      </c>
      <c r="E114" s="188" t="s">
        <v>234</v>
      </c>
      <c r="F114" s="188" t="s">
        <v>235</v>
      </c>
      <c r="G114" s="188" t="s">
        <v>236</v>
      </c>
    </row>
    <row r="115" spans="2:7">
      <c r="B115" t="s">
        <v>18</v>
      </c>
      <c r="C115" s="184">
        <v>82.91</v>
      </c>
      <c r="D115" s="184">
        <v>82.91</v>
      </c>
      <c r="E115" s="184">
        <v>82.91</v>
      </c>
      <c r="F115" s="184">
        <v>82.91</v>
      </c>
      <c r="G115" s="184">
        <v>82.91</v>
      </c>
    </row>
    <row r="116" spans="2:7">
      <c r="B116" t="s">
        <v>430</v>
      </c>
      <c r="C116" s="189">
        <v>87.33</v>
      </c>
      <c r="D116" s="189">
        <v>82.4</v>
      </c>
      <c r="E116" s="189">
        <v>83.7</v>
      </c>
      <c r="F116" s="189">
        <v>87.89</v>
      </c>
      <c r="G116" s="189">
        <v>93.55</v>
      </c>
    </row>
    <row r="165" spans="2:4" ht="15.75" thickBot="1">
      <c r="B165" s="171" t="s">
        <v>171</v>
      </c>
      <c r="C165" s="169">
        <v>86.53</v>
      </c>
      <c r="D165" s="169">
        <v>86.24</v>
      </c>
    </row>
    <row r="166" spans="2:4" ht="15.75" thickBot="1">
      <c r="B166" s="172" t="s">
        <v>172</v>
      </c>
      <c r="C166" s="173">
        <v>82.52</v>
      </c>
      <c r="D166" s="173">
        <v>81.34</v>
      </c>
    </row>
    <row r="167" spans="2:4" ht="15.75" thickBot="1">
      <c r="B167" s="175" t="s">
        <v>170</v>
      </c>
      <c r="C167" s="176">
        <v>78.27</v>
      </c>
      <c r="D167" s="176">
        <v>78.02</v>
      </c>
    </row>
    <row r="168" spans="2:4" ht="15.75" thickBot="1">
      <c r="B168" s="178" t="s">
        <v>423</v>
      </c>
      <c r="C168" s="179">
        <v>83.68</v>
      </c>
      <c r="D168" s="179">
        <v>83.52</v>
      </c>
    </row>
    <row r="169" spans="2:4" ht="15.75" thickBot="1">
      <c r="B169" s="181" t="s">
        <v>424</v>
      </c>
      <c r="C169" s="182">
        <v>86.39</v>
      </c>
      <c r="D169" s="182">
        <v>86.83</v>
      </c>
    </row>
    <row r="170" spans="2:4">
      <c r="B170" t="s">
        <v>425</v>
      </c>
      <c r="C170" s="184">
        <v>83.48</v>
      </c>
      <c r="D170" s="184">
        <v>83.12</v>
      </c>
    </row>
    <row r="171" spans="2:4">
      <c r="B171" t="s">
        <v>426</v>
      </c>
      <c r="C171" s="185">
        <v>2476</v>
      </c>
      <c r="D171" s="185">
        <v>2191</v>
      </c>
    </row>
    <row r="172" spans="2:4">
      <c r="B172" t="s">
        <v>427</v>
      </c>
      <c r="C172" s="186">
        <v>79.62</v>
      </c>
      <c r="D172" s="186">
        <v>78.790000000000006</v>
      </c>
    </row>
    <row r="173" spans="2:4">
      <c r="B173" t="s">
        <v>428</v>
      </c>
      <c r="C173" s="187">
        <v>2382</v>
      </c>
      <c r="D173" s="187">
        <v>2218</v>
      </c>
    </row>
    <row r="174" spans="2:4">
      <c r="B174" t="s">
        <v>429</v>
      </c>
      <c r="C174" s="188" t="s">
        <v>237</v>
      </c>
      <c r="D174" s="188" t="s">
        <v>238</v>
      </c>
    </row>
    <row r="175" spans="2:4">
      <c r="B175" t="s">
        <v>18</v>
      </c>
      <c r="C175" s="184">
        <v>82.91</v>
      </c>
      <c r="D175" s="184">
        <v>82.91</v>
      </c>
    </row>
    <row r="176" spans="2:4">
      <c r="B176" t="s">
        <v>430</v>
      </c>
      <c r="C176" s="189">
        <v>85.32</v>
      </c>
      <c r="D176" s="189">
        <v>83.78</v>
      </c>
    </row>
    <row r="225" spans="2:7" ht="15.75" thickBot="1">
      <c r="B225" s="171" t="s">
        <v>171</v>
      </c>
      <c r="C225" s="169">
        <v>76.19</v>
      </c>
      <c r="D225" s="169">
        <v>87.14</v>
      </c>
      <c r="E225" s="169">
        <v>86.86</v>
      </c>
      <c r="F225" s="169">
        <v>85.18</v>
      </c>
      <c r="G225" s="169">
        <v>87.05</v>
      </c>
    </row>
    <row r="226" spans="2:7" ht="15.75" thickBot="1">
      <c r="B226" s="172" t="s">
        <v>172</v>
      </c>
      <c r="C226" s="173">
        <v>78.209999999999994</v>
      </c>
      <c r="D226" s="173">
        <v>80.63</v>
      </c>
      <c r="E226" s="173">
        <v>81.92</v>
      </c>
      <c r="F226" s="173">
        <v>81.260000000000005</v>
      </c>
      <c r="G226" s="173">
        <v>85.26</v>
      </c>
    </row>
    <row r="227" spans="2:7" ht="15.75" thickBot="1">
      <c r="B227" s="175" t="s">
        <v>170</v>
      </c>
      <c r="C227" s="176">
        <v>80.489999999999995</v>
      </c>
      <c r="D227" s="176">
        <v>78.47</v>
      </c>
      <c r="E227" s="176">
        <v>78.739999999999995</v>
      </c>
      <c r="F227" s="176">
        <v>76.790000000000006</v>
      </c>
      <c r="G227" s="176">
        <v>79.03</v>
      </c>
    </row>
    <row r="228" spans="2:7" ht="15.75" thickBot="1">
      <c r="B228" s="178" t="s">
        <v>423</v>
      </c>
      <c r="C228" s="179">
        <v>84.38</v>
      </c>
      <c r="D228" s="179">
        <v>84.66</v>
      </c>
      <c r="E228" s="179">
        <v>83.78</v>
      </c>
      <c r="F228" s="179">
        <v>82.02</v>
      </c>
      <c r="G228" s="179">
        <v>86.82</v>
      </c>
    </row>
    <row r="229" spans="2:7" ht="15.75" thickBot="1">
      <c r="B229" s="181" t="s">
        <v>424</v>
      </c>
      <c r="C229" s="182">
        <v>78.33</v>
      </c>
      <c r="D229" s="182">
        <v>85.6</v>
      </c>
      <c r="E229" s="182">
        <v>86.75</v>
      </c>
      <c r="F229" s="182">
        <v>85.69</v>
      </c>
      <c r="G229" s="182">
        <v>89.35</v>
      </c>
    </row>
    <row r="230" spans="2:7">
      <c r="B230" t="s">
        <v>425</v>
      </c>
      <c r="C230" s="184">
        <v>79.010000000000005</v>
      </c>
      <c r="D230" s="184">
        <v>83.26</v>
      </c>
      <c r="E230" s="184">
        <v>83.59</v>
      </c>
      <c r="F230" s="184">
        <v>82.17</v>
      </c>
      <c r="G230" s="184">
        <v>85.4</v>
      </c>
    </row>
    <row r="231" spans="2:7">
      <c r="B231" t="s">
        <v>426</v>
      </c>
      <c r="C231" s="185">
        <v>12</v>
      </c>
      <c r="D231" s="185">
        <v>360</v>
      </c>
      <c r="E231" s="185">
        <v>2276</v>
      </c>
      <c r="F231" s="185">
        <v>1542</v>
      </c>
      <c r="G231" s="185">
        <v>500</v>
      </c>
    </row>
    <row r="232" spans="2:7">
      <c r="B232" t="s">
        <v>427</v>
      </c>
      <c r="C232" s="186">
        <v>68.069999999999993</v>
      </c>
      <c r="D232" s="186">
        <v>79.69</v>
      </c>
      <c r="E232" s="186">
        <v>79.13</v>
      </c>
      <c r="F232" s="186">
        <v>78.17</v>
      </c>
      <c r="G232" s="186">
        <v>82.9</v>
      </c>
    </row>
    <row r="233" spans="2:7">
      <c r="B233" t="s">
        <v>428</v>
      </c>
      <c r="C233" s="187">
        <v>14</v>
      </c>
      <c r="D233" s="187">
        <v>413</v>
      </c>
      <c r="E233" s="187">
        <v>2318</v>
      </c>
      <c r="F233" s="187">
        <v>1467</v>
      </c>
      <c r="G233" s="187">
        <v>425</v>
      </c>
    </row>
    <row r="234" spans="2:7" ht="45">
      <c r="B234" t="s">
        <v>429</v>
      </c>
      <c r="C234" s="188" t="s">
        <v>266</v>
      </c>
      <c r="D234" s="188" t="s">
        <v>267</v>
      </c>
      <c r="E234" s="188" t="s">
        <v>268</v>
      </c>
      <c r="F234" s="188" t="s">
        <v>269</v>
      </c>
      <c r="G234" s="188" t="s">
        <v>270</v>
      </c>
    </row>
    <row r="235" spans="2:7">
      <c r="B235" t="s">
        <v>18</v>
      </c>
      <c r="C235" s="184">
        <v>82.91</v>
      </c>
      <c r="D235" s="184">
        <v>82.91</v>
      </c>
      <c r="E235" s="184">
        <v>82.91</v>
      </c>
      <c r="F235" s="184">
        <v>82.91</v>
      </c>
      <c r="G235" s="184">
        <v>82.91</v>
      </c>
    </row>
    <row r="236" spans="2:7">
      <c r="B236" t="s">
        <v>430</v>
      </c>
      <c r="C236" s="189">
        <v>75</v>
      </c>
      <c r="D236" s="189">
        <v>86.11</v>
      </c>
      <c r="E236" s="189">
        <v>84.66</v>
      </c>
      <c r="F236" s="189">
        <v>82.38</v>
      </c>
      <c r="G236" s="189">
        <v>89.58</v>
      </c>
    </row>
    <row r="285" spans="2:12" ht="15.75" thickBot="1">
      <c r="B285" s="171" t="s">
        <v>171</v>
      </c>
      <c r="C285" s="169">
        <v>93.53</v>
      </c>
      <c r="D285" s="169">
        <v>91.83</v>
      </c>
      <c r="E285" s="169">
        <v>88.97</v>
      </c>
      <c r="F285" s="169">
        <v>83.86</v>
      </c>
      <c r="G285" s="169">
        <v>84.1</v>
      </c>
      <c r="H285" s="169">
        <v>78.73</v>
      </c>
      <c r="I285" s="169">
        <v>86.35</v>
      </c>
      <c r="J285" s="169">
        <v>87.52</v>
      </c>
      <c r="K285" s="169">
        <v>90.4</v>
      </c>
      <c r="L285" s="169">
        <v>79.88</v>
      </c>
    </row>
    <row r="286" spans="2:12" ht="15.75" thickBot="1">
      <c r="B286" s="172" t="s">
        <v>172</v>
      </c>
      <c r="C286" s="173">
        <v>93.66</v>
      </c>
      <c r="D286" s="173">
        <v>89.43</v>
      </c>
      <c r="E286" s="173">
        <v>85.92</v>
      </c>
      <c r="F286" s="173">
        <v>81.99</v>
      </c>
      <c r="G286" s="173">
        <v>79.41</v>
      </c>
      <c r="H286" s="173">
        <v>74.709999999999994</v>
      </c>
      <c r="I286" s="173">
        <v>79.209999999999994</v>
      </c>
      <c r="J286" s="173">
        <v>81.94</v>
      </c>
      <c r="K286" s="173">
        <v>82.09</v>
      </c>
      <c r="L286" s="173">
        <v>80.540000000000006</v>
      </c>
    </row>
    <row r="287" spans="2:12" ht="15.75" thickBot="1">
      <c r="B287" s="175" t="s">
        <v>170</v>
      </c>
      <c r="C287" s="176">
        <v>87.16</v>
      </c>
      <c r="D287" s="176">
        <v>83.33</v>
      </c>
      <c r="E287" s="176">
        <v>81.790000000000006</v>
      </c>
      <c r="F287" s="176">
        <v>75.37</v>
      </c>
      <c r="G287" s="176">
        <v>74.319999999999993</v>
      </c>
      <c r="H287" s="176">
        <v>69.97</v>
      </c>
      <c r="I287" s="176">
        <v>77.64</v>
      </c>
      <c r="J287" s="176">
        <v>79.180000000000007</v>
      </c>
      <c r="K287" s="176">
        <v>83.27</v>
      </c>
      <c r="L287" s="176">
        <v>72.260000000000005</v>
      </c>
    </row>
    <row r="288" spans="2:12" ht="15.75" thickBot="1">
      <c r="B288" s="178" t="s">
        <v>423</v>
      </c>
      <c r="C288" s="179">
        <v>94.93</v>
      </c>
      <c r="D288" s="179">
        <v>92.27</v>
      </c>
      <c r="E288" s="179">
        <v>89.09</v>
      </c>
      <c r="F288" s="179">
        <v>82.97</v>
      </c>
      <c r="G288" s="179">
        <v>81.58</v>
      </c>
      <c r="H288" s="179">
        <v>76.73</v>
      </c>
      <c r="I288" s="179">
        <v>80.61</v>
      </c>
      <c r="J288" s="179">
        <v>83.49</v>
      </c>
      <c r="K288" s="179">
        <v>80.66</v>
      </c>
      <c r="L288" s="179">
        <v>76.23</v>
      </c>
    </row>
    <row r="289" spans="2:12" ht="15.75" thickBot="1">
      <c r="B289" s="181" t="s">
        <v>424</v>
      </c>
      <c r="C289" s="182">
        <v>94.86</v>
      </c>
      <c r="D289" s="182">
        <v>92.88</v>
      </c>
      <c r="E289" s="182">
        <v>90.23</v>
      </c>
      <c r="F289" s="182">
        <v>86.42</v>
      </c>
      <c r="G289" s="182">
        <v>83.34</v>
      </c>
      <c r="H289" s="182">
        <v>79.400000000000006</v>
      </c>
      <c r="I289" s="182">
        <v>84.13</v>
      </c>
      <c r="J289" s="182">
        <v>86.8</v>
      </c>
      <c r="K289" s="182">
        <v>89.26</v>
      </c>
      <c r="L289" s="182">
        <v>80.28</v>
      </c>
    </row>
    <row r="290" spans="2:12">
      <c r="B290" t="s">
        <v>425</v>
      </c>
      <c r="C290" s="184">
        <v>92.75</v>
      </c>
      <c r="D290" s="184">
        <v>89.82</v>
      </c>
      <c r="E290" s="184">
        <v>87.04</v>
      </c>
      <c r="F290" s="184">
        <v>82.03</v>
      </c>
      <c r="G290" s="184">
        <v>80.510000000000005</v>
      </c>
      <c r="H290" s="184">
        <v>75.88</v>
      </c>
      <c r="I290" s="184">
        <v>81.69</v>
      </c>
      <c r="J290" s="184">
        <v>83.78</v>
      </c>
      <c r="K290" s="184">
        <v>85.39</v>
      </c>
      <c r="L290" s="184">
        <v>77.95</v>
      </c>
    </row>
    <row r="291" spans="2:12">
      <c r="B291" t="s">
        <v>426</v>
      </c>
      <c r="C291" s="185">
        <v>74</v>
      </c>
      <c r="D291" s="185">
        <v>139</v>
      </c>
      <c r="E291" s="185">
        <v>979</v>
      </c>
      <c r="F291" s="185">
        <v>794</v>
      </c>
      <c r="G291" s="185">
        <v>386</v>
      </c>
      <c r="H291" s="185">
        <v>426</v>
      </c>
      <c r="I291" s="185">
        <v>536</v>
      </c>
      <c r="J291" s="185">
        <v>877</v>
      </c>
      <c r="K291" s="185">
        <v>396</v>
      </c>
      <c r="L291" s="185">
        <v>42</v>
      </c>
    </row>
    <row r="292" spans="2:12">
      <c r="B292" t="s">
        <v>427</v>
      </c>
      <c r="C292" s="186">
        <v>91.91</v>
      </c>
      <c r="D292" s="186">
        <v>88.05</v>
      </c>
      <c r="E292" s="186">
        <v>86.33</v>
      </c>
      <c r="F292" s="186">
        <v>77.510000000000005</v>
      </c>
      <c r="G292" s="186">
        <v>73.2</v>
      </c>
      <c r="H292" s="186">
        <v>71.02</v>
      </c>
      <c r="I292" s="186">
        <v>74.760000000000005</v>
      </c>
      <c r="J292" s="186">
        <v>80.2</v>
      </c>
      <c r="K292" s="186">
        <v>80.39</v>
      </c>
      <c r="L292" s="186" t="s">
        <v>245</v>
      </c>
    </row>
    <row r="293" spans="2:12">
      <c r="B293" t="s">
        <v>428</v>
      </c>
      <c r="C293" s="187">
        <v>65</v>
      </c>
      <c r="D293" s="187">
        <v>121</v>
      </c>
      <c r="E293" s="187">
        <v>895</v>
      </c>
      <c r="F293" s="187">
        <v>768</v>
      </c>
      <c r="G293" s="187">
        <v>265</v>
      </c>
      <c r="H293" s="187">
        <v>519</v>
      </c>
      <c r="I293" s="187">
        <v>572</v>
      </c>
      <c r="J293" s="187">
        <v>937</v>
      </c>
      <c r="K293" s="187">
        <v>444</v>
      </c>
      <c r="L293" s="187" t="s">
        <v>11</v>
      </c>
    </row>
    <row r="294" spans="2:12" ht="112.5">
      <c r="B294" t="s">
        <v>429</v>
      </c>
      <c r="C294" s="191" t="s">
        <v>271</v>
      </c>
      <c r="D294" s="191" t="s">
        <v>272</v>
      </c>
      <c r="E294" s="191" t="s">
        <v>273</v>
      </c>
      <c r="F294" s="191" t="s">
        <v>274</v>
      </c>
      <c r="G294" s="191" t="s">
        <v>275</v>
      </c>
      <c r="H294" s="191" t="s">
        <v>276</v>
      </c>
      <c r="I294" s="191" t="s">
        <v>277</v>
      </c>
      <c r="J294" s="191" t="s">
        <v>278</v>
      </c>
      <c r="K294" s="191" t="s">
        <v>279</v>
      </c>
      <c r="L294" s="191" t="s">
        <v>280</v>
      </c>
    </row>
    <row r="295" spans="2:12">
      <c r="B295" t="s">
        <v>18</v>
      </c>
      <c r="C295" s="184">
        <v>82.91</v>
      </c>
      <c r="D295" s="184">
        <v>82.91</v>
      </c>
      <c r="E295" s="184">
        <v>82.91</v>
      </c>
      <c r="F295" s="184">
        <v>82.91</v>
      </c>
      <c r="G295" s="184">
        <v>82.91</v>
      </c>
      <c r="H295" s="184">
        <v>82.91</v>
      </c>
      <c r="I295" s="184">
        <v>82.91</v>
      </c>
      <c r="J295" s="184">
        <v>82.91</v>
      </c>
      <c r="K295" s="184">
        <v>82.91</v>
      </c>
      <c r="L295" s="184">
        <v>82.91</v>
      </c>
    </row>
    <row r="296" spans="2:12">
      <c r="B296" t="s">
        <v>430</v>
      </c>
      <c r="C296" s="189">
        <v>98.65</v>
      </c>
      <c r="D296" s="189">
        <v>94.24</v>
      </c>
      <c r="E296" s="189">
        <v>89.27</v>
      </c>
      <c r="F296" s="189">
        <v>85.34</v>
      </c>
      <c r="G296" s="189">
        <v>81.61</v>
      </c>
      <c r="H296" s="189">
        <v>80</v>
      </c>
      <c r="I296" s="189">
        <v>81.459999999999994</v>
      </c>
      <c r="J296" s="189">
        <v>82.78</v>
      </c>
      <c r="K296" s="189">
        <v>82.83</v>
      </c>
      <c r="L296" s="189">
        <v>76.19</v>
      </c>
    </row>
    <row r="345" spans="2:8" ht="15.75" thickBot="1">
      <c r="B345" s="171" t="s">
        <v>171</v>
      </c>
      <c r="C345" s="169">
        <v>91.75</v>
      </c>
      <c r="D345" s="169">
        <v>87.14</v>
      </c>
      <c r="E345" s="169">
        <v>84.41</v>
      </c>
      <c r="F345" s="169">
        <v>79.94</v>
      </c>
      <c r="G345" s="169">
        <v>87.42</v>
      </c>
      <c r="H345" s="169">
        <v>88.24</v>
      </c>
    </row>
    <row r="346" spans="2:8" ht="15.75" thickBot="1">
      <c r="B346" s="172" t="s">
        <v>172</v>
      </c>
      <c r="C346" s="173">
        <v>87.01</v>
      </c>
      <c r="D346" s="173">
        <v>82.15</v>
      </c>
      <c r="E346" s="173">
        <v>78.97</v>
      </c>
      <c r="F346" s="173">
        <v>76.930000000000007</v>
      </c>
      <c r="G346" s="173">
        <v>83.93</v>
      </c>
      <c r="H346" s="173">
        <v>84.79</v>
      </c>
    </row>
    <row r="347" spans="2:8" ht="15.75" thickBot="1">
      <c r="B347" s="175" t="s">
        <v>170</v>
      </c>
      <c r="C347" s="176">
        <v>87.17</v>
      </c>
      <c r="D347" s="176">
        <v>79.760000000000005</v>
      </c>
      <c r="E347" s="176">
        <v>74.66</v>
      </c>
      <c r="F347" s="176">
        <v>72.42</v>
      </c>
      <c r="G347" s="176">
        <v>77.63</v>
      </c>
      <c r="H347" s="176">
        <v>80.38</v>
      </c>
    </row>
    <row r="348" spans="2:8" ht="15.75" thickBot="1">
      <c r="B348" s="178" t="s">
        <v>423</v>
      </c>
      <c r="C348" s="179">
        <v>86.67</v>
      </c>
      <c r="D348" s="179">
        <v>82.73</v>
      </c>
      <c r="E348" s="179">
        <v>79.88</v>
      </c>
      <c r="F348" s="179">
        <v>80.069999999999993</v>
      </c>
      <c r="G348" s="179">
        <v>86.61</v>
      </c>
      <c r="H348" s="179">
        <v>88.62</v>
      </c>
    </row>
    <row r="349" spans="2:8" ht="15.75" thickBot="1">
      <c r="B349" s="181" t="s">
        <v>424</v>
      </c>
      <c r="C349" s="182">
        <v>91.77</v>
      </c>
      <c r="D349" s="182">
        <v>87.67</v>
      </c>
      <c r="E349" s="182">
        <v>83.75</v>
      </c>
      <c r="F349" s="182">
        <v>81.36</v>
      </c>
      <c r="G349" s="182">
        <v>88.32</v>
      </c>
      <c r="H349" s="182">
        <v>88.26</v>
      </c>
    </row>
    <row r="350" spans="2:8">
      <c r="B350" t="s">
        <v>425</v>
      </c>
      <c r="C350" s="184">
        <v>89.02</v>
      </c>
      <c r="D350" s="184">
        <v>83.93</v>
      </c>
      <c r="E350" s="184">
        <v>80.37</v>
      </c>
      <c r="F350" s="184">
        <v>77.959999999999994</v>
      </c>
      <c r="G350" s="184">
        <v>84.65</v>
      </c>
      <c r="H350" s="184">
        <v>85.91</v>
      </c>
    </row>
    <row r="351" spans="2:8">
      <c r="B351" t="s">
        <v>426</v>
      </c>
      <c r="C351" s="185">
        <v>425</v>
      </c>
      <c r="D351" s="185">
        <v>1125</v>
      </c>
      <c r="E351" s="185">
        <v>1198</v>
      </c>
      <c r="F351" s="185">
        <v>412</v>
      </c>
      <c r="G351" s="185">
        <v>791</v>
      </c>
      <c r="H351" s="185">
        <v>719</v>
      </c>
    </row>
    <row r="352" spans="2:8">
      <c r="B352" t="s">
        <v>427</v>
      </c>
      <c r="C352" s="186">
        <v>83.99</v>
      </c>
      <c r="D352" s="186">
        <v>78.19</v>
      </c>
      <c r="E352" s="186">
        <v>76.42</v>
      </c>
      <c r="F352" s="186">
        <v>76.36</v>
      </c>
      <c r="G352" s="186">
        <v>80.75</v>
      </c>
      <c r="H352" s="186">
        <v>84.02</v>
      </c>
    </row>
    <row r="353" spans="2:8">
      <c r="B353" t="s">
        <v>428</v>
      </c>
      <c r="C353" s="187">
        <v>305</v>
      </c>
      <c r="D353" s="187">
        <v>1135</v>
      </c>
      <c r="E353" s="187">
        <v>1202</v>
      </c>
      <c r="F353" s="187">
        <v>481</v>
      </c>
      <c r="G353" s="187">
        <v>715</v>
      </c>
      <c r="H353" s="187">
        <v>773</v>
      </c>
    </row>
    <row r="354" spans="2:8" ht="22.5">
      <c r="B354" t="s">
        <v>429</v>
      </c>
      <c r="C354" s="188" t="s">
        <v>281</v>
      </c>
      <c r="D354" s="188" t="s">
        <v>282</v>
      </c>
      <c r="E354" s="188" t="s">
        <v>283</v>
      </c>
      <c r="F354" s="188" t="s">
        <v>284</v>
      </c>
      <c r="G354" s="188" t="s">
        <v>285</v>
      </c>
      <c r="H354" s="188" t="s">
        <v>286</v>
      </c>
    </row>
    <row r="355" spans="2:8">
      <c r="B355" t="s">
        <v>18</v>
      </c>
      <c r="C355" s="184">
        <v>82.91</v>
      </c>
      <c r="D355" s="184">
        <v>82.91</v>
      </c>
      <c r="E355" s="184">
        <v>82.91</v>
      </c>
      <c r="F355" s="184">
        <v>82.91</v>
      </c>
      <c r="G355" s="184">
        <v>82.91</v>
      </c>
      <c r="H355" s="184">
        <v>82.91</v>
      </c>
    </row>
    <row r="356" spans="2:8">
      <c r="B356" t="s">
        <v>430</v>
      </c>
      <c r="C356" s="189">
        <v>90.59</v>
      </c>
      <c r="D356" s="189">
        <v>84.53</v>
      </c>
      <c r="E356" s="189">
        <v>80.75</v>
      </c>
      <c r="F356" s="189">
        <v>79.08</v>
      </c>
      <c r="G356" s="189">
        <v>86.71</v>
      </c>
      <c r="H356" s="189">
        <v>89.28</v>
      </c>
    </row>
    <row r="405" spans="2:16" ht="15.75" thickBot="1">
      <c r="B405" s="171" t="s">
        <v>171</v>
      </c>
      <c r="C405" s="169">
        <v>70.28</v>
      </c>
      <c r="D405" s="169">
        <v>93.52</v>
      </c>
      <c r="E405" s="169">
        <v>81.7</v>
      </c>
      <c r="F405" s="169">
        <v>85.8</v>
      </c>
      <c r="G405" s="169">
        <v>86.78</v>
      </c>
      <c r="H405" s="169">
        <v>83.81</v>
      </c>
      <c r="I405" s="169">
        <v>96.24</v>
      </c>
      <c r="J405" s="169">
        <v>90.49</v>
      </c>
      <c r="K405" s="169">
        <v>78.42</v>
      </c>
      <c r="L405" s="169">
        <v>89.17</v>
      </c>
      <c r="M405" s="169">
        <v>84.63</v>
      </c>
      <c r="N405" s="169">
        <v>81.78</v>
      </c>
      <c r="O405" s="169" t="s">
        <v>245</v>
      </c>
      <c r="P405" s="169">
        <v>97.14</v>
      </c>
    </row>
    <row r="406" spans="2:16" ht="15.75" thickBot="1">
      <c r="B406" s="172" t="s">
        <v>172</v>
      </c>
      <c r="C406" s="173">
        <v>62.23</v>
      </c>
      <c r="D406" s="173">
        <v>94.29</v>
      </c>
      <c r="E406" s="173">
        <v>80.44</v>
      </c>
      <c r="F406" s="173">
        <v>83.68</v>
      </c>
      <c r="G406" s="173">
        <v>81.459999999999994</v>
      </c>
      <c r="H406" s="173">
        <v>84.28</v>
      </c>
      <c r="I406" s="173">
        <v>91.48</v>
      </c>
      <c r="J406" s="173">
        <v>90.16</v>
      </c>
      <c r="K406" s="173">
        <v>79.81</v>
      </c>
      <c r="L406" s="173">
        <v>87.3</v>
      </c>
      <c r="M406" s="173">
        <v>79.87</v>
      </c>
      <c r="N406" s="173">
        <v>83.85</v>
      </c>
      <c r="O406" s="173" t="s">
        <v>245</v>
      </c>
      <c r="P406" s="173">
        <v>95.38</v>
      </c>
    </row>
    <row r="407" spans="2:16" ht="15.75" thickBot="1">
      <c r="B407" s="175" t="s">
        <v>170</v>
      </c>
      <c r="C407" s="176">
        <v>67.959999999999994</v>
      </c>
      <c r="D407" s="176">
        <v>91.07</v>
      </c>
      <c r="E407" s="176">
        <v>74.040000000000006</v>
      </c>
      <c r="F407" s="176">
        <v>74.45</v>
      </c>
      <c r="G407" s="176">
        <v>78.72</v>
      </c>
      <c r="H407" s="176">
        <v>76.58</v>
      </c>
      <c r="I407" s="176">
        <v>81.349999999999994</v>
      </c>
      <c r="J407" s="176">
        <v>80.63</v>
      </c>
      <c r="K407" s="176">
        <v>70.56</v>
      </c>
      <c r="L407" s="176">
        <v>81.760000000000005</v>
      </c>
      <c r="M407" s="176">
        <v>76.849999999999994</v>
      </c>
      <c r="N407" s="176">
        <v>73.540000000000006</v>
      </c>
      <c r="O407" s="176" t="s">
        <v>245</v>
      </c>
      <c r="P407" s="176">
        <v>85</v>
      </c>
    </row>
    <row r="408" spans="2:16" ht="15.75" thickBot="1">
      <c r="B408" s="178" t="s">
        <v>423</v>
      </c>
      <c r="C408" s="179">
        <v>72.989999999999995</v>
      </c>
      <c r="D408" s="179">
        <v>99.04</v>
      </c>
      <c r="E408" s="179">
        <v>80</v>
      </c>
      <c r="F408" s="179">
        <v>84.75</v>
      </c>
      <c r="G408" s="179">
        <v>83.95</v>
      </c>
      <c r="H408" s="179">
        <v>89.61</v>
      </c>
      <c r="I408" s="179">
        <v>93.45</v>
      </c>
      <c r="J408" s="179">
        <v>88.73</v>
      </c>
      <c r="K408" s="179">
        <v>76.319999999999993</v>
      </c>
      <c r="L408" s="179">
        <v>90.11</v>
      </c>
      <c r="M408" s="179">
        <v>80.97</v>
      </c>
      <c r="N408" s="179">
        <v>81.84</v>
      </c>
      <c r="O408" s="179" t="s">
        <v>245</v>
      </c>
      <c r="P408" s="179">
        <v>96.25</v>
      </c>
    </row>
    <row r="409" spans="2:16" ht="15.75" thickBot="1">
      <c r="B409" s="181" t="s">
        <v>424</v>
      </c>
      <c r="C409" s="182">
        <v>60.71</v>
      </c>
      <c r="D409" s="182">
        <v>98.57</v>
      </c>
      <c r="E409" s="182">
        <v>79.77</v>
      </c>
      <c r="F409" s="182">
        <v>87.66</v>
      </c>
      <c r="G409" s="182">
        <v>86.3</v>
      </c>
      <c r="H409" s="182">
        <v>90.11</v>
      </c>
      <c r="I409" s="182">
        <v>93.76</v>
      </c>
      <c r="J409" s="182">
        <v>92.57</v>
      </c>
      <c r="K409" s="182">
        <v>79.37</v>
      </c>
      <c r="L409" s="182">
        <v>91.39</v>
      </c>
      <c r="M409" s="182">
        <v>85.14</v>
      </c>
      <c r="N409" s="182">
        <v>86.85</v>
      </c>
      <c r="O409" s="182" t="s">
        <v>245</v>
      </c>
      <c r="P409" s="182">
        <v>91</v>
      </c>
    </row>
    <row r="410" spans="2:16">
      <c r="B410" t="s">
        <v>425</v>
      </c>
      <c r="C410" s="184">
        <v>66.8</v>
      </c>
      <c r="D410" s="184">
        <v>94.93</v>
      </c>
      <c r="E410" s="184">
        <v>79.16</v>
      </c>
      <c r="F410" s="184">
        <v>83.16</v>
      </c>
      <c r="G410" s="184">
        <v>83.39</v>
      </c>
      <c r="H410" s="184">
        <v>84.44</v>
      </c>
      <c r="I410" s="184">
        <v>91.35</v>
      </c>
      <c r="J410" s="184">
        <v>88.51</v>
      </c>
      <c r="K410" s="184">
        <v>77.03</v>
      </c>
      <c r="L410" s="184">
        <v>87.77</v>
      </c>
      <c r="M410" s="184">
        <v>81.510000000000005</v>
      </c>
      <c r="N410" s="184">
        <v>81.52</v>
      </c>
      <c r="O410" s="184" t="s">
        <v>245</v>
      </c>
      <c r="P410" s="184">
        <v>93.1</v>
      </c>
    </row>
    <row r="411" spans="2:16">
      <c r="B411" t="s">
        <v>426</v>
      </c>
      <c r="C411" s="185">
        <v>8</v>
      </c>
      <c r="D411" s="185">
        <v>14</v>
      </c>
      <c r="E411" s="185">
        <v>41</v>
      </c>
      <c r="F411" s="185">
        <v>199</v>
      </c>
      <c r="G411" s="185">
        <v>2612</v>
      </c>
      <c r="H411" s="185">
        <v>95</v>
      </c>
      <c r="I411" s="185">
        <v>21</v>
      </c>
      <c r="J411" s="185">
        <v>170</v>
      </c>
      <c r="K411" s="185">
        <v>102</v>
      </c>
      <c r="L411" s="185">
        <v>60</v>
      </c>
      <c r="M411" s="185">
        <v>1478</v>
      </c>
      <c r="N411" s="185">
        <v>73</v>
      </c>
      <c r="O411" s="185">
        <v>3</v>
      </c>
      <c r="P411" s="185">
        <v>10</v>
      </c>
    </row>
    <row r="412" spans="2:16">
      <c r="B412" t="s">
        <v>427</v>
      </c>
      <c r="C412" s="186">
        <v>71.709999999999994</v>
      </c>
      <c r="D412" s="186">
        <v>94.66</v>
      </c>
      <c r="E412" s="186">
        <v>78.58</v>
      </c>
      <c r="F412" s="186">
        <v>74.38</v>
      </c>
      <c r="G412" s="186">
        <v>80.41</v>
      </c>
      <c r="H412" s="186">
        <v>84.16</v>
      </c>
      <c r="I412" s="186" t="s">
        <v>245</v>
      </c>
      <c r="J412" s="186">
        <v>87.49</v>
      </c>
      <c r="K412" s="186">
        <v>80.099999999999994</v>
      </c>
      <c r="L412" s="186">
        <v>77.22</v>
      </c>
      <c r="M412" s="186">
        <v>75.45</v>
      </c>
      <c r="N412" s="186">
        <v>82.2</v>
      </c>
      <c r="O412" s="186" t="s">
        <v>245</v>
      </c>
      <c r="P412" s="186">
        <v>91.82</v>
      </c>
    </row>
    <row r="413" spans="2:16">
      <c r="B413" t="s">
        <v>428</v>
      </c>
      <c r="C413" s="187">
        <v>22</v>
      </c>
      <c r="D413" s="187">
        <v>10</v>
      </c>
      <c r="E413" s="187">
        <v>47</v>
      </c>
      <c r="F413" s="187">
        <v>187</v>
      </c>
      <c r="G413" s="187">
        <v>2535</v>
      </c>
      <c r="H413" s="187">
        <v>89</v>
      </c>
      <c r="I413" s="187" t="s">
        <v>11</v>
      </c>
      <c r="J413" s="187">
        <v>159</v>
      </c>
      <c r="K413" s="187">
        <v>99</v>
      </c>
      <c r="L413" s="187">
        <v>55</v>
      </c>
      <c r="M413" s="187">
        <v>1432</v>
      </c>
      <c r="N413" s="187">
        <v>77</v>
      </c>
      <c r="O413" s="187">
        <v>5</v>
      </c>
      <c r="P413" s="187">
        <v>11</v>
      </c>
    </row>
    <row r="414" spans="2:16" ht="33.75">
      <c r="B414" t="s">
        <v>429</v>
      </c>
      <c r="C414" s="188" t="s">
        <v>287</v>
      </c>
      <c r="D414" s="188" t="s">
        <v>288</v>
      </c>
      <c r="E414" s="188" t="s">
        <v>289</v>
      </c>
      <c r="F414" s="188" t="s">
        <v>290</v>
      </c>
      <c r="G414" s="188" t="s">
        <v>291</v>
      </c>
      <c r="H414" s="188" t="s">
        <v>292</v>
      </c>
      <c r="I414" s="188" t="s">
        <v>293</v>
      </c>
      <c r="J414" s="188" t="s">
        <v>294</v>
      </c>
      <c r="K414" s="188" t="s">
        <v>295</v>
      </c>
      <c r="L414" s="188" t="s">
        <v>296</v>
      </c>
      <c r="M414" s="188" t="s">
        <v>297</v>
      </c>
      <c r="N414" s="188" t="s">
        <v>298</v>
      </c>
      <c r="O414" s="188" t="s">
        <v>299</v>
      </c>
      <c r="P414" s="188" t="s">
        <v>300</v>
      </c>
    </row>
    <row r="415" spans="2:16">
      <c r="B415" t="s">
        <v>18</v>
      </c>
      <c r="C415" s="184">
        <v>82.91</v>
      </c>
      <c r="D415" s="184">
        <v>82.91</v>
      </c>
      <c r="E415" s="184">
        <v>82.91</v>
      </c>
      <c r="F415" s="184">
        <v>82.91</v>
      </c>
      <c r="G415" s="184">
        <v>82.91</v>
      </c>
      <c r="H415" s="184">
        <v>82.91</v>
      </c>
      <c r="I415" s="184">
        <v>82.91</v>
      </c>
      <c r="J415" s="184">
        <v>82.91</v>
      </c>
      <c r="K415" s="184">
        <v>82.91</v>
      </c>
      <c r="L415" s="184">
        <v>82.91</v>
      </c>
      <c r="M415" s="184">
        <v>82.91</v>
      </c>
      <c r="N415" s="184">
        <v>82.91</v>
      </c>
      <c r="O415" s="184">
        <v>82.91</v>
      </c>
      <c r="P415" s="184">
        <v>82.91</v>
      </c>
    </row>
    <row r="416" spans="2:16">
      <c r="B416" t="s">
        <v>430</v>
      </c>
      <c r="C416" s="189">
        <v>75</v>
      </c>
      <c r="D416" s="189">
        <v>100</v>
      </c>
      <c r="E416" s="189">
        <v>75.61</v>
      </c>
      <c r="F416" s="189">
        <v>86.36</v>
      </c>
      <c r="G416" s="189">
        <v>83.41</v>
      </c>
      <c r="H416" s="189">
        <v>91.58</v>
      </c>
      <c r="I416" s="189">
        <v>100</v>
      </c>
      <c r="J416" s="189">
        <v>91.12</v>
      </c>
      <c r="K416" s="189">
        <v>81.37</v>
      </c>
      <c r="L416" s="189">
        <v>91.53</v>
      </c>
      <c r="M416" s="189">
        <v>83.23</v>
      </c>
      <c r="N416" s="189">
        <v>87.67</v>
      </c>
      <c r="O416" s="189" t="s">
        <v>245</v>
      </c>
      <c r="P416" s="189">
        <v>100</v>
      </c>
    </row>
    <row r="465" spans="2:6" ht="15.75" thickBot="1">
      <c r="B465" s="171" t="s">
        <v>171</v>
      </c>
      <c r="C465" s="169">
        <v>92.06</v>
      </c>
      <c r="D465" s="169">
        <v>82.99</v>
      </c>
      <c r="E465" s="169">
        <v>73.010000000000005</v>
      </c>
      <c r="F465" s="169">
        <v>58.22</v>
      </c>
    </row>
    <row r="466" spans="2:6" ht="15.75" thickBot="1">
      <c r="B466" s="172" t="s">
        <v>172</v>
      </c>
      <c r="C466" s="173">
        <v>87.65</v>
      </c>
      <c r="D466" s="173">
        <v>78.34</v>
      </c>
      <c r="E466" s="173">
        <v>69.09</v>
      </c>
      <c r="F466" s="173">
        <v>54.71</v>
      </c>
    </row>
    <row r="467" spans="2:6" ht="15.75" thickBot="1">
      <c r="B467" s="175" t="s">
        <v>170</v>
      </c>
      <c r="C467" s="176">
        <v>83.2</v>
      </c>
      <c r="D467" s="176">
        <v>74.31</v>
      </c>
      <c r="E467" s="176">
        <v>66.7</v>
      </c>
      <c r="F467" s="176">
        <v>56.94</v>
      </c>
    </row>
    <row r="468" spans="2:6" ht="15.75" thickBot="1">
      <c r="B468" s="178" t="s">
        <v>423</v>
      </c>
      <c r="C468" s="179">
        <v>87.6</v>
      </c>
      <c r="D468" s="179">
        <v>81.8</v>
      </c>
      <c r="E468" s="179">
        <v>71.7</v>
      </c>
      <c r="F468" s="179">
        <v>66.19</v>
      </c>
    </row>
    <row r="469" spans="2:6" ht="15.75" thickBot="1">
      <c r="B469" s="181" t="s">
        <v>424</v>
      </c>
      <c r="C469" s="182">
        <v>90.98</v>
      </c>
      <c r="D469" s="182">
        <v>84.03</v>
      </c>
      <c r="E469" s="182">
        <v>75.88</v>
      </c>
      <c r="F469" s="182">
        <v>65.92</v>
      </c>
    </row>
    <row r="470" spans="2:6">
      <c r="B470" t="s">
        <v>425</v>
      </c>
      <c r="C470" s="184">
        <v>88.39</v>
      </c>
      <c r="D470" s="184">
        <v>80.150000000000006</v>
      </c>
      <c r="E470" s="184">
        <v>71.099999999999994</v>
      </c>
      <c r="F470" s="184">
        <v>59.77</v>
      </c>
    </row>
    <row r="471" spans="2:6">
      <c r="B471" t="s">
        <v>426</v>
      </c>
      <c r="C471" s="185">
        <v>2444</v>
      </c>
      <c r="D471" s="185">
        <v>1088</v>
      </c>
      <c r="E471" s="185">
        <v>501</v>
      </c>
      <c r="F471" s="185">
        <v>116</v>
      </c>
    </row>
    <row r="472" spans="2:6">
      <c r="B472" t="s">
        <v>427</v>
      </c>
      <c r="C472" s="186">
        <v>84.86</v>
      </c>
      <c r="D472" s="186">
        <v>74.510000000000005</v>
      </c>
      <c r="E472" s="186">
        <v>66.599999999999994</v>
      </c>
      <c r="F472" s="186">
        <v>55.18</v>
      </c>
    </row>
    <row r="473" spans="2:6">
      <c r="B473" t="s">
        <v>428</v>
      </c>
      <c r="C473" s="187">
        <v>2773</v>
      </c>
      <c r="D473" s="187">
        <v>1087</v>
      </c>
      <c r="E473" s="187">
        <v>595</v>
      </c>
      <c r="F473" s="187">
        <v>110</v>
      </c>
    </row>
    <row r="474" spans="2:6">
      <c r="B474" t="s">
        <v>429</v>
      </c>
      <c r="C474" s="188" t="s">
        <v>239</v>
      </c>
      <c r="D474" s="188" t="s">
        <v>240</v>
      </c>
      <c r="E474" s="188" t="s">
        <v>241</v>
      </c>
      <c r="F474" s="188" t="s">
        <v>242</v>
      </c>
    </row>
    <row r="475" spans="2:6">
      <c r="B475" t="s">
        <v>18</v>
      </c>
      <c r="C475" s="184">
        <v>82.91</v>
      </c>
      <c r="D475" s="184">
        <v>82.91</v>
      </c>
      <c r="E475" s="184">
        <v>82.91</v>
      </c>
      <c r="F475" s="184">
        <v>82.91</v>
      </c>
    </row>
    <row r="476" spans="2:6">
      <c r="B476" t="s">
        <v>430</v>
      </c>
      <c r="C476" s="189">
        <v>89.51</v>
      </c>
      <c r="D476" s="189">
        <v>82.26</v>
      </c>
      <c r="E476" s="189">
        <v>70.599999999999994</v>
      </c>
      <c r="F476" s="189">
        <v>68.099999999999994</v>
      </c>
    </row>
    <row r="525" spans="2:7" ht="15.75" thickBot="1">
      <c r="B525" s="171" t="s">
        <v>171</v>
      </c>
      <c r="C525" s="169">
        <v>88.46</v>
      </c>
      <c r="D525" s="169">
        <v>81.81</v>
      </c>
      <c r="E525" s="169">
        <v>69.47</v>
      </c>
      <c r="F525" s="169">
        <v>90.75</v>
      </c>
      <c r="G525" s="169">
        <v>71.900000000000006</v>
      </c>
    </row>
    <row r="526" spans="2:7" ht="15.75" thickBot="1">
      <c r="B526" s="172" t="s">
        <v>172</v>
      </c>
      <c r="C526" s="173">
        <v>84.45</v>
      </c>
      <c r="D526" s="173">
        <v>75.67</v>
      </c>
      <c r="E526" s="173">
        <v>62.34</v>
      </c>
      <c r="F526" s="173">
        <v>87.24</v>
      </c>
      <c r="G526" s="173">
        <v>66.099999999999994</v>
      </c>
    </row>
    <row r="527" spans="2:7" ht="15.75" thickBot="1">
      <c r="B527" s="175" t="s">
        <v>170</v>
      </c>
      <c r="C527" s="176">
        <v>79.25</v>
      </c>
      <c r="D527" s="176">
        <v>73.47</v>
      </c>
      <c r="E527" s="176">
        <v>59.43</v>
      </c>
      <c r="F527" s="176">
        <v>82.97</v>
      </c>
      <c r="G527" s="176">
        <v>62.41</v>
      </c>
    </row>
    <row r="528" spans="2:7" ht="15.75" thickBot="1">
      <c r="B528" s="178" t="s">
        <v>423</v>
      </c>
      <c r="C528" s="179">
        <v>84.85</v>
      </c>
      <c r="D528" s="179">
        <v>75.930000000000007</v>
      </c>
      <c r="E528" s="179">
        <v>67.13</v>
      </c>
      <c r="F528" s="179">
        <v>89.76</v>
      </c>
      <c r="G528" s="179">
        <v>66.989999999999995</v>
      </c>
    </row>
    <row r="529" spans="2:7" ht="15.75" thickBot="1">
      <c r="B529" s="181" t="s">
        <v>424</v>
      </c>
      <c r="C529" s="182">
        <v>88.44</v>
      </c>
      <c r="D529" s="182">
        <v>81.05</v>
      </c>
      <c r="E529" s="182">
        <v>68.94</v>
      </c>
      <c r="F529" s="182">
        <v>91.63</v>
      </c>
      <c r="G529" s="182">
        <v>70.739999999999995</v>
      </c>
    </row>
    <row r="530" spans="2:7">
      <c r="B530" t="s">
        <v>425</v>
      </c>
      <c r="C530" s="184">
        <v>85.13</v>
      </c>
      <c r="D530" s="184">
        <v>77.69</v>
      </c>
      <c r="E530" s="184">
        <v>65.31</v>
      </c>
      <c r="F530" s="184">
        <v>88.38</v>
      </c>
      <c r="G530" s="184">
        <v>67.58</v>
      </c>
    </row>
    <row r="531" spans="2:7">
      <c r="B531" t="s">
        <v>426</v>
      </c>
      <c r="C531" s="185">
        <v>680</v>
      </c>
      <c r="D531" s="185">
        <v>940</v>
      </c>
      <c r="E531" s="185">
        <v>101</v>
      </c>
      <c r="F531" s="185">
        <v>1993</v>
      </c>
      <c r="G531" s="185">
        <v>218</v>
      </c>
    </row>
    <row r="532" spans="2:7">
      <c r="B532" t="s">
        <v>427</v>
      </c>
      <c r="C532" s="186">
        <v>80.739999999999995</v>
      </c>
      <c r="D532" s="186">
        <v>74.11</v>
      </c>
      <c r="E532" s="186">
        <v>60.51</v>
      </c>
      <c r="F532" s="186">
        <v>85.59</v>
      </c>
      <c r="G532" s="186">
        <v>59.82</v>
      </c>
    </row>
    <row r="533" spans="2:7">
      <c r="B533" t="s">
        <v>428</v>
      </c>
      <c r="C533" s="187">
        <v>764</v>
      </c>
      <c r="D533" s="187">
        <v>1235</v>
      </c>
      <c r="E533" s="187">
        <v>132</v>
      </c>
      <c r="F533" s="187">
        <v>2149</v>
      </c>
      <c r="G533" s="187">
        <v>297</v>
      </c>
    </row>
    <row r="534" spans="2:7" ht="67.5">
      <c r="B534" t="s">
        <v>429</v>
      </c>
      <c r="C534" s="188" t="s">
        <v>301</v>
      </c>
      <c r="D534" s="188" t="s">
        <v>302</v>
      </c>
      <c r="E534" s="188" t="s">
        <v>303</v>
      </c>
      <c r="F534" s="188" t="s">
        <v>304</v>
      </c>
      <c r="G534" s="188" t="s">
        <v>305</v>
      </c>
    </row>
    <row r="535" spans="2:7">
      <c r="B535" t="s">
        <v>18</v>
      </c>
      <c r="C535" s="184">
        <v>82.91</v>
      </c>
      <c r="D535" s="184">
        <v>82.91</v>
      </c>
      <c r="E535" s="184">
        <v>82.91</v>
      </c>
      <c r="F535" s="184">
        <v>82.91</v>
      </c>
      <c r="G535" s="184">
        <v>82.91</v>
      </c>
    </row>
    <row r="536" spans="2:7">
      <c r="B536" t="s">
        <v>430</v>
      </c>
      <c r="C536" s="189">
        <v>87.3</v>
      </c>
      <c r="D536" s="189">
        <v>77.290000000000006</v>
      </c>
      <c r="E536" s="189">
        <v>65.349999999999994</v>
      </c>
      <c r="F536" s="189">
        <v>91.62</v>
      </c>
      <c r="G536" s="189">
        <v>61.47</v>
      </c>
    </row>
    <row r="585" spans="2:6" ht="15.75" thickBot="1">
      <c r="B585" s="171" t="s">
        <v>171</v>
      </c>
      <c r="C585" s="169">
        <v>93.66</v>
      </c>
      <c r="D585" s="169">
        <v>88.03</v>
      </c>
      <c r="E585" s="169">
        <v>82.62</v>
      </c>
      <c r="F585" s="169">
        <v>65.010000000000005</v>
      </c>
    </row>
    <row r="586" spans="2:6" ht="15.75" thickBot="1">
      <c r="B586" s="172" t="s">
        <v>172</v>
      </c>
      <c r="C586" s="173">
        <v>89.83</v>
      </c>
      <c r="D586" s="173">
        <v>83.54</v>
      </c>
      <c r="E586" s="173">
        <v>77.73</v>
      </c>
      <c r="F586" s="173">
        <v>61.02</v>
      </c>
    </row>
    <row r="587" spans="2:6" ht="15.75" thickBot="1">
      <c r="B587" s="175" t="s">
        <v>170</v>
      </c>
      <c r="C587" s="176">
        <v>85.29</v>
      </c>
      <c r="D587" s="176">
        <v>79.36</v>
      </c>
      <c r="E587" s="176">
        <v>73.209999999999994</v>
      </c>
      <c r="F587" s="176">
        <v>61.49</v>
      </c>
    </row>
    <row r="588" spans="2:6" ht="15.75" thickBot="1">
      <c r="B588" s="178" t="s">
        <v>423</v>
      </c>
      <c r="C588" s="179">
        <v>89.45</v>
      </c>
      <c r="D588" s="179">
        <v>84.49</v>
      </c>
      <c r="E588" s="179">
        <v>80.319999999999993</v>
      </c>
      <c r="F588" s="179">
        <v>67.36</v>
      </c>
    </row>
    <row r="589" spans="2:6" ht="15.75" thickBot="1">
      <c r="B589" s="181" t="s">
        <v>424</v>
      </c>
      <c r="C589" s="182">
        <v>93.27</v>
      </c>
      <c r="D589" s="182">
        <v>88.22</v>
      </c>
      <c r="E589" s="182">
        <v>84</v>
      </c>
      <c r="F589" s="182">
        <v>70.72</v>
      </c>
    </row>
    <row r="590" spans="2:6">
      <c r="B590" t="s">
        <v>425</v>
      </c>
      <c r="C590" s="184">
        <v>90.42</v>
      </c>
      <c r="D590" s="184">
        <v>84.77</v>
      </c>
      <c r="E590" s="184">
        <v>79.48</v>
      </c>
      <c r="F590" s="184">
        <v>64.67</v>
      </c>
    </row>
    <row r="591" spans="2:6">
      <c r="B591" t="s">
        <v>426</v>
      </c>
      <c r="C591" s="185">
        <v>789</v>
      </c>
      <c r="D591" s="185">
        <v>283</v>
      </c>
      <c r="E591" s="185">
        <v>450</v>
      </c>
      <c r="F591" s="185">
        <v>317</v>
      </c>
    </row>
    <row r="592" spans="2:6">
      <c r="B592" t="s">
        <v>427</v>
      </c>
      <c r="C592" s="186" t="s">
        <v>245</v>
      </c>
      <c r="D592" s="186" t="s">
        <v>245</v>
      </c>
      <c r="E592" s="186" t="s">
        <v>245</v>
      </c>
      <c r="F592" s="186" t="s">
        <v>245</v>
      </c>
    </row>
    <row r="593" spans="2:6">
      <c r="B593" t="s">
        <v>428</v>
      </c>
      <c r="C593" s="187" t="s">
        <v>11</v>
      </c>
      <c r="D593" s="187" t="s">
        <v>11</v>
      </c>
      <c r="E593" s="187" t="s">
        <v>11</v>
      </c>
      <c r="F593" s="187" t="s">
        <v>11</v>
      </c>
    </row>
    <row r="594" spans="2:6">
      <c r="B594" t="s">
        <v>429</v>
      </c>
      <c r="C594" s="188" t="s">
        <v>306</v>
      </c>
      <c r="D594" s="188" t="s">
        <v>240</v>
      </c>
      <c r="E594" s="188" t="s">
        <v>241</v>
      </c>
      <c r="F594" s="188" t="s">
        <v>242</v>
      </c>
    </row>
    <row r="595" spans="2:6">
      <c r="B595" t="s">
        <v>18</v>
      </c>
      <c r="C595" s="184">
        <v>82.91</v>
      </c>
      <c r="D595" s="184">
        <v>82.91</v>
      </c>
      <c r="E595" s="184">
        <v>82.91</v>
      </c>
      <c r="F595" s="184">
        <v>82.91</v>
      </c>
    </row>
    <row r="596" spans="2:6">
      <c r="B596" t="s">
        <v>430</v>
      </c>
      <c r="C596" s="189">
        <v>93.54</v>
      </c>
      <c r="D596" s="189">
        <v>87.99</v>
      </c>
      <c r="E596" s="189">
        <v>81.739999999999995</v>
      </c>
      <c r="F596" s="189">
        <v>63.29</v>
      </c>
    </row>
  </sheetData>
  <conditionalFormatting sqref="C45:C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D45:D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E45:E4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F45:F4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C105:G10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165:C16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165:D16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25:C22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225:G22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285:L28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345:H34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05:N409 P405:P40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465:F46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25:G52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585:F58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10:S339"/>
  <sheetViews>
    <sheetView workbookViewId="0">
      <selection activeCell="A330" sqref="A330:G339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55" customWidth="1"/>
    <col min="14" max="19" width="10.140625" style="194" customWidth="1"/>
  </cols>
  <sheetData>
    <row r="210" spans="2:9">
      <c r="B210" s="324" t="s">
        <v>62</v>
      </c>
      <c r="C210" s="326" t="s">
        <v>63</v>
      </c>
      <c r="D210" s="41">
        <v>1</v>
      </c>
      <c r="E210" s="42" t="s">
        <v>64</v>
      </c>
      <c r="F210" s="43">
        <v>85.48</v>
      </c>
      <c r="G210" s="43">
        <v>81.28</v>
      </c>
      <c r="H210" s="43">
        <v>87</v>
      </c>
      <c r="I210" s="43">
        <v>73.260000000000005</v>
      </c>
    </row>
    <row r="211" spans="2:9" ht="15.75" thickBot="1">
      <c r="B211" s="324"/>
      <c r="C211" s="327"/>
      <c r="D211" s="45">
        <v>2</v>
      </c>
      <c r="E211" s="46" t="s">
        <v>65</v>
      </c>
      <c r="F211" s="43">
        <v>84.05</v>
      </c>
      <c r="G211" s="43">
        <v>81.319999999999993</v>
      </c>
      <c r="H211" s="43">
        <v>85.72</v>
      </c>
      <c r="I211" s="43">
        <v>73.92</v>
      </c>
    </row>
    <row r="212" spans="2:9">
      <c r="B212" s="324"/>
      <c r="C212" s="326" t="s">
        <v>66</v>
      </c>
      <c r="D212" s="41">
        <v>3</v>
      </c>
      <c r="E212" s="42" t="s">
        <v>67</v>
      </c>
      <c r="F212" s="47">
        <v>87.08</v>
      </c>
      <c r="G212" s="47">
        <v>84.81</v>
      </c>
      <c r="H212" s="47">
        <v>90.53</v>
      </c>
      <c r="I212" s="47">
        <v>81.55</v>
      </c>
    </row>
    <row r="213" spans="2:9" ht="15.75" thickBot="1">
      <c r="B213" s="325"/>
      <c r="C213" s="327"/>
      <c r="D213" s="45">
        <v>4</v>
      </c>
      <c r="E213" s="46" t="s">
        <v>68</v>
      </c>
      <c r="F213" s="48">
        <v>89.51</v>
      </c>
      <c r="G213" s="48">
        <v>86.68</v>
      </c>
      <c r="H213" s="48">
        <v>92.63</v>
      </c>
      <c r="I213" s="48">
        <v>85.01</v>
      </c>
    </row>
    <row r="214" spans="2:9">
      <c r="B214" s="324" t="s">
        <v>69</v>
      </c>
      <c r="C214" s="326" t="s">
        <v>70</v>
      </c>
      <c r="D214" s="41">
        <v>5</v>
      </c>
      <c r="E214" s="42" t="s">
        <v>71</v>
      </c>
      <c r="F214" s="47">
        <v>89.01</v>
      </c>
      <c r="G214" s="47">
        <v>86.33</v>
      </c>
      <c r="H214" s="47">
        <v>92.02</v>
      </c>
      <c r="I214" s="47">
        <v>82.79</v>
      </c>
    </row>
    <row r="215" spans="2:9">
      <c r="B215" s="324"/>
      <c r="C215" s="326"/>
      <c r="D215" s="41">
        <v>6</v>
      </c>
      <c r="E215" s="42" t="s">
        <v>72</v>
      </c>
      <c r="F215" s="43">
        <v>84.34</v>
      </c>
      <c r="G215" s="43">
        <v>80.52</v>
      </c>
      <c r="H215" s="43">
        <v>89.81</v>
      </c>
      <c r="I215" s="43">
        <v>77.66</v>
      </c>
    </row>
    <row r="216" spans="2:9" ht="15.75" thickBot="1">
      <c r="B216" s="324"/>
      <c r="C216" s="327"/>
      <c r="D216" s="45">
        <v>7</v>
      </c>
      <c r="E216" s="46" t="s">
        <v>73</v>
      </c>
      <c r="F216" s="48">
        <v>76.25</v>
      </c>
      <c r="G216" s="48">
        <v>72.42</v>
      </c>
      <c r="H216" s="48">
        <v>81.66</v>
      </c>
      <c r="I216" s="48">
        <v>69.28</v>
      </c>
    </row>
    <row r="217" spans="2:9" ht="28.5">
      <c r="B217" s="324"/>
      <c r="C217" s="326" t="s">
        <v>74</v>
      </c>
      <c r="D217" s="41">
        <v>8</v>
      </c>
      <c r="E217" s="42" t="s">
        <v>75</v>
      </c>
      <c r="F217" s="47">
        <v>87.18</v>
      </c>
      <c r="G217" s="47">
        <v>82.59</v>
      </c>
      <c r="H217" s="47">
        <v>90.81</v>
      </c>
      <c r="I217" s="47">
        <v>83.23</v>
      </c>
    </row>
    <row r="218" spans="2:9" ht="15.75" thickBot="1">
      <c r="B218" s="324"/>
      <c r="C218" s="327"/>
      <c r="D218" s="45">
        <v>9</v>
      </c>
      <c r="E218" s="46" t="s">
        <v>76</v>
      </c>
      <c r="F218" s="48">
        <v>89.17</v>
      </c>
      <c r="G218" s="48">
        <v>86.38</v>
      </c>
      <c r="H218" s="48">
        <v>93.8</v>
      </c>
      <c r="I218" s="48">
        <v>86.01</v>
      </c>
    </row>
    <row r="219" spans="2:9" ht="15.75" thickBot="1">
      <c r="B219" s="325"/>
      <c r="C219" s="205" t="s">
        <v>77</v>
      </c>
      <c r="D219" s="45">
        <v>10</v>
      </c>
      <c r="E219" s="46" t="s">
        <v>78</v>
      </c>
      <c r="F219" s="47">
        <v>88.56</v>
      </c>
      <c r="G219" s="47">
        <v>85.59</v>
      </c>
      <c r="H219" s="47">
        <v>88.81</v>
      </c>
      <c r="I219" s="47">
        <v>78.319999999999993</v>
      </c>
    </row>
    <row r="220" spans="2:9">
      <c r="B220" s="324" t="s">
        <v>79</v>
      </c>
      <c r="C220" s="326" t="s">
        <v>80</v>
      </c>
      <c r="D220" s="41">
        <v>11</v>
      </c>
      <c r="E220" s="42" t="s">
        <v>81</v>
      </c>
      <c r="F220" s="47">
        <v>82.4</v>
      </c>
      <c r="G220" s="47">
        <v>79.239999999999995</v>
      </c>
      <c r="H220" s="47">
        <v>87.46</v>
      </c>
      <c r="I220" s="47">
        <v>74.48</v>
      </c>
    </row>
    <row r="221" spans="2:9">
      <c r="B221" s="324"/>
      <c r="C221" s="326"/>
      <c r="D221" s="41">
        <v>12</v>
      </c>
      <c r="E221" s="42" t="s">
        <v>82</v>
      </c>
      <c r="F221" s="43">
        <v>82.42</v>
      </c>
      <c r="G221" s="43">
        <v>78.900000000000006</v>
      </c>
      <c r="H221" s="43">
        <v>86.41</v>
      </c>
      <c r="I221" s="43">
        <v>74.459999999999994</v>
      </c>
    </row>
    <row r="222" spans="2:9" ht="15.75" thickBot="1">
      <c r="B222" s="324"/>
      <c r="C222" s="327"/>
      <c r="D222" s="45">
        <v>13</v>
      </c>
      <c r="E222" s="46" t="s">
        <v>83</v>
      </c>
      <c r="F222" s="48">
        <v>85.31</v>
      </c>
      <c r="G222" s="48">
        <v>81.11</v>
      </c>
      <c r="H222" s="48">
        <v>91.27</v>
      </c>
      <c r="I222" s="48">
        <v>81.56</v>
      </c>
    </row>
    <row r="223" spans="2:9" ht="15.75" thickBot="1">
      <c r="B223" s="325"/>
      <c r="C223" s="205" t="s">
        <v>84</v>
      </c>
      <c r="D223" s="45">
        <v>14</v>
      </c>
      <c r="E223" s="46" t="s">
        <v>85</v>
      </c>
      <c r="F223" s="49">
        <v>92.33</v>
      </c>
      <c r="G223" s="49">
        <v>90.16</v>
      </c>
      <c r="H223" s="49">
        <v>94.49</v>
      </c>
      <c r="I223" s="49">
        <v>86.62</v>
      </c>
    </row>
    <row r="224" spans="2:9" ht="15.75" thickBot="1"/>
    <row r="225" spans="2:9">
      <c r="B225" s="300" t="s">
        <v>87</v>
      </c>
      <c r="C225" s="317" t="s">
        <v>88</v>
      </c>
      <c r="D225" s="50">
        <v>15</v>
      </c>
      <c r="E225" s="51" t="s">
        <v>89</v>
      </c>
      <c r="F225" s="52">
        <v>79.709999999999994</v>
      </c>
      <c r="G225" s="52">
        <v>78.09</v>
      </c>
      <c r="H225" s="52">
        <v>90.38</v>
      </c>
      <c r="I225" s="52">
        <v>75.58</v>
      </c>
    </row>
    <row r="226" spans="2:9" ht="15.75" thickBot="1">
      <c r="B226" s="301"/>
      <c r="C226" s="304"/>
      <c r="D226" s="53">
        <v>16</v>
      </c>
      <c r="E226" s="46" t="s">
        <v>90</v>
      </c>
      <c r="F226" s="54">
        <v>83.11</v>
      </c>
      <c r="G226" s="54">
        <v>79.209999999999994</v>
      </c>
      <c r="H226" s="54">
        <v>90.31</v>
      </c>
      <c r="I226" s="54">
        <v>80.12</v>
      </c>
    </row>
    <row r="227" spans="2:9">
      <c r="B227" s="301"/>
      <c r="C227" s="303" t="s">
        <v>91</v>
      </c>
      <c r="D227" s="55">
        <v>17</v>
      </c>
      <c r="E227" s="42" t="s">
        <v>92</v>
      </c>
      <c r="F227" s="52">
        <v>79.77</v>
      </c>
      <c r="G227" s="52">
        <v>75.95</v>
      </c>
      <c r="H227" s="52">
        <v>86.87</v>
      </c>
      <c r="I227" s="52">
        <v>72.39</v>
      </c>
    </row>
    <row r="228" spans="2:9" ht="15.75" thickBot="1">
      <c r="B228" s="302"/>
      <c r="C228" s="304"/>
      <c r="D228" s="53">
        <v>18</v>
      </c>
      <c r="E228" s="46" t="s">
        <v>93</v>
      </c>
      <c r="F228" s="54">
        <v>85.53</v>
      </c>
      <c r="G228" s="54">
        <v>81.819999999999993</v>
      </c>
      <c r="H228" s="54">
        <v>90.24</v>
      </c>
      <c r="I228" s="54">
        <v>80.569999999999993</v>
      </c>
    </row>
    <row r="229" spans="2:9" ht="28.5">
      <c r="B229" s="300" t="s">
        <v>94</v>
      </c>
      <c r="C229" s="303" t="s">
        <v>95</v>
      </c>
      <c r="D229" s="55">
        <v>19</v>
      </c>
      <c r="E229" s="42" t="s">
        <v>96</v>
      </c>
      <c r="F229" s="52">
        <v>83.52</v>
      </c>
      <c r="G229" s="52">
        <v>80.23</v>
      </c>
      <c r="H229" s="52">
        <v>89.1</v>
      </c>
      <c r="I229" s="52">
        <v>75.97</v>
      </c>
    </row>
    <row r="230" spans="2:9" ht="29.25" thickBot="1">
      <c r="B230" s="302"/>
      <c r="C230" s="304"/>
      <c r="D230" s="53">
        <v>20</v>
      </c>
      <c r="E230" s="46" t="s">
        <v>97</v>
      </c>
      <c r="F230" s="54">
        <v>79.17</v>
      </c>
      <c r="G230" s="54">
        <v>74.58</v>
      </c>
      <c r="H230" s="54">
        <v>85.39</v>
      </c>
      <c r="I230" s="54">
        <v>69.849999999999994</v>
      </c>
    </row>
    <row r="231" spans="2:9">
      <c r="B231" s="300" t="s">
        <v>98</v>
      </c>
      <c r="C231" s="303" t="s">
        <v>99</v>
      </c>
      <c r="D231" s="55">
        <v>21</v>
      </c>
      <c r="E231" s="42" t="s">
        <v>100</v>
      </c>
      <c r="F231" s="52">
        <v>91.17</v>
      </c>
      <c r="G231" s="52">
        <v>87.92</v>
      </c>
      <c r="H231" s="52">
        <v>93.89</v>
      </c>
      <c r="I231" s="52">
        <v>87.06</v>
      </c>
    </row>
    <row r="232" spans="2:9">
      <c r="B232" s="301"/>
      <c r="C232" s="303"/>
      <c r="D232" s="55">
        <v>22</v>
      </c>
      <c r="E232" s="42" t="s">
        <v>101</v>
      </c>
      <c r="F232" s="56">
        <v>69.52</v>
      </c>
      <c r="G232" s="56">
        <v>62.9</v>
      </c>
      <c r="H232" s="56">
        <v>84.39</v>
      </c>
      <c r="I232" s="56">
        <v>75.239999999999995</v>
      </c>
    </row>
    <row r="233" spans="2:9" ht="15.75" thickBot="1">
      <c r="B233" s="301"/>
      <c r="C233" s="304"/>
      <c r="D233" s="53">
        <v>23</v>
      </c>
      <c r="E233" s="46" t="s">
        <v>102</v>
      </c>
      <c r="F233" s="54">
        <v>80.98</v>
      </c>
      <c r="G233" s="54">
        <v>79.680000000000007</v>
      </c>
      <c r="H233" s="54">
        <v>91.12</v>
      </c>
      <c r="I233" s="54">
        <v>79.72</v>
      </c>
    </row>
    <row r="234" spans="2:9">
      <c r="B234" s="301"/>
      <c r="C234" s="303" t="s">
        <v>103</v>
      </c>
      <c r="D234" s="55">
        <v>24</v>
      </c>
      <c r="E234" s="42" t="s">
        <v>104</v>
      </c>
      <c r="F234" s="52">
        <v>84.76</v>
      </c>
      <c r="G234" s="52">
        <v>80.78</v>
      </c>
      <c r="H234" s="52">
        <v>89.06</v>
      </c>
      <c r="I234" s="52">
        <v>84.38</v>
      </c>
    </row>
    <row r="235" spans="2:9">
      <c r="B235" s="301"/>
      <c r="C235" s="303"/>
      <c r="D235" s="55">
        <v>25</v>
      </c>
      <c r="E235" s="42" t="s">
        <v>105</v>
      </c>
      <c r="F235" s="56">
        <v>75.88</v>
      </c>
      <c r="G235" s="56">
        <v>70.78</v>
      </c>
      <c r="H235" s="56">
        <v>82.86</v>
      </c>
      <c r="I235" s="56">
        <v>71.58</v>
      </c>
    </row>
    <row r="236" spans="2:9">
      <c r="B236" s="301"/>
      <c r="C236" s="303"/>
      <c r="D236" s="55">
        <v>26</v>
      </c>
      <c r="E236" s="42" t="s">
        <v>106</v>
      </c>
      <c r="F236" s="56">
        <v>85.43</v>
      </c>
      <c r="G236" s="56">
        <v>82.23</v>
      </c>
      <c r="H236" s="56">
        <v>89.55</v>
      </c>
      <c r="I236" s="56">
        <v>78.52</v>
      </c>
    </row>
    <row r="237" spans="2:9" ht="15.75" thickBot="1">
      <c r="B237" s="302"/>
      <c r="C237" s="304"/>
      <c r="D237" s="53">
        <v>27</v>
      </c>
      <c r="E237" s="46" t="s">
        <v>107</v>
      </c>
      <c r="F237" s="57">
        <v>81.680000000000007</v>
      </c>
      <c r="G237" s="57">
        <v>74.459999999999994</v>
      </c>
      <c r="H237" s="57">
        <v>88.64</v>
      </c>
      <c r="I237" s="57">
        <v>72.95</v>
      </c>
    </row>
    <row r="239" spans="2:9" ht="15.75" thickBot="1"/>
    <row r="240" spans="2:9">
      <c r="B240" s="292" t="s">
        <v>109</v>
      </c>
      <c r="C240" s="308" t="s">
        <v>110</v>
      </c>
      <c r="D240" s="58">
        <v>28</v>
      </c>
      <c r="E240" s="59" t="s">
        <v>111</v>
      </c>
      <c r="F240" s="52">
        <v>63.94</v>
      </c>
      <c r="G240" s="52">
        <v>58.53</v>
      </c>
      <c r="H240" s="52">
        <v>63.86</v>
      </c>
      <c r="I240" s="52">
        <v>53.61</v>
      </c>
    </row>
    <row r="241" spans="2:9" ht="15.75" thickBot="1">
      <c r="B241" s="292"/>
      <c r="C241" s="295"/>
      <c r="D241" s="55">
        <v>29</v>
      </c>
      <c r="E241" s="42" t="s">
        <v>112</v>
      </c>
      <c r="F241" s="54">
        <v>45.85</v>
      </c>
      <c r="G241" s="54">
        <v>40.159999999999997</v>
      </c>
      <c r="H241" s="54">
        <v>60.32</v>
      </c>
      <c r="I241" s="54">
        <v>46.37</v>
      </c>
    </row>
    <row r="242" spans="2:9">
      <c r="B242" s="292"/>
      <c r="C242" s="294" t="s">
        <v>113</v>
      </c>
      <c r="D242" s="50">
        <v>30</v>
      </c>
      <c r="E242" s="51" t="s">
        <v>114</v>
      </c>
      <c r="F242" s="52">
        <v>72.17</v>
      </c>
      <c r="G242" s="52">
        <v>65.27</v>
      </c>
      <c r="H242" s="52">
        <v>87.32</v>
      </c>
      <c r="I242" s="52">
        <v>68.23</v>
      </c>
    </row>
    <row r="243" spans="2:9" ht="15.75" thickBot="1">
      <c r="B243" s="293"/>
      <c r="C243" s="309"/>
      <c r="D243" s="53">
        <v>31</v>
      </c>
      <c r="E243" s="46" t="s">
        <v>115</v>
      </c>
      <c r="F243" s="54">
        <v>92.08</v>
      </c>
      <c r="G243" s="54">
        <v>89.27</v>
      </c>
      <c r="H243" s="54">
        <v>96.07</v>
      </c>
      <c r="I243" s="54">
        <v>90.73</v>
      </c>
    </row>
    <row r="244" spans="2:9">
      <c r="B244" s="313" t="s">
        <v>116</v>
      </c>
      <c r="C244" s="313"/>
      <c r="D244" s="55">
        <v>32</v>
      </c>
      <c r="E244" s="42" t="s">
        <v>117</v>
      </c>
      <c r="F244" s="52">
        <v>58.81</v>
      </c>
      <c r="G244" s="52">
        <v>53.37</v>
      </c>
      <c r="H244" s="52">
        <v>74.13</v>
      </c>
      <c r="I244" s="52">
        <v>60.01</v>
      </c>
    </row>
    <row r="245" spans="2:9">
      <c r="B245" s="314"/>
      <c r="C245" s="314"/>
      <c r="D245" s="55">
        <v>33</v>
      </c>
      <c r="E245" s="42" t="s">
        <v>118</v>
      </c>
      <c r="F245" s="56">
        <v>73.19</v>
      </c>
      <c r="G245" s="56">
        <v>68.22</v>
      </c>
      <c r="H245" s="56">
        <v>77.489999999999995</v>
      </c>
      <c r="I245" s="56">
        <v>64.290000000000006</v>
      </c>
    </row>
    <row r="246" spans="2:9" ht="15.75" thickBot="1">
      <c r="B246" s="315"/>
      <c r="C246" s="315"/>
      <c r="D246" s="53">
        <v>34</v>
      </c>
      <c r="E246" s="46" t="s">
        <v>119</v>
      </c>
      <c r="F246" s="54">
        <v>71.930000000000007</v>
      </c>
      <c r="G246" s="54">
        <v>65.42</v>
      </c>
      <c r="H246" s="54">
        <v>81.13</v>
      </c>
      <c r="I246" s="54">
        <v>68.75</v>
      </c>
    </row>
    <row r="247" spans="2:9">
      <c r="B247" s="291" t="s">
        <v>120</v>
      </c>
      <c r="C247" s="294" t="s">
        <v>121</v>
      </c>
      <c r="D247" s="50">
        <v>35</v>
      </c>
      <c r="E247" s="51" t="s">
        <v>122</v>
      </c>
      <c r="F247" s="52">
        <v>85.43</v>
      </c>
      <c r="G247" s="52">
        <v>82.03</v>
      </c>
      <c r="H247" s="52">
        <v>94.36</v>
      </c>
      <c r="I247" s="52">
        <v>88.94</v>
      </c>
    </row>
    <row r="248" spans="2:9">
      <c r="B248" s="292"/>
      <c r="C248" s="295"/>
      <c r="D248" s="55">
        <v>36</v>
      </c>
      <c r="E248" s="42" t="s">
        <v>123</v>
      </c>
      <c r="F248" s="56">
        <v>96.52</v>
      </c>
      <c r="G248" s="56">
        <v>94.93</v>
      </c>
      <c r="H248" s="56">
        <v>97.91</v>
      </c>
      <c r="I248" s="56">
        <v>94.99</v>
      </c>
    </row>
    <row r="249" spans="2:9">
      <c r="B249" s="292"/>
      <c r="C249" s="295"/>
      <c r="D249" s="55">
        <v>37</v>
      </c>
      <c r="E249" s="42" t="s">
        <v>124</v>
      </c>
      <c r="F249" s="56">
        <v>94.97</v>
      </c>
      <c r="G249" s="56">
        <v>93.2</v>
      </c>
      <c r="H249" s="56">
        <v>97.37</v>
      </c>
      <c r="I249" s="56">
        <v>94.39</v>
      </c>
    </row>
    <row r="250" spans="2:9" ht="15.75" thickBot="1">
      <c r="B250" s="292"/>
      <c r="C250" s="295"/>
      <c r="D250" s="55">
        <v>38</v>
      </c>
      <c r="E250" s="46" t="s">
        <v>125</v>
      </c>
      <c r="F250" s="54">
        <v>93.83</v>
      </c>
      <c r="G250" s="54">
        <v>91.3</v>
      </c>
      <c r="H250" s="54">
        <v>96.74</v>
      </c>
      <c r="I250" s="54">
        <v>92.77</v>
      </c>
    </row>
    <row r="251" spans="2:9" ht="29.25" thickBot="1">
      <c r="B251" s="293"/>
      <c r="C251" s="60" t="s">
        <v>126</v>
      </c>
      <c r="D251" s="61">
        <v>39</v>
      </c>
      <c r="E251" s="46" t="s">
        <v>127</v>
      </c>
      <c r="F251" s="62">
        <v>84.65</v>
      </c>
      <c r="G251" s="62">
        <v>81.040000000000006</v>
      </c>
      <c r="H251" s="62">
        <v>92.19</v>
      </c>
      <c r="I251" s="62">
        <v>82.14</v>
      </c>
    </row>
    <row r="254" spans="2:9" ht="15.75" thickBot="1"/>
    <row r="255" spans="2:9">
      <c r="B255" s="269" t="s">
        <v>129</v>
      </c>
      <c r="C255" s="270"/>
      <c r="D255" s="63">
        <v>40</v>
      </c>
      <c r="E255" s="51" t="s">
        <v>130</v>
      </c>
      <c r="F255" s="52">
        <v>83.95</v>
      </c>
      <c r="G255" s="52">
        <v>80.67</v>
      </c>
      <c r="H255" s="52">
        <v>88.08</v>
      </c>
      <c r="I255" s="52">
        <v>77.91</v>
      </c>
    </row>
    <row r="256" spans="2:9" ht="15.75" thickBot="1">
      <c r="B256" s="273"/>
      <c r="C256" s="274"/>
      <c r="D256" s="45">
        <v>41</v>
      </c>
      <c r="E256" s="46" t="s">
        <v>131</v>
      </c>
      <c r="F256" s="54">
        <v>77.3</v>
      </c>
      <c r="G256" s="54">
        <v>71.92</v>
      </c>
      <c r="H256" s="54">
        <v>86.97</v>
      </c>
      <c r="I256" s="54">
        <v>75.81</v>
      </c>
    </row>
    <row r="257" spans="2:9">
      <c r="B257" s="269" t="s">
        <v>132</v>
      </c>
      <c r="C257" s="270"/>
      <c r="D257" s="63">
        <v>42</v>
      </c>
      <c r="E257" s="51" t="s">
        <v>133</v>
      </c>
      <c r="F257" s="52">
        <v>90.85</v>
      </c>
      <c r="G257" s="52">
        <v>87.71</v>
      </c>
      <c r="H257" s="52">
        <v>93.18</v>
      </c>
      <c r="I257" s="52">
        <v>87.14</v>
      </c>
    </row>
    <row r="258" spans="2:9" ht="15.75" thickBot="1">
      <c r="B258" s="273"/>
      <c r="C258" s="274"/>
      <c r="D258" s="45">
        <v>43</v>
      </c>
      <c r="E258" s="46" t="s">
        <v>134</v>
      </c>
      <c r="F258" s="54">
        <v>77.12</v>
      </c>
      <c r="G258" s="54">
        <v>71.23</v>
      </c>
      <c r="H258" s="54">
        <v>89.07</v>
      </c>
      <c r="I258" s="54">
        <v>73.77</v>
      </c>
    </row>
    <row r="259" spans="2:9">
      <c r="B259" s="269" t="s">
        <v>135</v>
      </c>
      <c r="C259" s="270"/>
      <c r="D259" s="63">
        <v>44</v>
      </c>
      <c r="E259" s="51" t="s">
        <v>136</v>
      </c>
      <c r="F259" s="52">
        <v>86.83</v>
      </c>
      <c r="G259" s="52">
        <v>82.92</v>
      </c>
      <c r="H259" s="52">
        <v>89.26</v>
      </c>
      <c r="I259" s="52">
        <v>80.959999999999994</v>
      </c>
    </row>
    <row r="260" spans="2:9">
      <c r="B260" s="271"/>
      <c r="C260" s="272"/>
      <c r="D260" s="41">
        <v>45</v>
      </c>
      <c r="E260" s="42" t="s">
        <v>137</v>
      </c>
      <c r="F260" s="56">
        <v>89.37</v>
      </c>
      <c r="G260" s="56">
        <v>85.1</v>
      </c>
      <c r="H260" s="56">
        <v>94.14</v>
      </c>
      <c r="I260" s="56">
        <v>86.83</v>
      </c>
    </row>
    <row r="261" spans="2:9">
      <c r="B261" s="271"/>
      <c r="C261" s="272"/>
      <c r="D261" s="41">
        <v>46</v>
      </c>
      <c r="E261" s="42" t="s">
        <v>138</v>
      </c>
      <c r="F261" s="56">
        <v>79.180000000000007</v>
      </c>
      <c r="G261" s="56">
        <v>71.760000000000005</v>
      </c>
      <c r="H261" s="56">
        <v>91.3</v>
      </c>
      <c r="I261" s="56">
        <v>79.239999999999995</v>
      </c>
    </row>
    <row r="262" spans="2:9" ht="15.75" thickBot="1">
      <c r="B262" s="273"/>
      <c r="C262" s="274"/>
      <c r="D262" s="45">
        <v>47</v>
      </c>
      <c r="E262" s="46" t="s">
        <v>139</v>
      </c>
      <c r="F262" s="54">
        <v>81.77</v>
      </c>
      <c r="G262" s="54">
        <v>76.97</v>
      </c>
      <c r="H262" s="54">
        <v>90.91</v>
      </c>
      <c r="I262" s="54">
        <v>80.56</v>
      </c>
    </row>
    <row r="270" spans="2:9">
      <c r="B270" s="266" t="s">
        <v>141</v>
      </c>
      <c r="C270" s="266"/>
      <c r="D270" s="64">
        <v>48</v>
      </c>
      <c r="E270" s="65" t="s">
        <v>142</v>
      </c>
      <c r="F270" s="56">
        <v>89.81</v>
      </c>
      <c r="G270" s="56">
        <v>86.4</v>
      </c>
      <c r="H270" s="56">
        <v>94.33</v>
      </c>
      <c r="I270" s="56">
        <v>87.83</v>
      </c>
    </row>
    <row r="271" spans="2:9">
      <c r="B271" s="266"/>
      <c r="C271" s="266"/>
      <c r="D271" s="64">
        <v>49</v>
      </c>
      <c r="E271" s="65" t="s">
        <v>143</v>
      </c>
      <c r="F271" s="56">
        <v>88.17</v>
      </c>
      <c r="G271" s="56">
        <v>83.83</v>
      </c>
      <c r="H271" s="56">
        <v>93.57</v>
      </c>
      <c r="I271" s="56">
        <v>84.51</v>
      </c>
    </row>
    <row r="272" spans="2:9" ht="15.75" thickBot="1">
      <c r="B272" s="267"/>
      <c r="C272" s="267"/>
      <c r="D272" s="66">
        <v>50</v>
      </c>
      <c r="E272" s="67" t="s">
        <v>144</v>
      </c>
      <c r="F272" s="54">
        <v>83.84</v>
      </c>
      <c r="G272" s="54">
        <v>80.12</v>
      </c>
      <c r="H272" s="54">
        <v>91.57</v>
      </c>
      <c r="I272" s="54">
        <v>80.680000000000007</v>
      </c>
    </row>
    <row r="273" spans="2:19">
      <c r="B273" s="252" t="s">
        <v>145</v>
      </c>
      <c r="C273" s="255" t="s">
        <v>146</v>
      </c>
      <c r="D273" s="68">
        <v>51</v>
      </c>
      <c r="E273" s="69" t="s">
        <v>147</v>
      </c>
      <c r="F273" s="52">
        <v>90.49</v>
      </c>
      <c r="G273" s="52">
        <v>86.01</v>
      </c>
      <c r="H273" s="52">
        <v>95.77</v>
      </c>
      <c r="I273" s="52">
        <v>88.53</v>
      </c>
    </row>
    <row r="274" spans="2:19" ht="15.75" thickBot="1">
      <c r="B274" s="253"/>
      <c r="C274" s="256"/>
      <c r="D274" s="66">
        <v>52</v>
      </c>
      <c r="E274" s="67" t="s">
        <v>148</v>
      </c>
      <c r="F274" s="54">
        <v>84.02</v>
      </c>
      <c r="G274" s="54">
        <v>78.760000000000005</v>
      </c>
      <c r="H274" s="54">
        <v>92.87</v>
      </c>
      <c r="I274" s="54">
        <v>83.38</v>
      </c>
    </row>
    <row r="275" spans="2:19">
      <c r="B275" s="253"/>
      <c r="C275" s="255" t="s">
        <v>149</v>
      </c>
      <c r="D275" s="68">
        <v>53</v>
      </c>
      <c r="E275" s="69" t="s">
        <v>150</v>
      </c>
      <c r="F275" s="52">
        <v>93.54</v>
      </c>
      <c r="G275" s="52">
        <v>90.86</v>
      </c>
      <c r="H275" s="52">
        <v>96.24</v>
      </c>
      <c r="I275" s="52">
        <v>90.59</v>
      </c>
    </row>
    <row r="276" spans="2:19" ht="29.25" thickBot="1">
      <c r="B276" s="254"/>
      <c r="C276" s="257"/>
      <c r="D276" s="64">
        <v>54</v>
      </c>
      <c r="E276" s="65" t="s">
        <v>151</v>
      </c>
      <c r="F276" s="54">
        <v>85.06</v>
      </c>
      <c r="G276" s="54">
        <v>80.09</v>
      </c>
      <c r="H276" s="54">
        <v>91.76</v>
      </c>
      <c r="I276" s="54">
        <v>82.18</v>
      </c>
    </row>
    <row r="277" spans="2:19">
      <c r="B277" s="265" t="s">
        <v>152</v>
      </c>
      <c r="C277" s="265"/>
      <c r="D277" s="68">
        <v>55</v>
      </c>
      <c r="E277" s="69" t="s">
        <v>153</v>
      </c>
      <c r="F277" s="52">
        <v>81.8</v>
      </c>
      <c r="G277" s="52">
        <v>76.98</v>
      </c>
      <c r="H277" s="52">
        <v>90.42</v>
      </c>
      <c r="I277" s="52">
        <v>78.38</v>
      </c>
    </row>
    <row r="278" spans="2:19">
      <c r="B278" s="266"/>
      <c r="C278" s="266"/>
      <c r="D278" s="64">
        <v>56</v>
      </c>
      <c r="E278" s="65" t="s">
        <v>154</v>
      </c>
      <c r="F278" s="56">
        <v>81.81</v>
      </c>
      <c r="G278" s="56">
        <v>76.680000000000007</v>
      </c>
      <c r="H278" s="56">
        <v>88.99</v>
      </c>
      <c r="I278" s="56">
        <v>75.88</v>
      </c>
    </row>
    <row r="279" spans="2:19" ht="15.75" thickBot="1">
      <c r="B279" s="267"/>
      <c r="C279" s="267"/>
      <c r="D279" s="66">
        <v>57</v>
      </c>
      <c r="E279" s="67" t="s">
        <v>155</v>
      </c>
      <c r="F279" s="54">
        <v>83.31</v>
      </c>
      <c r="G279" s="54">
        <v>78.87</v>
      </c>
      <c r="H279" s="54">
        <v>90.81</v>
      </c>
      <c r="I279" s="54">
        <v>81.12</v>
      </c>
    </row>
    <row r="285" spans="2:19" ht="56.25" customHeight="1">
      <c r="M285" s="155" t="s">
        <v>53</v>
      </c>
      <c r="N285" s="194">
        <v>2016</v>
      </c>
      <c r="O285" s="194">
        <v>2015</v>
      </c>
      <c r="P285" s="194" t="s">
        <v>54</v>
      </c>
      <c r="Q285" s="194" t="s">
        <v>55</v>
      </c>
      <c r="R285" s="194" t="s">
        <v>56</v>
      </c>
      <c r="S285" s="194" t="s">
        <v>57</v>
      </c>
    </row>
    <row r="286" spans="2:19" ht="20.100000000000001" customHeight="1">
      <c r="L286" s="364">
        <v>86</v>
      </c>
      <c r="M286" s="155" t="s">
        <v>62</v>
      </c>
      <c r="N286" s="194">
        <v>87</v>
      </c>
      <c r="O286" s="194">
        <v>84</v>
      </c>
      <c r="P286" s="194">
        <v>89</v>
      </c>
      <c r="Q286" s="194">
        <v>78</v>
      </c>
      <c r="R286" s="194">
        <v>-2</v>
      </c>
      <c r="S286" s="194">
        <v>9</v>
      </c>
    </row>
    <row r="287" spans="2:19" ht="20.100000000000001" customHeight="1">
      <c r="L287" s="364"/>
      <c r="M287" s="155" t="s">
        <v>69</v>
      </c>
      <c r="N287" s="194">
        <v>86</v>
      </c>
      <c r="O287" s="194">
        <v>82</v>
      </c>
      <c r="P287" s="194">
        <v>89</v>
      </c>
      <c r="Q287" s="194">
        <v>80</v>
      </c>
      <c r="R287" s="194">
        <v>-3</v>
      </c>
      <c r="S287" s="194">
        <v>6</v>
      </c>
    </row>
    <row r="288" spans="2:19" ht="20.100000000000001" customHeight="1" thickBot="1">
      <c r="L288" s="364"/>
      <c r="M288" s="195" t="s">
        <v>79</v>
      </c>
      <c r="N288" s="196">
        <v>86</v>
      </c>
      <c r="O288" s="196">
        <v>82</v>
      </c>
      <c r="P288" s="196">
        <v>90</v>
      </c>
      <c r="Q288" s="196">
        <v>79</v>
      </c>
      <c r="R288" s="196">
        <v>-4</v>
      </c>
      <c r="S288" s="196">
        <v>7</v>
      </c>
    </row>
    <row r="289" spans="12:19" ht="20.100000000000001" customHeight="1">
      <c r="L289" s="364">
        <v>82</v>
      </c>
      <c r="M289" s="155" t="s">
        <v>87</v>
      </c>
      <c r="N289" s="194">
        <v>82</v>
      </c>
      <c r="O289" s="194">
        <v>79</v>
      </c>
      <c r="P289" s="194">
        <v>89</v>
      </c>
      <c r="Q289" s="194">
        <v>77</v>
      </c>
      <c r="R289" s="194">
        <v>-7</v>
      </c>
      <c r="S289" s="194">
        <v>5</v>
      </c>
    </row>
    <row r="290" spans="12:19" ht="20.100000000000001" customHeight="1">
      <c r="L290" s="364"/>
      <c r="M290" s="155" t="s">
        <v>94</v>
      </c>
      <c r="N290" s="194">
        <v>81</v>
      </c>
      <c r="O290" s="194">
        <v>77</v>
      </c>
      <c r="P290" s="194">
        <v>87</v>
      </c>
      <c r="Q290" s="194">
        <v>73</v>
      </c>
      <c r="R290" s="194">
        <v>-6</v>
      </c>
      <c r="S290" s="194">
        <v>8</v>
      </c>
    </row>
    <row r="291" spans="12:19" ht="20.100000000000001" customHeight="1" thickBot="1">
      <c r="L291" s="364"/>
      <c r="M291" s="197" t="s">
        <v>98</v>
      </c>
      <c r="N291" s="198">
        <v>81</v>
      </c>
      <c r="O291" s="198">
        <v>77</v>
      </c>
      <c r="P291" s="198">
        <v>89</v>
      </c>
      <c r="Q291" s="198">
        <v>78</v>
      </c>
      <c r="R291" s="198">
        <v>-8</v>
      </c>
      <c r="S291" s="198">
        <v>3</v>
      </c>
    </row>
    <row r="292" spans="12:19" ht="20.100000000000001" customHeight="1">
      <c r="L292" s="364">
        <v>78</v>
      </c>
      <c r="M292" s="155" t="s">
        <v>109</v>
      </c>
      <c r="N292" s="194">
        <v>69</v>
      </c>
      <c r="O292" s="194">
        <v>63</v>
      </c>
      <c r="P292" s="194">
        <v>77</v>
      </c>
      <c r="Q292" s="194">
        <v>65</v>
      </c>
      <c r="R292" s="194">
        <v>-8</v>
      </c>
      <c r="S292" s="194">
        <v>4</v>
      </c>
    </row>
    <row r="293" spans="12:19" ht="20.100000000000001" customHeight="1">
      <c r="L293" s="364"/>
      <c r="M293" s="155" t="s">
        <v>116</v>
      </c>
      <c r="N293" s="194">
        <v>68</v>
      </c>
      <c r="O293" s="194">
        <v>62</v>
      </c>
      <c r="P293" s="194">
        <v>78</v>
      </c>
      <c r="Q293" s="194">
        <v>64</v>
      </c>
      <c r="R293" s="194">
        <v>-10</v>
      </c>
      <c r="S293" s="194">
        <v>4</v>
      </c>
    </row>
    <row r="294" spans="12:19" ht="20.100000000000001" customHeight="1" thickBot="1">
      <c r="L294" s="364"/>
      <c r="M294" s="199" t="s">
        <v>120</v>
      </c>
      <c r="N294" s="200">
        <v>91</v>
      </c>
      <c r="O294" s="200">
        <v>89</v>
      </c>
      <c r="P294" s="200">
        <v>96</v>
      </c>
      <c r="Q294" s="200">
        <v>91</v>
      </c>
      <c r="R294" s="200">
        <v>-5</v>
      </c>
      <c r="S294" s="200">
        <v>0</v>
      </c>
    </row>
    <row r="295" spans="12:19" ht="20.100000000000001" customHeight="1">
      <c r="L295" s="364">
        <v>83</v>
      </c>
      <c r="M295" s="155" t="s">
        <v>129</v>
      </c>
      <c r="N295" s="194">
        <v>81</v>
      </c>
      <c r="O295" s="194">
        <v>76</v>
      </c>
      <c r="P295" s="194">
        <v>88</v>
      </c>
      <c r="Q295" s="194">
        <v>77</v>
      </c>
      <c r="R295" s="194">
        <v>-7</v>
      </c>
      <c r="S295" s="194">
        <v>4</v>
      </c>
    </row>
    <row r="296" spans="12:19" ht="20.100000000000001" customHeight="1">
      <c r="L296" s="364"/>
      <c r="M296" s="155" t="s">
        <v>132</v>
      </c>
      <c r="N296" s="194">
        <v>84</v>
      </c>
      <c r="O296" s="194">
        <v>79</v>
      </c>
      <c r="P296" s="194">
        <v>91</v>
      </c>
      <c r="Q296" s="194">
        <v>80</v>
      </c>
      <c r="R296" s="194">
        <v>-7</v>
      </c>
      <c r="S296" s="194">
        <v>4</v>
      </c>
    </row>
    <row r="297" spans="12:19" ht="20.100000000000001" customHeight="1" thickBot="1">
      <c r="L297" s="364"/>
      <c r="M297" s="201" t="s">
        <v>135</v>
      </c>
      <c r="N297" s="202">
        <v>84</v>
      </c>
      <c r="O297" s="202">
        <v>79</v>
      </c>
      <c r="P297" s="202">
        <v>91</v>
      </c>
      <c r="Q297" s="202">
        <v>82</v>
      </c>
      <c r="R297" s="202">
        <v>-7</v>
      </c>
      <c r="S297" s="202">
        <v>2</v>
      </c>
    </row>
    <row r="298" spans="12:19" ht="20.100000000000001" customHeight="1">
      <c r="L298" s="364">
        <v>86</v>
      </c>
      <c r="M298" s="155" t="s">
        <v>141</v>
      </c>
      <c r="N298" s="194">
        <v>87</v>
      </c>
      <c r="O298" s="194">
        <v>83</v>
      </c>
      <c r="P298" s="194">
        <v>93</v>
      </c>
      <c r="Q298" s="194">
        <v>84</v>
      </c>
      <c r="R298" s="194">
        <v>-6</v>
      </c>
      <c r="S298" s="194">
        <v>3</v>
      </c>
    </row>
    <row r="299" spans="12:19" ht="20.100000000000001" customHeight="1">
      <c r="L299" s="364"/>
      <c r="M299" s="155" t="s">
        <v>145</v>
      </c>
      <c r="N299" s="194">
        <v>88</v>
      </c>
      <c r="O299" s="194">
        <v>84</v>
      </c>
      <c r="P299" s="194">
        <v>94</v>
      </c>
      <c r="Q299" s="194">
        <v>86</v>
      </c>
      <c r="R299" s="194">
        <v>-6</v>
      </c>
      <c r="S299" s="194">
        <v>2</v>
      </c>
    </row>
    <row r="300" spans="12:19" ht="20.100000000000001" customHeight="1" thickBot="1">
      <c r="L300" s="364"/>
      <c r="M300" s="203" t="s">
        <v>152</v>
      </c>
      <c r="N300" s="204">
        <v>82</v>
      </c>
      <c r="O300" s="204">
        <v>78</v>
      </c>
      <c r="P300" s="204">
        <v>90</v>
      </c>
      <c r="Q300" s="204">
        <v>78</v>
      </c>
      <c r="R300" s="204">
        <v>-8</v>
      </c>
      <c r="S300" s="204">
        <v>4</v>
      </c>
    </row>
    <row r="315" spans="1:7">
      <c r="A315" s="94" t="s">
        <v>170</v>
      </c>
      <c r="B315" s="95"/>
      <c r="C315" s="95" t="s">
        <v>120</v>
      </c>
      <c r="D315" s="96">
        <v>36</v>
      </c>
      <c r="E315" s="96" t="s">
        <v>123</v>
      </c>
      <c r="F315" s="97">
        <v>96.52</v>
      </c>
      <c r="G315" s="98">
        <v>13.61</v>
      </c>
    </row>
    <row r="316" spans="1:7">
      <c r="A316" s="99" t="s">
        <v>170</v>
      </c>
      <c r="B316" s="100"/>
      <c r="C316" s="100" t="s">
        <v>120</v>
      </c>
      <c r="D316" s="101">
        <v>37</v>
      </c>
      <c r="E316" s="101" t="s">
        <v>124</v>
      </c>
      <c r="F316" s="102">
        <v>94.97</v>
      </c>
      <c r="G316" s="103">
        <v>12.060000000000002</v>
      </c>
    </row>
    <row r="317" spans="1:7">
      <c r="A317" s="99" t="s">
        <v>170</v>
      </c>
      <c r="B317" s="100"/>
      <c r="C317" s="100" t="s">
        <v>120</v>
      </c>
      <c r="D317" s="101">
        <v>38</v>
      </c>
      <c r="E317" s="101" t="s">
        <v>125</v>
      </c>
      <c r="F317" s="102">
        <v>93.83</v>
      </c>
      <c r="G317" s="103">
        <v>10.920000000000002</v>
      </c>
    </row>
    <row r="318" spans="1:7">
      <c r="A318" s="99" t="s">
        <v>171</v>
      </c>
      <c r="B318" s="100"/>
      <c r="C318" s="100" t="s">
        <v>79</v>
      </c>
      <c r="D318" s="101">
        <v>14</v>
      </c>
      <c r="E318" s="101" t="s">
        <v>85</v>
      </c>
      <c r="F318" s="102">
        <v>92.33</v>
      </c>
      <c r="G318" s="103">
        <v>9.4200000000000017</v>
      </c>
    </row>
    <row r="319" spans="1:7">
      <c r="A319" s="99" t="s">
        <v>170</v>
      </c>
      <c r="B319" s="100"/>
      <c r="C319" s="100" t="s">
        <v>109</v>
      </c>
      <c r="D319" s="101">
        <v>31</v>
      </c>
      <c r="E319" s="101" t="s">
        <v>115</v>
      </c>
      <c r="F319" s="102">
        <v>92.08</v>
      </c>
      <c r="G319" s="103">
        <v>9.1700000000000017</v>
      </c>
    </row>
    <row r="320" spans="1:7" ht="24">
      <c r="A320" s="99" t="s">
        <v>172</v>
      </c>
      <c r="B320" s="100"/>
      <c r="C320" s="100" t="s">
        <v>98</v>
      </c>
      <c r="D320" s="101">
        <v>21</v>
      </c>
      <c r="E320" s="101" t="s">
        <v>100</v>
      </c>
      <c r="F320" s="102">
        <v>91.17</v>
      </c>
      <c r="G320" s="103">
        <v>8.2600000000000051</v>
      </c>
    </row>
    <row r="321" spans="1:7">
      <c r="A321" s="99" t="s">
        <v>171</v>
      </c>
      <c r="B321" s="100"/>
      <c r="C321" s="100" t="s">
        <v>62</v>
      </c>
      <c r="D321" s="101">
        <v>4</v>
      </c>
      <c r="E321" s="101" t="s">
        <v>68</v>
      </c>
      <c r="F321" s="102">
        <v>89.51</v>
      </c>
      <c r="G321" s="103">
        <v>6.6000000000000085</v>
      </c>
    </row>
    <row r="322" spans="1:7">
      <c r="A322" s="99" t="s">
        <v>171</v>
      </c>
      <c r="B322" s="100"/>
      <c r="C322" s="100" t="s">
        <v>69</v>
      </c>
      <c r="D322" s="101">
        <v>9</v>
      </c>
      <c r="E322" s="101" t="s">
        <v>76</v>
      </c>
      <c r="F322" s="102">
        <v>89.17</v>
      </c>
      <c r="G322" s="103">
        <v>6.2600000000000051</v>
      </c>
    </row>
    <row r="323" spans="1:7">
      <c r="A323" s="99" t="s">
        <v>171</v>
      </c>
      <c r="B323" s="100"/>
      <c r="C323" s="100" t="s">
        <v>69</v>
      </c>
      <c r="D323" s="101">
        <v>5</v>
      </c>
      <c r="E323" s="101" t="s">
        <v>71</v>
      </c>
      <c r="F323" s="102">
        <v>89.01</v>
      </c>
      <c r="G323" s="103">
        <v>6.1000000000000085</v>
      </c>
    </row>
    <row r="324" spans="1:7">
      <c r="A324" s="99" t="s">
        <v>171</v>
      </c>
      <c r="B324" s="100"/>
      <c r="C324" s="100" t="s">
        <v>69</v>
      </c>
      <c r="D324" s="101">
        <v>10</v>
      </c>
      <c r="E324" s="101" t="s">
        <v>78</v>
      </c>
      <c r="F324" s="102">
        <v>88.56</v>
      </c>
      <c r="G324" s="103">
        <v>5.6500000000000057</v>
      </c>
    </row>
    <row r="330" spans="1:7">
      <c r="A330" s="94" t="s">
        <v>170</v>
      </c>
      <c r="B330" s="95"/>
      <c r="C330" s="95" t="s">
        <v>109</v>
      </c>
      <c r="D330" s="96">
        <v>29</v>
      </c>
      <c r="E330" s="96" t="s">
        <v>112</v>
      </c>
      <c r="F330" s="97">
        <v>45.85</v>
      </c>
      <c r="G330" s="98">
        <v>-37.059999999999995</v>
      </c>
    </row>
    <row r="331" spans="1:7" ht="24">
      <c r="A331" s="94" t="s">
        <v>170</v>
      </c>
      <c r="B331" s="95"/>
      <c r="C331" s="95" t="s">
        <v>116</v>
      </c>
      <c r="D331" s="96">
        <v>32</v>
      </c>
      <c r="E331" s="96" t="s">
        <v>117</v>
      </c>
      <c r="F331" s="97">
        <v>58.81</v>
      </c>
      <c r="G331" s="98">
        <v>-24.099999999999994</v>
      </c>
    </row>
    <row r="332" spans="1:7">
      <c r="A332" s="94" t="s">
        <v>170</v>
      </c>
      <c r="B332" s="95"/>
      <c r="C332" s="95" t="s">
        <v>109</v>
      </c>
      <c r="D332" s="96">
        <v>28</v>
      </c>
      <c r="E332" s="96" t="s">
        <v>111</v>
      </c>
      <c r="F332" s="97">
        <v>63.94</v>
      </c>
      <c r="G332" s="98">
        <v>-18.97</v>
      </c>
    </row>
    <row r="333" spans="1:7" ht="24">
      <c r="A333" s="94" t="s">
        <v>172</v>
      </c>
      <c r="B333" s="95"/>
      <c r="C333" s="95" t="s">
        <v>98</v>
      </c>
      <c r="D333" s="96">
        <v>22</v>
      </c>
      <c r="E333" s="96" t="s">
        <v>101</v>
      </c>
      <c r="F333" s="97">
        <v>69.52</v>
      </c>
      <c r="G333" s="98">
        <v>-13.39</v>
      </c>
    </row>
    <row r="334" spans="1:7" ht="24">
      <c r="A334" s="94" t="s">
        <v>170</v>
      </c>
      <c r="B334" s="95"/>
      <c r="C334" s="95" t="s">
        <v>116</v>
      </c>
      <c r="D334" s="96">
        <v>34</v>
      </c>
      <c r="E334" s="96" t="s">
        <v>119</v>
      </c>
      <c r="F334" s="97">
        <v>71.930000000000007</v>
      </c>
      <c r="G334" s="98">
        <v>-10.97999999999999</v>
      </c>
    </row>
    <row r="335" spans="1:7">
      <c r="A335" s="94" t="s">
        <v>170</v>
      </c>
      <c r="B335" s="95"/>
      <c r="C335" s="95" t="s">
        <v>109</v>
      </c>
      <c r="D335" s="96">
        <v>30</v>
      </c>
      <c r="E335" s="96" t="s">
        <v>114</v>
      </c>
      <c r="F335" s="97">
        <v>72.17</v>
      </c>
      <c r="G335" s="98">
        <v>-10.739999999999995</v>
      </c>
    </row>
    <row r="336" spans="1:7" ht="24">
      <c r="A336" s="94" t="s">
        <v>170</v>
      </c>
      <c r="B336" s="95"/>
      <c r="C336" s="95" t="s">
        <v>116</v>
      </c>
      <c r="D336" s="96">
        <v>33</v>
      </c>
      <c r="E336" s="96" t="s">
        <v>118</v>
      </c>
      <c r="F336" s="97">
        <v>73.19</v>
      </c>
      <c r="G336" s="98">
        <v>-9.7199999999999989</v>
      </c>
    </row>
    <row r="337" spans="1:7" ht="24">
      <c r="A337" s="94" t="s">
        <v>172</v>
      </c>
      <c r="B337" s="95"/>
      <c r="C337" s="95" t="s">
        <v>98</v>
      </c>
      <c r="D337" s="96">
        <v>25</v>
      </c>
      <c r="E337" s="96" t="s">
        <v>105</v>
      </c>
      <c r="F337" s="97">
        <v>75.88</v>
      </c>
      <c r="G337" s="98">
        <v>-7.0300000000000011</v>
      </c>
    </row>
    <row r="338" spans="1:7">
      <c r="A338" s="94" t="s">
        <v>171</v>
      </c>
      <c r="B338" s="95"/>
      <c r="C338" s="95" t="s">
        <v>69</v>
      </c>
      <c r="D338" s="96">
        <v>7</v>
      </c>
      <c r="E338" s="96" t="s">
        <v>73</v>
      </c>
      <c r="F338" s="97">
        <v>76.25</v>
      </c>
      <c r="G338" s="98">
        <v>-6.6599999999999966</v>
      </c>
    </row>
    <row r="339" spans="1:7">
      <c r="A339" s="94" t="s">
        <v>173</v>
      </c>
      <c r="B339" s="95"/>
      <c r="C339" s="95" t="s">
        <v>173</v>
      </c>
      <c r="D339" s="96" t="s">
        <v>173</v>
      </c>
      <c r="E339" s="96" t="s">
        <v>173</v>
      </c>
      <c r="F339" s="97" t="s">
        <v>173</v>
      </c>
      <c r="G339" s="98" t="s">
        <v>173</v>
      </c>
    </row>
  </sheetData>
  <mergeCells count="35">
    <mergeCell ref="L289:L291"/>
    <mergeCell ref="L292:L294"/>
    <mergeCell ref="L295:L297"/>
    <mergeCell ref="L298:L300"/>
    <mergeCell ref="B270:C272"/>
    <mergeCell ref="B273:B276"/>
    <mergeCell ref="C273:C274"/>
    <mergeCell ref="C275:C276"/>
    <mergeCell ref="B277:C279"/>
    <mergeCell ref="L286:L288"/>
    <mergeCell ref="B244:C246"/>
    <mergeCell ref="B247:B251"/>
    <mergeCell ref="C247:C250"/>
    <mergeCell ref="B255:C256"/>
    <mergeCell ref="B257:C258"/>
    <mergeCell ref="B259:C262"/>
    <mergeCell ref="B231:B237"/>
    <mergeCell ref="C231:C233"/>
    <mergeCell ref="C234:C237"/>
    <mergeCell ref="B240:B243"/>
    <mergeCell ref="C240:C241"/>
    <mergeCell ref="C242:C243"/>
    <mergeCell ref="B220:B223"/>
    <mergeCell ref="C220:C222"/>
    <mergeCell ref="B225:B228"/>
    <mergeCell ref="C225:C226"/>
    <mergeCell ref="C227:C228"/>
    <mergeCell ref="B229:B230"/>
    <mergeCell ref="C229:C230"/>
    <mergeCell ref="B210:B213"/>
    <mergeCell ref="C210:C211"/>
    <mergeCell ref="C212:C213"/>
    <mergeCell ref="B214:B219"/>
    <mergeCell ref="C214:C216"/>
    <mergeCell ref="C217:C218"/>
  </mergeCells>
  <conditionalFormatting sqref="F210:F223">
    <cfRule type="expression" dxfId="97" priority="94">
      <formula>F210=""</formula>
    </cfRule>
    <cfRule type="expression" dxfId="96" priority="95">
      <formula>F210&lt;44.5</formula>
    </cfRule>
    <cfRule type="expression" dxfId="95" priority="96">
      <formula>F210&lt;60.5</formula>
    </cfRule>
    <cfRule type="expression" dxfId="94" priority="97">
      <formula>F210&lt;85.5</formula>
    </cfRule>
    <cfRule type="expression" dxfId="93" priority="98">
      <formula>F210&gt;85.5</formula>
    </cfRule>
  </conditionalFormatting>
  <conditionalFormatting sqref="H210:I223 F210:F223">
    <cfRule type="expression" dxfId="92" priority="89">
      <formula>F210=""</formula>
    </cfRule>
    <cfRule type="expression" dxfId="91" priority="90">
      <formula>F210&lt;44.5</formula>
    </cfRule>
    <cfRule type="expression" dxfId="90" priority="91">
      <formula>F210&lt;60.5</formula>
    </cfRule>
    <cfRule type="expression" dxfId="89" priority="92">
      <formula>F210&lt;85.5</formula>
    </cfRule>
    <cfRule type="expression" dxfId="88" priority="93">
      <formula>F210&gt;85.5</formula>
    </cfRule>
  </conditionalFormatting>
  <conditionalFormatting sqref="G210:G223">
    <cfRule type="expression" dxfId="87" priority="84">
      <formula>G210=""</formula>
    </cfRule>
    <cfRule type="expression" dxfId="86" priority="85">
      <formula>G210&lt;44.5</formula>
    </cfRule>
    <cfRule type="expression" dxfId="85" priority="86">
      <formula>G210&lt;60.5</formula>
    </cfRule>
    <cfRule type="expression" dxfId="84" priority="87">
      <formula>G210&lt;85.5</formula>
    </cfRule>
    <cfRule type="expression" dxfId="83" priority="88">
      <formula>G210&gt;85.5</formula>
    </cfRule>
  </conditionalFormatting>
  <conditionalFormatting sqref="G210:G223">
    <cfRule type="expression" dxfId="82" priority="79">
      <formula>G210=""</formula>
    </cfRule>
    <cfRule type="expression" dxfId="81" priority="80">
      <formula>G210&lt;44.5</formula>
    </cfRule>
    <cfRule type="expression" dxfId="80" priority="81">
      <formula>G210&lt;60.5</formula>
    </cfRule>
    <cfRule type="expression" dxfId="79" priority="82">
      <formula>G210&lt;85.5</formula>
    </cfRule>
    <cfRule type="expression" dxfId="78" priority="83">
      <formula>G210&gt;85.5</formula>
    </cfRule>
  </conditionalFormatting>
  <conditionalFormatting sqref="F225:F237">
    <cfRule type="expression" dxfId="77" priority="74">
      <formula>F225=""</formula>
    </cfRule>
    <cfRule type="expression" dxfId="76" priority="75">
      <formula>F225&lt;44.5</formula>
    </cfRule>
    <cfRule type="expression" dxfId="75" priority="76">
      <formula>F225&lt;60.5</formula>
    </cfRule>
    <cfRule type="expression" dxfId="74" priority="77">
      <formula>F225&lt;85.5</formula>
    </cfRule>
    <cfRule type="expression" dxfId="73" priority="78">
      <formula>F225&gt;85.5</formula>
    </cfRule>
  </conditionalFormatting>
  <conditionalFormatting sqref="H225:I237">
    <cfRule type="expression" dxfId="72" priority="69">
      <formula>H225=""</formula>
    </cfRule>
    <cfRule type="expression" dxfId="71" priority="70">
      <formula>H225&lt;44.5</formula>
    </cfRule>
    <cfRule type="expression" dxfId="70" priority="71">
      <formula>H225&lt;60.5</formula>
    </cfRule>
    <cfRule type="expression" dxfId="69" priority="72">
      <formula>H225&lt;85.5</formula>
    </cfRule>
    <cfRule type="expression" dxfId="68" priority="73">
      <formula>H225&gt;85.5</formula>
    </cfRule>
  </conditionalFormatting>
  <conditionalFormatting sqref="G225:G237">
    <cfRule type="expression" dxfId="67" priority="64">
      <formula>G225=""</formula>
    </cfRule>
    <cfRule type="expression" dxfId="66" priority="65">
      <formula>G225&lt;44.5</formula>
    </cfRule>
    <cfRule type="expression" dxfId="65" priority="66">
      <formula>G225&lt;60.5</formula>
    </cfRule>
    <cfRule type="expression" dxfId="64" priority="67">
      <formula>G225&lt;85.5</formula>
    </cfRule>
    <cfRule type="expression" dxfId="63" priority="68">
      <formula>G225&gt;85.5</formula>
    </cfRule>
  </conditionalFormatting>
  <conditionalFormatting sqref="F240:F251">
    <cfRule type="expression" dxfId="62" priority="59">
      <formula>F240=""</formula>
    </cfRule>
    <cfRule type="expression" dxfId="61" priority="60">
      <formula>F240&lt;44.5</formula>
    </cfRule>
    <cfRule type="expression" dxfId="60" priority="61">
      <formula>F240&lt;60.5</formula>
    </cfRule>
    <cfRule type="expression" dxfId="59" priority="62">
      <formula>F240&lt;85.5</formula>
    </cfRule>
    <cfRule type="expression" dxfId="58" priority="63">
      <formula>F240&gt;85.5</formula>
    </cfRule>
  </conditionalFormatting>
  <conditionalFormatting sqref="H240:I251">
    <cfRule type="expression" dxfId="57" priority="54">
      <formula>H240=""</formula>
    </cfRule>
    <cfRule type="expression" dxfId="56" priority="55">
      <formula>H240&lt;44.5</formula>
    </cfRule>
    <cfRule type="expression" dxfId="55" priority="56">
      <formula>H240&lt;60.5</formula>
    </cfRule>
    <cfRule type="expression" dxfId="54" priority="57">
      <formula>H240&lt;85.5</formula>
    </cfRule>
    <cfRule type="expression" dxfId="53" priority="58">
      <formula>H240&gt;85.5</formula>
    </cfRule>
  </conditionalFormatting>
  <conditionalFormatting sqref="G240:G251">
    <cfRule type="expression" dxfId="52" priority="49">
      <formula>G240=""</formula>
    </cfRule>
    <cfRule type="expression" dxfId="51" priority="50">
      <formula>G240&lt;44.5</formula>
    </cfRule>
    <cfRule type="expression" dxfId="50" priority="51">
      <formula>G240&lt;60.5</formula>
    </cfRule>
    <cfRule type="expression" dxfId="49" priority="52">
      <formula>G240&lt;85.5</formula>
    </cfRule>
    <cfRule type="expression" dxfId="48" priority="53">
      <formula>G240&gt;85.5</formula>
    </cfRule>
  </conditionalFormatting>
  <conditionalFormatting sqref="F255:F262">
    <cfRule type="expression" dxfId="47" priority="44">
      <formula>F255=""</formula>
    </cfRule>
    <cfRule type="expression" dxfId="46" priority="45">
      <formula>F255&lt;44.5</formula>
    </cfRule>
    <cfRule type="expression" dxfId="45" priority="46">
      <formula>F255&lt;60.5</formula>
    </cfRule>
    <cfRule type="expression" dxfId="44" priority="47">
      <formula>F255&lt;85.5</formula>
    </cfRule>
    <cfRule type="expression" dxfId="43" priority="48">
      <formula>F255&gt;85.5</formula>
    </cfRule>
  </conditionalFormatting>
  <conditionalFormatting sqref="H255:I262">
    <cfRule type="expression" dxfId="42" priority="39">
      <formula>H255=""</formula>
    </cfRule>
    <cfRule type="expression" dxfId="41" priority="40">
      <formula>H255&lt;44.5</formula>
    </cfRule>
    <cfRule type="expression" dxfId="40" priority="41">
      <formula>H255&lt;60.5</formula>
    </cfRule>
    <cfRule type="expression" dxfId="39" priority="42">
      <formula>H255&lt;85.5</formula>
    </cfRule>
    <cfRule type="expression" dxfId="38" priority="43">
      <formula>H255&gt;85.5</formula>
    </cfRule>
  </conditionalFormatting>
  <conditionalFormatting sqref="G255:G262">
    <cfRule type="expression" dxfId="37" priority="34">
      <formula>G255=""</formula>
    </cfRule>
    <cfRule type="expression" dxfId="36" priority="35">
      <formula>G255&lt;44.5</formula>
    </cfRule>
    <cfRule type="expression" dxfId="35" priority="36">
      <formula>G255&lt;60.5</formula>
    </cfRule>
    <cfRule type="expression" dxfId="34" priority="37">
      <formula>G255&lt;85.5</formula>
    </cfRule>
    <cfRule type="expression" dxfId="33" priority="38">
      <formula>G255&gt;85.5</formula>
    </cfRule>
  </conditionalFormatting>
  <conditionalFormatting sqref="F270:F279">
    <cfRule type="expression" dxfId="32" priority="29">
      <formula>F270=""</formula>
    </cfRule>
    <cfRule type="expression" dxfId="31" priority="30">
      <formula>F270&lt;44.5</formula>
    </cfRule>
    <cfRule type="expression" dxfId="30" priority="31">
      <formula>F270&lt;60.5</formula>
    </cfRule>
    <cfRule type="expression" dxfId="29" priority="32">
      <formula>F270&lt;85.5</formula>
    </cfRule>
    <cfRule type="expression" dxfId="28" priority="33">
      <formula>F270&gt;85.5</formula>
    </cfRule>
  </conditionalFormatting>
  <conditionalFormatting sqref="H270:I279">
    <cfRule type="expression" dxfId="27" priority="24">
      <formula>H270=""</formula>
    </cfRule>
    <cfRule type="expression" dxfId="26" priority="25">
      <formula>H270&lt;44.5</formula>
    </cfRule>
    <cfRule type="expression" dxfId="25" priority="26">
      <formula>H270&lt;60.5</formula>
    </cfRule>
    <cfRule type="expression" dxfId="24" priority="27">
      <formula>H270&lt;85.5</formula>
    </cfRule>
    <cfRule type="expression" dxfId="23" priority="28">
      <formula>H270&gt;85.5</formula>
    </cfRule>
  </conditionalFormatting>
  <conditionalFormatting sqref="G270:G279">
    <cfRule type="expression" dxfId="22" priority="19">
      <formula>G270=""</formula>
    </cfRule>
    <cfRule type="expression" dxfId="21" priority="20">
      <formula>G270&lt;44.5</formula>
    </cfRule>
    <cfRule type="expression" dxfId="20" priority="21">
      <formula>G270&lt;60.5</formula>
    </cfRule>
    <cfRule type="expression" dxfId="19" priority="22">
      <formula>G270&lt;85.5</formula>
    </cfRule>
    <cfRule type="expression" dxfId="18" priority="23">
      <formula>G270&gt;85.5</formula>
    </cfRule>
  </conditionalFormatting>
  <conditionalFormatting sqref="C315 A315">
    <cfRule type="expression" dxfId="7" priority="6">
      <formula>$C315="IMPARCIALIDAD"</formula>
    </cfRule>
  </conditionalFormatting>
  <conditionalFormatting sqref="C315:C324 A315:A324">
    <cfRule type="expression" dxfId="6" priority="7">
      <formula>$C315="RESPETO"</formula>
    </cfRule>
    <cfRule type="expression" dxfId="5" priority="8">
      <formula>$C315="CREDIBILIDAD"</formula>
    </cfRule>
  </conditionalFormatting>
  <conditionalFormatting sqref="B315">
    <cfRule type="expression" dxfId="4" priority="4">
      <formula>$C315="IMPARCIALIDAD"</formula>
    </cfRule>
  </conditionalFormatting>
  <conditionalFormatting sqref="B315:B324">
    <cfRule type="expression" dxfId="3" priority="5">
      <formula>$C315="RESPETO"</formula>
    </cfRule>
  </conditionalFormatting>
  <conditionalFormatting sqref="C330:C339 A330:A339">
    <cfRule type="expression" dxfId="2" priority="2">
      <formula>$C330="RESPETO"</formula>
    </cfRule>
    <cfRule type="expression" dxfId="1" priority="3">
      <formula>$C330="CREDIBILIDAD"</formula>
    </cfRule>
  </conditionalFormatting>
  <conditionalFormatting sqref="B330:B339">
    <cfRule type="expression" dxfId="0" priority="1">
      <formula>$C330="RESPETO"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2017-04-02T06:39:19Z</dcterms:modified>
</cp:coreProperties>
</file>