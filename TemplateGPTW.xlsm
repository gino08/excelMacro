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 firstSheet="2" activeTab="7"/>
  </bookViews>
  <sheets>
    <sheet name="Referencia Datos" sheetId="1" r:id="rId1"/>
    <sheet name="Demografía" sheetId="2" r:id="rId2"/>
    <sheet name="Indicadores" sheetId="3" r:id="rId3"/>
    <sheet name="Cuadro de Mando Demografías" sheetId="1268" r:id="rId4"/>
    <sheet name="Cuadro de Mando Indicadores" sheetId="329" r:id="rId5"/>
    <sheet name="Cuadro de Mando PPT" sheetId="1123" r:id="rId6"/>
    <sheet name="Gráficos Demografías" sheetId="1269" r:id="rId7"/>
    <sheet name="Gráficos Indicadores" sheetId="1286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P20" i="2" l="1"/>
  <c r="BO20" i="2"/>
  <c r="BN20" i="2"/>
  <c r="BM20" i="2"/>
  <c r="BM19" i="2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J17" i="2"/>
  <c r="BI17" i="2"/>
  <c r="BE17" i="2"/>
  <c r="BD17" i="2"/>
  <c r="BC17" i="2"/>
  <c r="AZ17" i="2"/>
  <c r="AW17" i="2"/>
  <c r="AV17" i="2"/>
  <c r="AU17" i="2"/>
  <c r="AM17" i="2"/>
  <c r="AL17" i="2"/>
  <c r="AH17" i="2"/>
  <c r="AE17" i="2"/>
  <c r="AD17" i="2"/>
  <c r="AC17" i="2"/>
  <c r="AA17" i="2"/>
  <c r="Y17" i="2"/>
  <c r="V17" i="2"/>
  <c r="U17" i="2"/>
  <c r="S17" i="2"/>
  <c r="BS16" i="2"/>
  <c r="BU17" i="2" s="1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R17" i="2" s="1"/>
  <c r="L16" i="2"/>
  <c r="N17" i="2" s="1"/>
  <c r="O17" i="2" l="1"/>
  <c r="AQ17" i="2"/>
  <c r="BS17" i="2"/>
  <c r="P17" i="2"/>
  <c r="AI17" i="2"/>
  <c r="AS17" i="2"/>
  <c r="BA17" i="2"/>
  <c r="BT17" i="2"/>
  <c r="AB17" i="2"/>
  <c r="AJ17" i="2"/>
  <c r="AT17" i="2"/>
  <c r="BB17" i="2"/>
  <c r="BK17" i="2"/>
  <c r="BN17" i="2"/>
  <c r="AN17" i="2"/>
  <c r="BO17" i="2"/>
  <c r="M17" i="2"/>
  <c r="W17" i="2"/>
  <c r="AF17" i="2"/>
  <c r="AO17" i="2"/>
  <c r="AX17" i="2"/>
  <c r="BF17" i="2"/>
  <c r="BP17" i="2"/>
  <c r="BM17" i="2"/>
  <c r="L17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G60" i="3" s="1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H35" i="3" s="1"/>
  <c r="E35" i="3"/>
  <c r="D35" i="3"/>
  <c r="C35" i="3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H23" i="3" s="1"/>
  <c r="E23" i="3"/>
  <c r="G23" i="3" s="1"/>
  <c r="D23" i="3"/>
  <c r="C23" i="3"/>
  <c r="Q22" i="3"/>
  <c r="Q21" i="3"/>
  <c r="F21" i="3"/>
  <c r="H21" i="3" s="1"/>
  <c r="E21" i="3"/>
  <c r="G21" i="3" s="1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H6" i="3" s="1"/>
  <c r="E6" i="3"/>
  <c r="G6" i="3" s="1"/>
  <c r="D6" i="3"/>
  <c r="C6" i="3"/>
  <c r="Q5" i="3"/>
  <c r="Q4" i="3"/>
  <c r="Q3" i="3"/>
  <c r="Q2" i="3"/>
  <c r="H2" i="3"/>
  <c r="G2" i="3"/>
  <c r="F2" i="3"/>
  <c r="E2" i="3"/>
  <c r="D2" i="3"/>
  <c r="C2" i="3"/>
  <c r="G44" i="3" l="1"/>
  <c r="G48" i="3"/>
  <c r="G12" i="3"/>
  <c r="H46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<sst xmlns="http://schemas.openxmlformats.org/spreadsheetml/2006/main" count="1427" uniqueCount="491">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</sst>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/>
    </xf>
    <xf numFmtId="0" fontId="15" fillId="13" borderId="0" xfId="0" applyFont="1" applyFill="1" applyAlignment="1">
      <alignment horizontal="right" vertical="center" wrapText="1"/>
    </xf>
    <xf numFmtId="0" fontId="16" fillId="15" borderId="13" xfId="0" applyFont="1" applyFill="1" applyBorder="1" applyAlignment="1">
      <alignment vertical="center" wrapText="1"/>
    </xf>
    <xf numFmtId="0" fontId="18" fillId="0" borderId="16" xfId="0" applyFont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6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6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6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5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left"/>
    </xf>
    <xf numFmtId="1" fontId="27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/>
    </xf>
    <xf numFmtId="1" fontId="20" fillId="23" borderId="16" xfId="0" applyNumberFormat="1" applyFont="1" applyFill="1" applyBorder="1" applyAlignment="1">
      <alignment horizontal="center" vertical="center" wrapText="1"/>
    </xf>
    <xf numFmtId="1" fontId="22" fillId="17" borderId="16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164" fontId="20" fillId="16" borderId="16" xfId="6" applyNumberFormat="1" applyFont="1" applyFill="1" applyBorder="1" applyAlignment="1">
      <alignment horizontal="center" vertical="center" wrapText="1"/>
    </xf>
    <xf numFmtId="164" fontId="22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left" vertical="center"/>
    </xf>
    <xf numFmtId="0" fontId="30" fillId="24" borderId="21" xfId="5" applyFont="1" applyFill="1" applyBorder="1" applyAlignment="1">
      <alignment horizontal="center" vertical="center"/>
    </xf>
    <xf numFmtId="0" fontId="30" fillId="24" borderId="21" xfId="5" applyFont="1" applyFill="1" applyBorder="1" applyAlignment="1">
      <alignment horizontal="center" vertical="center" wrapText="1"/>
    </xf>
    <xf numFmtId="0" fontId="30" fillId="24" borderId="22" xfId="5" applyFont="1" applyFill="1" applyBorder="1" applyAlignment="1">
      <alignment horizontal="center" vertical="center"/>
    </xf>
    <xf numFmtId="0" fontId="29" fillId="17" borderId="23" xfId="0" applyFont="1" applyFill="1" applyBorder="1" applyAlignment="1">
      <alignment horizontal="left" vertical="center"/>
    </xf>
    <xf numFmtId="0" fontId="29" fillId="17" borderId="20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center" vertical="center" wrapText="1"/>
    </xf>
    <xf numFmtId="0" fontId="31" fillId="25" borderId="0" xfId="5" applyFont="1" applyFill="1" applyAlignment="1">
      <alignment horizontal="center" vertical="center"/>
    </xf>
    <xf numFmtId="0" fontId="31" fillId="0" borderId="0" xfId="5" applyFont="1" applyAlignment="1">
      <alignment horizontal="center" vertical="center"/>
    </xf>
    <xf numFmtId="0" fontId="29" fillId="17" borderId="24" xfId="5" applyFont="1" applyFill="1" applyBorder="1" applyAlignment="1">
      <alignment horizontal="right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22" fillId="26" borderId="16" xfId="0" applyNumberFormat="1" applyFont="1" applyFill="1" applyBorder="1" applyAlignment="1">
      <alignment horizontal="center" vertical="center" wrapText="1"/>
    </xf>
    <xf numFmtId="1" fontId="22" fillId="27" borderId="16" xfId="0" applyNumberFormat="1" applyFont="1" applyFill="1" applyBorder="1" applyAlignment="1">
      <alignment horizontal="center" vertical="center" wrapText="1"/>
    </xf>
    <xf numFmtId="1" fontId="22" fillId="28" borderId="16" xfId="0" applyNumberFormat="1" applyFont="1" applyFill="1" applyBorder="1" applyAlignment="1">
      <alignment horizontal="center" vertical="center" wrapText="1"/>
    </xf>
    <xf numFmtId="1" fontId="22" fillId="29" borderId="16" xfId="0" applyNumberFormat="1" applyFont="1" applyFill="1" applyBorder="1" applyAlignment="1">
      <alignment horizontal="center" vertical="center" wrapText="1"/>
    </xf>
    <xf numFmtId="0" fontId="33" fillId="30" borderId="0" xfId="5" applyFont="1" applyFill="1" applyAlignment="1">
      <alignment horizontal="center" vertical="center"/>
    </xf>
    <xf numFmtId="0" fontId="29" fillId="31" borderId="25" xfId="0" applyFont="1" applyFill="1" applyBorder="1" applyAlignment="1">
      <alignment horizontal="left" vertical="center" wrapText="1" readingOrder="1"/>
    </xf>
    <xf numFmtId="0" fontId="29" fillId="31" borderId="25" xfId="0" applyFont="1" applyFill="1" applyBorder="1" applyAlignment="1">
      <alignment horizontal="center" vertical="center" wrapText="1" readingOrder="1"/>
    </xf>
    <xf numFmtId="0" fontId="37" fillId="36" borderId="0" xfId="0" applyFont="1" applyFill="1" applyBorder="1" applyAlignment="1">
      <alignment horizontal="center" vertical="center" wrapText="1"/>
    </xf>
    <xf numFmtId="0" fontId="38" fillId="36" borderId="0" xfId="0" applyFont="1" applyFill="1" applyBorder="1" applyAlignment="1">
      <alignment horizontal="left" vertical="center" wrapText="1"/>
    </xf>
    <xf numFmtId="1" fontId="39" fillId="37" borderId="0" xfId="0" applyNumberFormat="1" applyFont="1" applyFill="1" applyBorder="1" applyAlignment="1">
      <alignment horizontal="center" vertical="center"/>
    </xf>
    <xf numFmtId="1" fontId="31" fillId="25" borderId="0" xfId="5" applyNumberFormat="1" applyFont="1" applyFill="1" applyAlignment="1">
      <alignment horizontal="center" vertical="center"/>
    </xf>
    <xf numFmtId="0" fontId="31" fillId="0" borderId="0" xfId="5" applyFont="1" applyAlignment="1">
      <alignment vertical="center"/>
    </xf>
    <xf numFmtId="1" fontId="40" fillId="0" borderId="31" xfId="0" applyNumberFormat="1" applyFont="1" applyFill="1" applyBorder="1" applyAlignment="1">
      <alignment horizontal="center" vertical="center"/>
    </xf>
    <xf numFmtId="0" fontId="35" fillId="0" borderId="25" xfId="0" applyFont="1" applyFill="1" applyBorder="1" applyAlignment="1">
      <alignment horizontal="left" vertical="center" wrapText="1" readingOrder="1"/>
    </xf>
    <xf numFmtId="0" fontId="35" fillId="0" borderId="25" xfId="0" applyFont="1" applyFill="1" applyBorder="1" applyAlignment="1">
      <alignment horizontal="center" vertical="center" wrapText="1" readingOrder="1"/>
    </xf>
    <xf numFmtId="0" fontId="37" fillId="36" borderId="32" xfId="0" applyFont="1" applyFill="1" applyBorder="1" applyAlignment="1">
      <alignment horizontal="center" vertical="center" wrapText="1"/>
    </xf>
    <xf numFmtId="0" fontId="38" fillId="36" borderId="32" xfId="0" applyFont="1" applyFill="1" applyBorder="1" applyAlignment="1">
      <alignment horizontal="left" vertical="center" wrapText="1"/>
    </xf>
    <xf numFmtId="1" fontId="39" fillId="37" borderId="33" xfId="0" applyNumberFormat="1" applyFont="1" applyFill="1" applyBorder="1" applyAlignment="1">
      <alignment horizontal="center" vertical="center"/>
    </xf>
    <xf numFmtId="9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32" xfId="0" applyNumberFormat="1" applyFont="1" applyFill="1" applyBorder="1" applyAlignment="1">
      <alignment horizontal="center" vertical="center"/>
    </xf>
    <xf numFmtId="10" fontId="35" fillId="0" borderId="25" xfId="0" applyNumberFormat="1" applyFont="1" applyFill="1" applyBorder="1" applyAlignment="1">
      <alignment horizontal="center" vertical="center" wrapText="1" readingOrder="1"/>
    </xf>
    <xf numFmtId="16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20" xfId="0" applyNumberFormat="1" applyFont="1" applyFill="1" applyBorder="1" applyAlignment="1">
      <alignment horizontal="center" vertical="center"/>
    </xf>
    <xf numFmtId="0" fontId="41" fillId="36" borderId="33" xfId="0" applyFont="1" applyFill="1" applyBorder="1" applyAlignment="1">
      <alignment horizontal="center" vertical="center" wrapText="1"/>
    </xf>
    <xf numFmtId="0" fontId="38" fillId="36" borderId="33" xfId="0" applyFont="1" applyFill="1" applyBorder="1" applyAlignment="1">
      <alignment horizontal="left" vertical="center" wrapText="1"/>
    </xf>
    <xf numFmtId="1" fontId="39" fillId="41" borderId="33" xfId="0" applyNumberFormat="1" applyFont="1" applyFill="1" applyBorder="1" applyAlignment="1">
      <alignment horizontal="center" vertical="center"/>
    </xf>
    <xf numFmtId="0" fontId="41" fillId="36" borderId="32" xfId="0" applyFont="1" applyFill="1" applyBorder="1" applyAlignment="1">
      <alignment horizontal="center" vertical="center" wrapText="1"/>
    </xf>
    <xf numFmtId="1" fontId="39" fillId="41" borderId="32" xfId="0" applyNumberFormat="1" applyFont="1" applyFill="1" applyBorder="1" applyAlignment="1">
      <alignment horizontal="center" vertical="center"/>
    </xf>
    <xf numFmtId="0" fontId="41" fillId="36" borderId="0" xfId="0" applyFont="1" applyFill="1" applyBorder="1" applyAlignment="1">
      <alignment horizontal="center" vertical="center" wrapText="1"/>
    </xf>
    <xf numFmtId="1" fontId="39" fillId="41" borderId="0" xfId="0" applyNumberFormat="1" applyFont="1" applyFill="1" applyBorder="1" applyAlignment="1">
      <alignment horizontal="center" vertical="center"/>
    </xf>
    <xf numFmtId="1" fontId="42" fillId="41" borderId="32" xfId="0" applyNumberFormat="1" applyFont="1" applyFill="1" applyBorder="1" applyAlignment="1">
      <alignment horizontal="center" vertical="center"/>
    </xf>
    <xf numFmtId="0" fontId="41" fillId="36" borderId="46" xfId="0" applyFont="1" applyFill="1" applyBorder="1" applyAlignment="1">
      <alignment horizontal="center" vertical="center" wrapText="1"/>
    </xf>
    <xf numFmtId="0" fontId="38" fillId="36" borderId="46" xfId="0" applyFont="1" applyFill="1" applyBorder="1" applyAlignment="1">
      <alignment horizontal="left" vertical="center" wrapText="1"/>
    </xf>
    <xf numFmtId="0" fontId="35" fillId="44" borderId="20" xfId="0" applyFont="1" applyFill="1" applyBorder="1" applyAlignment="1">
      <alignment horizontal="center" vertical="center" wrapText="1"/>
    </xf>
    <xf numFmtId="0" fontId="41" fillId="36" borderId="20" xfId="0" applyFont="1" applyFill="1" applyBorder="1" applyAlignment="1">
      <alignment horizontal="center" vertical="center" wrapText="1"/>
    </xf>
    <xf numFmtId="1" fontId="39" fillId="41" borderId="20" xfId="0" applyNumberFormat="1" applyFont="1" applyFill="1" applyBorder="1" applyAlignment="1">
      <alignment horizontal="center" vertical="center"/>
    </xf>
    <xf numFmtId="0" fontId="37" fillId="36" borderId="33" xfId="0" applyFont="1" applyFill="1" applyBorder="1" applyAlignment="1">
      <alignment horizontal="center" vertical="center" wrapText="1"/>
    </xf>
    <xf numFmtId="0" fontId="44" fillId="36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left" vertical="center" wrapText="1"/>
    </xf>
    <xf numFmtId="0" fontId="44" fillId="36" borderId="32" xfId="0" applyFont="1" applyFill="1" applyBorder="1" applyAlignment="1">
      <alignment horizontal="center" vertical="center" wrapText="1"/>
    </xf>
    <xf numFmtId="0" fontId="43" fillId="36" borderId="32" xfId="0" applyFont="1" applyFill="1" applyBorder="1" applyAlignment="1">
      <alignment horizontal="left" vertical="center" wrapText="1"/>
    </xf>
    <xf numFmtId="0" fontId="44" fillId="36" borderId="33" xfId="0" applyFont="1" applyFill="1" applyBorder="1" applyAlignment="1">
      <alignment horizontal="center" vertical="center" wrapText="1"/>
    </xf>
    <xf numFmtId="0" fontId="43" fillId="36" borderId="33" xfId="0" applyFont="1" applyFill="1" applyBorder="1" applyAlignment="1">
      <alignment horizontal="left" vertical="center" wrapText="1"/>
    </xf>
    <xf numFmtId="0" fontId="33" fillId="0" borderId="0" xfId="5" applyFont="1" applyAlignment="1">
      <alignment horizontal="center" vertical="center"/>
    </xf>
    <xf numFmtId="0" fontId="31" fillId="0" borderId="30" xfId="5" applyFont="1" applyBorder="1" applyAlignment="1">
      <alignment vertical="center"/>
    </xf>
    <xf numFmtId="0" fontId="31" fillId="0" borderId="20" xfId="5" applyFont="1" applyBorder="1" applyAlignment="1">
      <alignment vertical="center"/>
    </xf>
    <xf numFmtId="0" fontId="31" fillId="25" borderId="0" xfId="5" applyFont="1" applyFill="1" applyAlignment="1">
      <alignment vertical="center"/>
    </xf>
    <xf numFmtId="0" fontId="45" fillId="0" borderId="17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left"/>
    </xf>
    <xf numFmtId="1" fontId="20" fillId="13" borderId="16" xfId="0" applyNumberFormat="1" applyFont="1" applyFill="1" applyBorder="1" applyAlignment="1">
      <alignment horizontal="center" vertical="center"/>
    </xf>
    <xf numFmtId="1" fontId="20" fillId="49" borderId="16" xfId="0" applyNumberFormat="1" applyFont="1" applyFill="1" applyBorder="1" applyAlignment="1">
      <alignment horizontal="center" vertical="center"/>
    </xf>
    <xf numFmtId="0" fontId="45" fillId="50" borderId="71" xfId="0" applyFont="1" applyFill="1" applyBorder="1" applyAlignment="1">
      <alignment vertical="center" wrapText="1"/>
    </xf>
    <xf numFmtId="0" fontId="45" fillId="50" borderId="72" xfId="0" applyFont="1" applyFill="1" applyBorder="1" applyAlignment="1">
      <alignment vertical="center" wrapText="1"/>
    </xf>
    <xf numFmtId="0" fontId="30" fillId="24" borderId="0" xfId="5" applyFont="1" applyFill="1" applyAlignment="1">
      <alignment vertical="center"/>
    </xf>
    <xf numFmtId="1" fontId="30" fillId="24" borderId="0" xfId="5" applyNumberFormat="1" applyFont="1" applyFill="1" applyAlignment="1">
      <alignment horizontal="center" vertical="center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6" fillId="51" borderId="46" xfId="0" applyFont="1" applyFill="1" applyBorder="1" applyAlignment="1">
      <alignment horizontal="left" vertical="center"/>
    </xf>
    <xf numFmtId="0" fontId="46" fillId="51" borderId="46" xfId="0" applyFont="1" applyFill="1" applyBorder="1" applyAlignment="1">
      <alignment horizontal="center" vertical="center" wrapText="1"/>
    </xf>
    <xf numFmtId="0" fontId="31" fillId="0" borderId="0" xfId="5" applyFont="1" applyAlignment="1">
      <alignment horizontal="left" vertical="center"/>
    </xf>
    <xf numFmtId="0" fontId="47" fillId="0" borderId="73" xfId="0" applyFont="1" applyFill="1" applyBorder="1" applyAlignment="1">
      <alignment horizontal="left" vertical="center"/>
    </xf>
    <xf numFmtId="0" fontId="47" fillId="0" borderId="73" xfId="0" applyFont="1" applyFill="1" applyBorder="1" applyAlignment="1">
      <alignment horizontal="left" vertical="center" wrapText="1"/>
    </xf>
    <xf numFmtId="0" fontId="48" fillId="0" borderId="73" xfId="0" applyFont="1" applyFill="1" applyBorder="1" applyAlignment="1">
      <alignment horizontal="left" vertical="center" wrapText="1"/>
    </xf>
    <xf numFmtId="1" fontId="40" fillId="0" borderId="73" xfId="0" applyNumberFormat="1" applyFont="1" applyFill="1" applyBorder="1" applyAlignment="1">
      <alignment horizontal="center" vertical="center"/>
    </xf>
    <xf numFmtId="1" fontId="40" fillId="0" borderId="73" xfId="0" applyNumberFormat="1" applyFont="1" applyFill="1" applyBorder="1" applyAlignment="1">
      <alignment horizontal="center" vertical="center" wrapText="1"/>
    </xf>
    <xf numFmtId="0" fontId="47" fillId="0" borderId="31" xfId="0" applyFont="1" applyFill="1" applyBorder="1" applyAlignment="1">
      <alignment horizontal="left" vertical="center"/>
    </xf>
    <xf numFmtId="0" fontId="47" fillId="0" borderId="31" xfId="0" applyFont="1" applyFill="1" applyBorder="1" applyAlignment="1">
      <alignment horizontal="left" vertical="center" wrapText="1"/>
    </xf>
    <xf numFmtId="0" fontId="48" fillId="0" borderId="31" xfId="0" applyFont="1" applyFill="1" applyBorder="1" applyAlignment="1">
      <alignment horizontal="left" vertical="center" wrapText="1"/>
    </xf>
    <xf numFmtId="1" fontId="40" fillId="0" borderId="31" xfId="0" applyNumberFormat="1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left" vertical="center" wrapText="1"/>
    </xf>
    <xf numFmtId="1" fontId="47" fillId="0" borderId="0" xfId="0" applyNumberFormat="1" applyFont="1" applyFill="1" applyBorder="1" applyAlignment="1">
      <alignment horizontal="center" vertical="center"/>
    </xf>
    <xf numFmtId="1" fontId="47" fillId="0" borderId="0" xfId="0" applyNumberFormat="1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textRotation="90" wrapText="1"/>
    </xf>
    <xf numFmtId="164" fontId="24" fillId="16" borderId="16" xfId="6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5" fillId="0" borderId="75" xfId="0" applyNumberFormat="1" applyFont="1" applyFill="1" applyBorder="1" applyAlignment="1">
      <alignment horizontal="center" vertical="center" wrapText="1"/>
    </xf>
    <xf numFmtId="1" fontId="20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5" fillId="0" borderId="76" xfId="0" applyNumberFormat="1" applyFont="1" applyFill="1" applyBorder="1" applyAlignment="1">
      <alignment horizontal="center" vertical="center" wrapText="1"/>
    </xf>
    <xf numFmtId="1" fontId="20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5" fillId="0" borderId="77" xfId="0" applyNumberFormat="1" applyFont="1" applyFill="1" applyBorder="1" applyAlignment="1">
      <alignment horizontal="center" vertical="center" wrapText="1"/>
    </xf>
    <xf numFmtId="1" fontId="20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5" fillId="0" borderId="78" xfId="0" applyNumberFormat="1" applyFont="1" applyFill="1" applyBorder="1" applyAlignment="1">
      <alignment horizontal="center" vertical="center" wrapText="1"/>
    </xf>
    <xf numFmtId="1" fontId="20" fillId="0" borderId="78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74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left" vertical="center" wrapText="1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1" fontId="34" fillId="33" borderId="29" xfId="5" applyNumberFormat="1" applyFont="1" applyFill="1" applyBorder="1" applyAlignment="1">
      <alignment horizontal="center" vertical="center" wrapText="1"/>
    </xf>
    <xf numFmtId="1" fontId="34" fillId="33" borderId="36" xfId="5" applyNumberFormat="1" applyFont="1" applyFill="1" applyBorder="1" applyAlignment="1">
      <alignment horizontal="center" vertical="center" wrapText="1"/>
    </xf>
    <xf numFmtId="0" fontId="29" fillId="12" borderId="33" xfId="0" applyFont="1" applyFill="1" applyBorder="1" applyAlignment="1">
      <alignment horizontal="center" vertical="center" textRotation="90" wrapText="1"/>
    </xf>
    <xf numFmtId="0" fontId="29" fillId="12" borderId="0" xfId="0" applyFont="1" applyFill="1" applyBorder="1" applyAlignment="1">
      <alignment horizontal="center" vertical="center" textRotation="90" wrapText="1"/>
    </xf>
    <xf numFmtId="0" fontId="29" fillId="12" borderId="32" xfId="0" applyFont="1" applyFill="1" applyBorder="1" applyAlignment="1">
      <alignment horizontal="center" vertical="center" textRotation="90" wrapText="1"/>
    </xf>
    <xf numFmtId="0" fontId="29" fillId="17" borderId="0" xfId="5" applyFont="1" applyFill="1" applyAlignment="1">
      <alignment horizontal="center" vertical="center" wrapText="1"/>
    </xf>
    <xf numFmtId="0" fontId="29" fillId="17" borderId="0" xfId="5" applyFont="1" applyFill="1" applyAlignment="1">
      <alignment horizontal="center" vertical="center"/>
    </xf>
    <xf numFmtId="0" fontId="29" fillId="17" borderId="24" xfId="5" applyFont="1" applyFill="1" applyBorder="1" applyAlignment="1">
      <alignment horizontal="center" vertical="center" wrapText="1"/>
    </xf>
    <xf numFmtId="0" fontId="34" fillId="33" borderId="66" xfId="5" applyFont="1" applyFill="1" applyBorder="1" applyAlignment="1">
      <alignment horizontal="center" vertical="center" wrapText="1"/>
    </xf>
    <xf numFmtId="0" fontId="34" fillId="33" borderId="67" xfId="5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 wrapText="1"/>
    </xf>
    <xf numFmtId="1" fontId="34" fillId="34" borderId="35" xfId="5" applyNumberFormat="1" applyFont="1" applyFill="1" applyBorder="1" applyAlignment="1">
      <alignment horizontal="center" vertical="center" wrapText="1"/>
    </xf>
    <xf numFmtId="1" fontId="34" fillId="33" borderId="6" xfId="5" applyNumberFormat="1" applyFont="1" applyFill="1" applyBorder="1" applyAlignment="1">
      <alignment horizontal="center" vertical="center" wrapText="1"/>
    </xf>
    <xf numFmtId="0" fontId="34" fillId="33" borderId="6" xfId="5" applyFont="1" applyFill="1" applyBorder="1" applyAlignment="1">
      <alignment horizontal="center" vertical="center" wrapText="1"/>
    </xf>
    <xf numFmtId="0" fontId="34" fillId="33" borderId="7" xfId="5" applyFont="1" applyFill="1" applyBorder="1" applyAlignment="1">
      <alignment horizontal="center" vertical="center" wrapText="1"/>
    </xf>
    <xf numFmtId="0" fontId="43" fillId="47" borderId="45" xfId="0" applyFont="1" applyFill="1" applyBorder="1" applyAlignment="1">
      <alignment horizontal="center" vertical="center" textRotation="90" wrapText="1"/>
    </xf>
    <xf numFmtId="0" fontId="43" fillId="47" borderId="30" xfId="0" applyFont="1" applyFill="1" applyBorder="1" applyAlignment="1">
      <alignment horizontal="center" vertical="center" textRotation="90" wrapText="1"/>
    </xf>
    <xf numFmtId="0" fontId="43" fillId="47" borderId="37" xfId="0" applyFont="1" applyFill="1" applyBorder="1" applyAlignment="1">
      <alignment horizontal="center" vertical="center" textRotation="90" wrapText="1"/>
    </xf>
    <xf numFmtId="0" fontId="43" fillId="48" borderId="33" xfId="0" applyFont="1" applyFill="1" applyBorder="1" applyAlignment="1">
      <alignment horizontal="center" vertical="center" wrapText="1"/>
    </xf>
    <xf numFmtId="0" fontId="43" fillId="48" borderId="32" xfId="0" applyFont="1" applyFill="1" applyBorder="1" applyAlignment="1">
      <alignment horizontal="center" vertical="center" wrapText="1"/>
    </xf>
    <xf numFmtId="0" fontId="43" fillId="48" borderId="0" xfId="0" applyFont="1" applyFill="1" applyBorder="1" applyAlignment="1">
      <alignment horizontal="center" vertical="center" wrapText="1"/>
    </xf>
    <xf numFmtId="0" fontId="34" fillId="33" borderId="68" xfId="5" applyFont="1" applyFill="1" applyBorder="1" applyAlignment="1">
      <alignment horizontal="center" vertical="center" wrapText="1"/>
    </xf>
    <xf numFmtId="0" fontId="34" fillId="33" borderId="70" xfId="5" applyFont="1" applyFill="1" applyBorder="1" applyAlignment="1">
      <alignment horizontal="center" vertical="center" wrapText="1"/>
    </xf>
    <xf numFmtId="1" fontId="34" fillId="34" borderId="39" xfId="5" applyNumberFormat="1" applyFont="1" applyFill="1" applyBorder="1" applyAlignment="1">
      <alignment horizontal="center" vertical="center" wrapText="1"/>
    </xf>
    <xf numFmtId="1" fontId="34" fillId="34" borderId="43" xfId="5" applyNumberFormat="1" applyFont="1" applyFill="1" applyBorder="1" applyAlignment="1">
      <alignment horizontal="center" vertical="center" wrapText="1"/>
    </xf>
    <xf numFmtId="1" fontId="34" fillId="33" borderId="5" xfId="5" applyNumberFormat="1" applyFont="1" applyFill="1" applyBorder="1" applyAlignment="1">
      <alignment horizontal="center" vertical="center" wrapText="1"/>
    </xf>
    <xf numFmtId="1" fontId="34" fillId="33" borderId="40" xfId="5" applyNumberFormat="1" applyFont="1" applyFill="1" applyBorder="1" applyAlignment="1">
      <alignment horizontal="center" vertical="center" wrapText="1"/>
    </xf>
    <xf numFmtId="1" fontId="34" fillId="33" borderId="44" xfId="5" applyNumberFormat="1" applyFont="1" applyFill="1" applyBorder="1" applyAlignment="1">
      <alignment horizontal="center" vertical="center" wrapText="1"/>
    </xf>
    <xf numFmtId="0" fontId="43" fillId="47" borderId="33" xfId="0" applyFont="1" applyFill="1" applyBorder="1" applyAlignment="1">
      <alignment horizontal="center" vertical="center" wrapText="1"/>
    </xf>
    <xf numFmtId="0" fontId="43" fillId="47" borderId="0" xfId="0" applyFont="1" applyFill="1" applyBorder="1" applyAlignment="1">
      <alignment horizontal="center" vertical="center" wrapText="1"/>
    </xf>
    <xf numFmtId="0" fontId="43" fillId="47" borderId="32" xfId="0" applyFont="1" applyFill="1" applyBorder="1" applyAlignment="1">
      <alignment horizontal="center" vertical="center" wrapText="1"/>
    </xf>
    <xf numFmtId="1" fontId="34" fillId="33" borderId="65" xfId="5" applyNumberFormat="1" applyFont="1" applyFill="1" applyBorder="1" applyAlignment="1">
      <alignment horizontal="center" vertical="center" wrapText="1"/>
    </xf>
    <xf numFmtId="0" fontId="35" fillId="46" borderId="45" xfId="0" applyFont="1" applyFill="1" applyBorder="1" applyAlignment="1">
      <alignment horizontal="center" vertical="center" wrapText="1"/>
    </xf>
    <xf numFmtId="0" fontId="35" fillId="46" borderId="33" xfId="0" applyFont="1" applyFill="1" applyBorder="1" applyAlignment="1">
      <alignment horizontal="center" vertical="center" wrapText="1"/>
    </xf>
    <xf numFmtId="0" fontId="35" fillId="46" borderId="30" xfId="0" applyFont="1" applyFill="1" applyBorder="1" applyAlignment="1">
      <alignment horizontal="center" vertical="center" wrapText="1"/>
    </xf>
    <xf numFmtId="0" fontId="35" fillId="46" borderId="0" xfId="0" applyFont="1" applyFill="1" applyBorder="1" applyAlignment="1">
      <alignment horizontal="center" vertical="center" wrapText="1"/>
    </xf>
    <xf numFmtId="0" fontId="35" fillId="46" borderId="37" xfId="0" applyFont="1" applyFill="1" applyBorder="1" applyAlignment="1">
      <alignment horizontal="center" vertical="center" wrapText="1"/>
    </xf>
    <xf numFmtId="0" fontId="35" fillId="46" borderId="32" xfId="0" applyFont="1" applyFill="1" applyBorder="1" applyAlignment="1">
      <alignment horizontal="center" vertical="center" wrapText="1"/>
    </xf>
    <xf numFmtId="0" fontId="29" fillId="38" borderId="55" xfId="5" applyFont="1" applyFill="1" applyBorder="1" applyAlignment="1">
      <alignment horizontal="center" vertical="center" textRotation="90"/>
    </xf>
    <xf numFmtId="0" fontId="29" fillId="38" borderId="69" xfId="5" applyFont="1" applyFill="1" applyBorder="1" applyAlignment="1">
      <alignment horizontal="center" vertical="center" textRotation="90"/>
    </xf>
    <xf numFmtId="0" fontId="34" fillId="33" borderId="59" xfId="5" applyFont="1" applyFill="1" applyBorder="1" applyAlignment="1">
      <alignment horizontal="center" vertical="center" wrapText="1"/>
    </xf>
    <xf numFmtId="0" fontId="34" fillId="33" borderId="56" xfId="5" applyFont="1" applyFill="1" applyBorder="1" applyAlignment="1">
      <alignment horizontal="center" vertical="center" wrapText="1"/>
    </xf>
    <xf numFmtId="0" fontId="34" fillId="33" borderId="62" xfId="5" applyFont="1" applyFill="1" applyBorder="1" applyAlignment="1">
      <alignment horizontal="center" vertical="center" wrapText="1"/>
    </xf>
    <xf numFmtId="1" fontId="34" fillId="34" borderId="63" xfId="5" applyNumberFormat="1" applyFont="1" applyFill="1" applyBorder="1" applyAlignment="1">
      <alignment horizontal="center" vertical="center" wrapText="1"/>
    </xf>
    <xf numFmtId="1" fontId="34" fillId="33" borderId="60" xfId="5" applyNumberFormat="1" applyFont="1" applyFill="1" applyBorder="1" applyAlignment="1">
      <alignment horizontal="center" vertical="center" wrapText="1"/>
    </xf>
    <xf numFmtId="0" fontId="34" fillId="33" borderId="64" xfId="5" applyFont="1" applyFill="1" applyBorder="1" applyAlignment="1">
      <alignment horizontal="center" vertical="center" wrapText="1"/>
    </xf>
    <xf numFmtId="0" fontId="34" fillId="33" borderId="38" xfId="5" applyFont="1" applyFill="1" applyBorder="1" applyAlignment="1">
      <alignment horizontal="center" vertical="center" wrapText="1"/>
    </xf>
    <xf numFmtId="0" fontId="34" fillId="33" borderId="27" xfId="5" applyFont="1" applyFill="1" applyBorder="1" applyAlignment="1">
      <alignment horizontal="center" vertical="center" wrapText="1"/>
    </xf>
    <xf numFmtId="0" fontId="34" fillId="33" borderId="34" xfId="5" applyFont="1" applyFill="1" applyBorder="1" applyAlignment="1">
      <alignment horizontal="center" vertical="center" wrapText="1"/>
    </xf>
    <xf numFmtId="1" fontId="34" fillId="33" borderId="50" xfId="5" applyNumberFormat="1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 wrapText="1"/>
    </xf>
    <xf numFmtId="1" fontId="34" fillId="34" borderId="53" xfId="5" applyNumberFormat="1" applyFont="1" applyFill="1" applyBorder="1" applyAlignment="1">
      <alignment horizontal="center" vertical="center" wrapText="1"/>
    </xf>
    <xf numFmtId="1" fontId="34" fillId="33" borderId="53" xfId="5" applyNumberFormat="1" applyFont="1" applyFill="1" applyBorder="1" applyAlignment="1">
      <alignment horizontal="center" vertical="center" wrapText="1"/>
    </xf>
    <xf numFmtId="1" fontId="34" fillId="33" borderId="54" xfId="5" applyNumberFormat="1" applyFont="1" applyFill="1" applyBorder="1" applyAlignment="1">
      <alignment horizontal="center" vertical="center" wrapText="1"/>
    </xf>
    <xf numFmtId="0" fontId="35" fillId="43" borderId="45" xfId="0" applyFont="1" applyFill="1" applyBorder="1" applyAlignment="1">
      <alignment horizontal="center" vertical="center" textRotation="90" wrapText="1"/>
    </xf>
    <xf numFmtId="0" fontId="35" fillId="43" borderId="30" xfId="0" applyFont="1" applyFill="1" applyBorder="1" applyAlignment="1">
      <alignment horizontal="center" vertical="center" textRotation="90" wrapText="1"/>
    </xf>
    <xf numFmtId="0" fontId="35" fillId="43" borderId="37" xfId="0" applyFont="1" applyFill="1" applyBorder="1" applyAlignment="1">
      <alignment horizontal="center" vertical="center" textRotation="90" wrapText="1"/>
    </xf>
    <xf numFmtId="0" fontId="35" fillId="44" borderId="33" xfId="0" applyFont="1" applyFill="1" applyBorder="1" applyAlignment="1">
      <alignment horizontal="center" vertical="center" wrapText="1"/>
    </xf>
    <xf numFmtId="0" fontId="35" fillId="44" borderId="0" xfId="0" applyFont="1" applyFill="1" applyBorder="1" applyAlignment="1">
      <alignment horizontal="center" vertical="center" wrapText="1"/>
    </xf>
    <xf numFmtId="0" fontId="29" fillId="45" borderId="55" xfId="5" applyFont="1" applyFill="1" applyBorder="1" applyAlignment="1">
      <alignment horizontal="center" vertical="center" textRotation="90"/>
    </xf>
    <xf numFmtId="0" fontId="29" fillId="45" borderId="61" xfId="5" applyFont="1" applyFill="1" applyBorder="1" applyAlignment="1">
      <alignment horizontal="center" vertical="center" textRotation="90"/>
    </xf>
    <xf numFmtId="0" fontId="34" fillId="33" borderId="57" xfId="5" applyFont="1" applyFill="1" applyBorder="1" applyAlignment="1">
      <alignment horizontal="center" vertical="center" wrapText="1"/>
    </xf>
    <xf numFmtId="0" fontId="34" fillId="33" borderId="58" xfId="5" applyFont="1" applyFill="1" applyBorder="1" applyAlignment="1">
      <alignment horizontal="center" vertical="center" wrapText="1"/>
    </xf>
    <xf numFmtId="0" fontId="35" fillId="39" borderId="45" xfId="0" applyFont="1" applyFill="1" applyBorder="1" applyAlignment="1">
      <alignment horizontal="center" vertical="center" textRotation="90" wrapText="1"/>
    </xf>
    <xf numFmtId="0" fontId="35" fillId="39" borderId="30" xfId="0" applyFont="1" applyFill="1" applyBorder="1" applyAlignment="1">
      <alignment horizontal="center" vertical="center" textRotation="90" wrapText="1"/>
    </xf>
    <xf numFmtId="0" fontId="35" fillId="39" borderId="37" xfId="0" applyFont="1" applyFill="1" applyBorder="1" applyAlignment="1">
      <alignment horizontal="center" vertical="center" textRotation="90" wrapText="1"/>
    </xf>
    <xf numFmtId="0" fontId="36" fillId="40" borderId="0" xfId="0" applyFont="1" applyFill="1" applyBorder="1" applyAlignment="1">
      <alignment horizontal="center" vertical="center" wrapText="1"/>
    </xf>
    <xf numFmtId="0" fontId="36" fillId="40" borderId="32" xfId="0" applyFont="1" applyFill="1" applyBorder="1" applyAlignment="1">
      <alignment horizontal="center" vertical="center" wrapText="1"/>
    </xf>
    <xf numFmtId="0" fontId="29" fillId="42" borderId="26" xfId="5" applyFont="1" applyFill="1" applyBorder="1" applyAlignment="1">
      <alignment horizontal="center" vertical="center" textRotation="90"/>
    </xf>
    <xf numFmtId="0" fontId="29" fillId="42" borderId="51" xfId="5" applyFont="1" applyFill="1" applyBorder="1" applyAlignment="1">
      <alignment horizontal="center" vertical="center" textRotation="90"/>
    </xf>
    <xf numFmtId="1" fontId="34" fillId="33" borderId="39" xfId="5" applyNumberFormat="1" applyFont="1" applyFill="1" applyBorder="1" applyAlignment="1">
      <alignment horizontal="center" vertical="center" wrapText="1"/>
    </xf>
    <xf numFmtId="0" fontId="35" fillId="44" borderId="46" xfId="0" applyFont="1" applyFill="1" applyBorder="1" applyAlignment="1">
      <alignment horizontal="center" vertical="center" wrapText="1"/>
    </xf>
    <xf numFmtId="0" fontId="35" fillId="44" borderId="32" xfId="0" applyFont="1" applyFill="1" applyBorder="1" applyAlignment="1">
      <alignment horizontal="center" vertical="center" wrapText="1"/>
    </xf>
    <xf numFmtId="0" fontId="34" fillId="33" borderId="47" xfId="5" applyFont="1" applyFill="1" applyBorder="1" applyAlignment="1">
      <alignment horizontal="center" vertical="center" wrapText="1"/>
    </xf>
    <xf numFmtId="0" fontId="34" fillId="33" borderId="48" xfId="5" applyFont="1" applyFill="1" applyBorder="1" applyAlignment="1">
      <alignment horizontal="center" vertical="center" wrapText="1"/>
    </xf>
    <xf numFmtId="0" fontId="34" fillId="33" borderId="49" xfId="5" applyFont="1" applyFill="1" applyBorder="1" applyAlignment="1">
      <alignment horizontal="center" vertical="center" wrapText="1"/>
    </xf>
    <xf numFmtId="0" fontId="35" fillId="43" borderId="33" xfId="0" applyFont="1" applyFill="1" applyBorder="1" applyAlignment="1">
      <alignment horizontal="center" vertical="center" wrapText="1"/>
    </xf>
    <xf numFmtId="0" fontId="35" fillId="43" borderId="0" xfId="0" applyFont="1" applyFill="1" applyBorder="1" applyAlignment="1">
      <alignment horizontal="center" vertical="center" wrapText="1"/>
    </xf>
    <xf numFmtId="0" fontId="35" fillId="43" borderId="32" xfId="0" applyFont="1" applyFill="1" applyBorder="1" applyAlignment="1">
      <alignment horizontal="center" vertical="center" wrapText="1"/>
    </xf>
    <xf numFmtId="0" fontId="34" fillId="33" borderId="52" xfId="5" applyFont="1" applyFill="1" applyBorder="1" applyAlignment="1">
      <alignment horizontal="center" vertical="center" wrapText="1"/>
    </xf>
    <xf numFmtId="0" fontId="36" fillId="40" borderId="33" xfId="0" applyFont="1" applyFill="1" applyBorder="1" applyAlignment="1">
      <alignment horizontal="center" vertical="center" wrapText="1"/>
    </xf>
    <xf numFmtId="1" fontId="34" fillId="33" borderId="35" xfId="5" applyNumberFormat="1" applyFont="1" applyFill="1" applyBorder="1" applyAlignment="1">
      <alignment horizontal="center" vertical="center" wrapText="1"/>
    </xf>
    <xf numFmtId="0" fontId="29" fillId="38" borderId="26" xfId="5" applyFont="1" applyFill="1" applyBorder="1" applyAlignment="1">
      <alignment horizontal="center" vertical="center" textRotation="90"/>
    </xf>
    <xf numFmtId="0" fontId="31" fillId="32" borderId="26" xfId="5" applyFont="1" applyFill="1" applyBorder="1" applyAlignment="1">
      <alignment horizontal="center" vertical="center" textRotation="90"/>
    </xf>
    <xf numFmtId="0" fontId="31" fillId="32" borderId="41" xfId="5" applyFont="1" applyFill="1" applyBorder="1" applyAlignment="1">
      <alignment horizontal="center" vertical="center" textRotation="90"/>
    </xf>
    <xf numFmtId="0" fontId="34" fillId="33" borderId="42" xfId="5" applyFont="1" applyFill="1" applyBorder="1" applyAlignment="1">
      <alignment horizontal="center" vertical="center" wrapText="1"/>
    </xf>
    <xf numFmtId="1" fontId="34" fillId="33" borderId="43" xfId="5" applyNumberFormat="1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textRotation="90" wrapText="1"/>
    </xf>
    <xf numFmtId="0" fontId="35" fillId="18" borderId="37" xfId="0" applyFont="1" applyFill="1" applyBorder="1" applyAlignment="1">
      <alignment horizontal="center" vertical="center" textRotation="90" wrapText="1"/>
    </xf>
    <xf numFmtId="0" fontId="36" fillId="35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/>
    </xf>
    <xf numFmtId="1" fontId="34" fillId="33" borderId="35" xfId="5" applyNumberFormat="1" applyFont="1" applyFill="1" applyBorder="1" applyAlignment="1">
      <alignment horizontal="center" vertical="center"/>
    </xf>
    <xf numFmtId="1" fontId="34" fillId="33" borderId="29" xfId="5" applyNumberFormat="1" applyFont="1" applyFill="1" applyBorder="1" applyAlignment="1">
      <alignment horizontal="center" vertical="center"/>
    </xf>
    <xf numFmtId="1" fontId="34" fillId="33" borderId="36" xfId="5" applyNumberFormat="1" applyFont="1" applyFill="1" applyBorder="1" applyAlignment="1">
      <alignment horizontal="center" vertical="center"/>
    </xf>
    <xf numFmtId="1" fontId="34" fillId="34" borderId="28" xfId="5" applyNumberFormat="1" applyFont="1" applyFill="1" applyBorder="1" applyAlignment="1">
      <alignment horizontal="center" vertical="center"/>
    </xf>
    <xf numFmtId="1" fontId="34" fillId="34" borderId="35" xfId="5" applyNumberFormat="1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64981328"/>
        <c:axId val="168387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981328"/>
        <c:axId val="168387760"/>
      </c:lineChart>
      <c:catAx>
        <c:axId val="64981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387760"/>
        <c:crosses val="autoZero"/>
        <c:auto val="1"/>
        <c:lblAlgn val="ctr"/>
        <c:lblOffset val="100"/>
        <c:noMultiLvlLbl val="0"/>
      </c:catAx>
      <c:valAx>
        <c:axId val="168387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498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6427184"/>
        <c:axId val="168380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6427184"/>
        <c:axId val="168380272"/>
      </c:lineChart>
      <c:catAx>
        <c:axId val="186427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380272"/>
        <c:crosses val="autoZero"/>
        <c:auto val="1"/>
        <c:lblAlgn val="ctr"/>
        <c:lblOffset val="100"/>
        <c:noMultiLvlLbl val="0"/>
      </c:catAx>
      <c:valAx>
        <c:axId val="168380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642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7452656"/>
        <c:axId val="288206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452656"/>
        <c:axId val="288206432"/>
      </c:lineChart>
      <c:catAx>
        <c:axId val="187452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206432"/>
        <c:crosses val="autoZero"/>
        <c:auto val="1"/>
        <c:lblAlgn val="ctr"/>
        <c:lblOffset val="100"/>
        <c:noMultiLvlLbl val="0"/>
      </c:catAx>
      <c:valAx>
        <c:axId val="288206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45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65249216"/>
        <c:axId val="288213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249216"/>
        <c:axId val="288213296"/>
      </c:lineChart>
      <c:catAx>
        <c:axId val="65249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213296"/>
        <c:crosses val="autoZero"/>
        <c:auto val="1"/>
        <c:lblAlgn val="ctr"/>
        <c:lblOffset val="100"/>
        <c:noMultiLvlLbl val="0"/>
      </c:catAx>
      <c:valAx>
        <c:axId val="288213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52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66242464"/>
        <c:axId val="289324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6242464"/>
        <c:axId val="289324384"/>
      </c:lineChart>
      <c:catAx>
        <c:axId val="66242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324384"/>
        <c:crosses val="autoZero"/>
        <c:auto val="1"/>
        <c:lblAlgn val="ctr"/>
        <c:lblOffset val="100"/>
        <c:noMultiLvlLbl val="0"/>
      </c:catAx>
      <c:valAx>
        <c:axId val="289324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24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67474128"/>
        <c:axId val="289329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474128"/>
        <c:axId val="289329376"/>
      </c:lineChart>
      <c:catAx>
        <c:axId val="167474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329376"/>
        <c:crosses val="autoZero"/>
        <c:auto val="1"/>
        <c:lblAlgn val="ctr"/>
        <c:lblOffset val="100"/>
        <c:noMultiLvlLbl val="0"/>
      </c:catAx>
      <c:valAx>
        <c:axId val="289329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747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6434880"/>
        <c:axId val="2893362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6434880"/>
        <c:axId val="289336240"/>
      </c:lineChart>
      <c:catAx>
        <c:axId val="186434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336240"/>
        <c:crosses val="autoZero"/>
        <c:auto val="1"/>
        <c:lblAlgn val="ctr"/>
        <c:lblOffset val="100"/>
        <c:noMultiLvlLbl val="0"/>
      </c:catAx>
      <c:valAx>
        <c:axId val="289336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643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65243888"/>
        <c:axId val="290424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243888"/>
        <c:axId val="290424688"/>
      </c:lineChart>
      <c:catAx>
        <c:axId val="65243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424688"/>
        <c:crosses val="autoZero"/>
        <c:auto val="1"/>
        <c:lblAlgn val="ctr"/>
        <c:lblOffset val="100"/>
        <c:noMultiLvlLbl val="0"/>
      </c:catAx>
      <c:valAx>
        <c:axId val="290424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524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1026160"/>
        <c:axId val="290429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1026160"/>
        <c:axId val="290429680"/>
      </c:lineChart>
      <c:catAx>
        <c:axId val="291026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429680"/>
        <c:crosses val="autoZero"/>
        <c:auto val="1"/>
        <c:lblAlgn val="ctr"/>
        <c:lblOffset val="100"/>
        <c:noMultiLvlLbl val="0"/>
      </c:catAx>
      <c:valAx>
        <c:axId val="29042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0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66241872"/>
        <c:axId val="290436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6241872"/>
        <c:axId val="290436544"/>
      </c:lineChart>
      <c:catAx>
        <c:axId val="66241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436544"/>
        <c:crosses val="autoZero"/>
        <c:auto val="1"/>
        <c:lblAlgn val="ctr"/>
        <c:lblOffset val="100"/>
        <c:noMultiLvlLbl val="0"/>
      </c:catAx>
      <c:valAx>
        <c:axId val="290436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24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1741920"/>
        <c:axId val="291663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1741920"/>
        <c:axId val="291663216"/>
      </c:lineChart>
      <c:catAx>
        <c:axId val="291741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63216"/>
        <c:crosses val="autoZero"/>
        <c:auto val="1"/>
        <c:lblAlgn val="ctr"/>
        <c:lblOffset val="100"/>
        <c:noMultiLvlLbl val="0"/>
      </c:catAx>
      <c:valAx>
        <c:axId val="291663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74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1753760"/>
        <c:axId val="291670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1753760"/>
        <c:axId val="291670080"/>
      </c:lineChart>
      <c:catAx>
        <c:axId val="291753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70080"/>
        <c:crosses val="autoZero"/>
        <c:auto val="1"/>
        <c:lblAlgn val="ctr"/>
        <c:lblOffset val="100"/>
        <c:noMultiLvlLbl val="0"/>
      </c:catAx>
      <c:valAx>
        <c:axId val="29167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75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46529792"/>
        <c:axId val="409458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29792"/>
        <c:axId val="409458768"/>
      </c:lineChart>
      <c:catAx>
        <c:axId val="346529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458768"/>
        <c:crosses val="autoZero"/>
        <c:auto val="1"/>
        <c:lblAlgn val="ctr"/>
        <c:lblOffset val="100"/>
        <c:noMultiLvlLbl val="0"/>
      </c:catAx>
      <c:valAx>
        <c:axId val="409458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652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1306992"/>
        <c:axId val="409229936"/>
      </c:lineChart>
      <c:catAx>
        <c:axId val="35130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9229936"/>
        <c:crosses val="autoZero"/>
        <c:auto val="1"/>
        <c:lblAlgn val="ctr"/>
        <c:lblOffset val="100"/>
        <c:noMultiLvlLbl val="0"/>
      </c:catAx>
      <c:valAx>
        <c:axId val="40922993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35130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46545776"/>
        <c:axId val="4092224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5776"/>
        <c:axId val="409222448"/>
      </c:lineChart>
      <c:catAx>
        <c:axId val="346545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222448"/>
        <c:crosses val="autoZero"/>
        <c:auto val="1"/>
        <c:lblAlgn val="ctr"/>
        <c:lblOffset val="100"/>
        <c:noMultiLvlLbl val="0"/>
      </c:catAx>
      <c:valAx>
        <c:axId val="409222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65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1318832"/>
        <c:axId val="409229312"/>
      </c:lineChart>
      <c:catAx>
        <c:axId val="35131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9229312"/>
        <c:crosses val="autoZero"/>
        <c:auto val="1"/>
        <c:lblAlgn val="ctr"/>
        <c:lblOffset val="100"/>
        <c:noMultiLvlLbl val="0"/>
      </c:catAx>
      <c:valAx>
        <c:axId val="40922931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35131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6538080"/>
        <c:axId val="4092430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38080"/>
        <c:axId val="409243040"/>
      </c:lineChart>
      <c:catAx>
        <c:axId val="346538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243040"/>
        <c:crosses val="autoZero"/>
        <c:auto val="1"/>
        <c:lblAlgn val="ctr"/>
        <c:lblOffset val="100"/>
        <c:noMultiLvlLbl val="0"/>
      </c:catAx>
      <c:valAx>
        <c:axId val="40924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653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334224"/>
        <c:axId val="4104796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34224"/>
        <c:axId val="410479632"/>
      </c:lineChart>
      <c:catAx>
        <c:axId val="35133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0479632"/>
        <c:crosses val="autoZero"/>
        <c:auto val="1"/>
        <c:lblAlgn val="ctr"/>
        <c:lblOffset val="100"/>
        <c:noMultiLvlLbl val="0"/>
      </c:catAx>
      <c:valAx>
        <c:axId val="410479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33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328304"/>
        <c:axId val="410462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28304"/>
        <c:axId val="410462784"/>
      </c:lineChart>
      <c:catAx>
        <c:axId val="351328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0462784"/>
        <c:crosses val="autoZero"/>
        <c:auto val="1"/>
        <c:lblAlgn val="ctr"/>
        <c:lblOffset val="100"/>
        <c:noMultiLvlLbl val="0"/>
      </c:catAx>
      <c:valAx>
        <c:axId val="410462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32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313504"/>
        <c:axId val="4094806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13504"/>
        <c:axId val="409480608"/>
      </c:lineChart>
      <c:catAx>
        <c:axId val="351313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480608"/>
        <c:crosses val="autoZero"/>
        <c:auto val="1"/>
        <c:lblAlgn val="ctr"/>
        <c:lblOffset val="100"/>
        <c:noMultiLvlLbl val="0"/>
      </c:catAx>
      <c:valAx>
        <c:axId val="409480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3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312912"/>
        <c:axId val="410405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12912"/>
        <c:axId val="410405280"/>
      </c:lineChart>
      <c:catAx>
        <c:axId val="35131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410405280"/>
        <c:crosses val="autoZero"/>
        <c:auto val="1"/>
        <c:lblAlgn val="ctr"/>
        <c:lblOffset val="100"/>
        <c:noMultiLvlLbl val="0"/>
      </c:catAx>
      <c:valAx>
        <c:axId val="410405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31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337184"/>
        <c:axId val="4092499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37184"/>
        <c:axId val="409249904"/>
      </c:lineChart>
      <c:catAx>
        <c:axId val="351337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249904"/>
        <c:crosses val="autoZero"/>
        <c:auto val="1"/>
        <c:lblAlgn val="ctr"/>
        <c:lblOffset val="100"/>
        <c:noMultiLvlLbl val="0"/>
      </c:catAx>
      <c:valAx>
        <c:axId val="409249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33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460160"/>
        <c:axId val="4094899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60160"/>
        <c:axId val="409489968"/>
      </c:lineChart>
      <c:catAx>
        <c:axId val="294460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489968"/>
        <c:crosses val="autoZero"/>
        <c:auto val="1"/>
        <c:lblAlgn val="ctr"/>
        <c:lblOffset val="100"/>
        <c:noMultiLvlLbl val="0"/>
      </c:catAx>
      <c:valAx>
        <c:axId val="409489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46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6554064"/>
        <c:axId val="297039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54064"/>
        <c:axId val="297039584"/>
      </c:lineChart>
      <c:catAx>
        <c:axId val="34655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039584"/>
        <c:crosses val="autoZero"/>
        <c:auto val="1"/>
        <c:lblAlgn val="ctr"/>
        <c:lblOffset val="100"/>
        <c:noMultiLvlLbl val="0"/>
      </c:catAx>
      <c:valAx>
        <c:axId val="297039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655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333632"/>
        <c:axId val="2951414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33632"/>
        <c:axId val="295141424"/>
      </c:lineChart>
      <c:catAx>
        <c:axId val="351333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141424"/>
        <c:crosses val="autoZero"/>
        <c:auto val="1"/>
        <c:lblAlgn val="ctr"/>
        <c:lblOffset val="100"/>
        <c:noMultiLvlLbl val="0"/>
      </c:catAx>
      <c:valAx>
        <c:axId val="295141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33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454240"/>
        <c:axId val="4092355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54240"/>
        <c:axId val="409235552"/>
      </c:lineChart>
      <c:catAx>
        <c:axId val="294454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9235552"/>
        <c:crosses val="autoZero"/>
        <c:auto val="1"/>
        <c:lblAlgn val="ctr"/>
        <c:lblOffset val="100"/>
        <c:noMultiLvlLbl val="0"/>
      </c:catAx>
      <c:valAx>
        <c:axId val="409235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45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94468448"/>
        <c:axId val="410665088"/>
      </c:barChart>
      <c:catAx>
        <c:axId val="294468448"/>
        <c:scaling>
          <c:orientation val="minMax"/>
        </c:scaling>
        <c:delete val="1"/>
        <c:axPos val="l"/>
        <c:majorTickMark val="none"/>
        <c:minorTickMark val="none"/>
        <c:tickLblPos val="nextTo"/>
        <c:crossAx val="410665088"/>
        <c:crosses val="autoZero"/>
        <c:auto val="1"/>
        <c:lblAlgn val="ctr"/>
        <c:lblOffset val="100"/>
        <c:noMultiLvlLbl val="0"/>
      </c:catAx>
      <c:valAx>
        <c:axId val="41066508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9446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26657" name="DropDowns_Demo1" hidden="1">
              <a:extLst>
                <a:ext uri="{63B3BB69-23CF-44E3-9099-C40C66FF867C}">
                  <a14:compatExt spid="_x0000_s32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26658" name="CheckBox_Demo1" hidden="1">
              <a:extLst>
                <a:ext uri="{63B3BB69-23CF-44E3-9099-C40C66FF867C}">
                  <a14:compatExt spid="_x0000_s3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26659" name="DropDowns_Demo_Bis1" hidden="1">
              <a:extLst>
                <a:ext uri="{63B3BB69-23CF-44E3-9099-C40C66FF867C}">
                  <a14:compatExt spid="_x0000_s326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26660" name="CheckBox_Demo_Bis1" hidden="1">
              <a:extLst>
                <a:ext uri="{63B3BB69-23CF-44E3-9099-C40C66FF867C}">
                  <a14:compatExt spid="_x0000_s326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26661" name="DropDowns_Demo2" hidden="1">
              <a:extLst>
                <a:ext uri="{63B3BB69-23CF-44E3-9099-C40C66FF867C}">
                  <a14:compatExt spid="_x0000_s326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26662" name="CheckBox_Demo2" hidden="1">
              <a:extLst>
                <a:ext uri="{63B3BB69-23CF-44E3-9099-C40C66FF867C}">
                  <a14:compatExt spid="_x0000_s326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26663" name="DropDowns_Demo_Bis2" hidden="1">
              <a:extLst>
                <a:ext uri="{63B3BB69-23CF-44E3-9099-C40C66FF867C}">
                  <a14:compatExt spid="_x0000_s326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26664" name="CheckBox_Demo_Bis2" hidden="1">
              <a:extLst>
                <a:ext uri="{63B3BB69-23CF-44E3-9099-C40C66FF867C}">
                  <a14:compatExt spid="_x0000_s326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26665" name="DropDowns_Demo3" hidden="1">
              <a:extLst>
                <a:ext uri="{63B3BB69-23CF-44E3-9099-C40C66FF867C}">
                  <a14:compatExt spid="_x0000_s326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26666" name="CheckBox_Demo3" hidden="1">
              <a:extLst>
                <a:ext uri="{63B3BB69-23CF-44E3-9099-C40C66FF867C}">
                  <a14:compatExt spid="_x0000_s326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26667" name="DropDowns_Demo_Bis3" hidden="1">
              <a:extLst>
                <a:ext uri="{63B3BB69-23CF-44E3-9099-C40C66FF867C}">
                  <a14:compatExt spid="_x0000_s326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26668" name="CheckBox_Demo_Bis3" hidden="1">
              <a:extLst>
                <a:ext uri="{63B3BB69-23CF-44E3-9099-C40C66FF867C}">
                  <a14:compatExt spid="_x0000_s32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26669" name="DropDowns_Demo4" hidden="1">
              <a:extLst>
                <a:ext uri="{63B3BB69-23CF-44E3-9099-C40C66FF867C}">
                  <a14:compatExt spid="_x0000_s326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26670" name="CheckBox_Demo4" hidden="1">
              <a:extLst>
                <a:ext uri="{63B3BB69-23CF-44E3-9099-C40C66FF867C}">
                  <a14:compatExt spid="_x0000_s326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26671" name="DropDowns_Demo_Bis4" hidden="1">
              <a:extLst>
                <a:ext uri="{63B3BB69-23CF-44E3-9099-C40C66FF867C}">
                  <a14:compatExt spid="_x0000_s326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26672" name="CheckBox_Demo_Bis4" hidden="1">
              <a:extLst>
                <a:ext uri="{63B3BB69-23CF-44E3-9099-C40C66FF867C}">
                  <a14:compatExt spid="_x0000_s326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26673" name="DropDowns_Demo5" hidden="1">
              <a:extLst>
                <a:ext uri="{63B3BB69-23CF-44E3-9099-C40C66FF867C}">
                  <a14:compatExt spid="_x0000_s32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26674" name="CheckBox_Demo5" hidden="1">
              <a:extLst>
                <a:ext uri="{63B3BB69-23CF-44E3-9099-C40C66FF867C}">
                  <a14:compatExt spid="_x0000_s32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26675" name="DropDowns_Demo_Bis5" hidden="1">
              <a:extLst>
                <a:ext uri="{63B3BB69-23CF-44E3-9099-C40C66FF867C}">
                  <a14:compatExt spid="_x0000_s326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26676" name="CheckBox_Demo_Bis5" hidden="1">
              <a:extLst>
                <a:ext uri="{63B3BB69-23CF-44E3-9099-C40C66FF867C}">
                  <a14:compatExt spid="_x0000_s326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26677" name="DropDowns_Demo6" hidden="1">
              <a:extLst>
                <a:ext uri="{63B3BB69-23CF-44E3-9099-C40C66FF867C}">
                  <a14:compatExt spid="_x0000_s326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26678" name="CheckBox_Demo6" hidden="1">
              <a:extLst>
                <a:ext uri="{63B3BB69-23CF-44E3-9099-C40C66FF867C}">
                  <a14:compatExt spid="_x0000_s326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26679" name="DropDowns_Demo_Bis6" hidden="1">
              <a:extLst>
                <a:ext uri="{63B3BB69-23CF-44E3-9099-C40C66FF867C}">
                  <a14:compatExt spid="_x0000_s326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26680" name="CheckBox_Demo_Bis6" hidden="1">
              <a:extLst>
                <a:ext uri="{63B3BB69-23CF-44E3-9099-C40C66FF867C}">
                  <a14:compatExt spid="_x0000_s326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26681" name="DropDowns_Demo7" hidden="1">
              <a:extLst>
                <a:ext uri="{63B3BB69-23CF-44E3-9099-C40C66FF867C}">
                  <a14:compatExt spid="_x0000_s326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26682" name="CheckBox_Demo7" hidden="1">
              <a:extLst>
                <a:ext uri="{63B3BB69-23CF-44E3-9099-C40C66FF867C}">
                  <a14:compatExt spid="_x0000_s326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26683" name="DropDowns_Demo_Bis7" hidden="1">
              <a:extLst>
                <a:ext uri="{63B3BB69-23CF-44E3-9099-C40C66FF867C}">
                  <a14:compatExt spid="_x0000_s326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26684" name="CheckBox_Demo_Bis7" hidden="1">
              <a:extLst>
                <a:ext uri="{63B3BB69-23CF-44E3-9099-C40C66FF867C}">
                  <a14:compatExt spid="_x0000_s326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26685" name="DropDowns_Demo8" hidden="1">
              <a:extLst>
                <a:ext uri="{63B3BB69-23CF-44E3-9099-C40C66FF867C}">
                  <a14:compatExt spid="_x0000_s326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26686" name="CheckBox_Demo8" hidden="1">
              <a:extLst>
                <a:ext uri="{63B3BB69-23CF-44E3-9099-C40C66FF867C}">
                  <a14:compatExt spid="_x0000_s326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26687" name="DropDowns_Demo_Bis8" hidden="1">
              <a:extLst>
                <a:ext uri="{63B3BB69-23CF-44E3-9099-C40C66FF867C}">
                  <a14:compatExt spid="_x0000_s326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26688" name="CheckBox_Demo_Bis8" hidden="1">
              <a:extLst>
                <a:ext uri="{63B3BB69-23CF-44E3-9099-C40C66FF867C}">
                  <a14:compatExt spid="_x0000_s326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26689" name="DropDowns_Demo9" hidden="1">
              <a:extLst>
                <a:ext uri="{63B3BB69-23CF-44E3-9099-C40C66FF867C}">
                  <a14:compatExt spid="_x0000_s326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26690" name="CheckBox_Demo9" hidden="1">
              <a:extLst>
                <a:ext uri="{63B3BB69-23CF-44E3-9099-C40C66FF867C}">
                  <a14:compatExt spid="_x0000_s326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26691" name="DropDowns_Demo_Bis9" hidden="1">
              <a:extLst>
                <a:ext uri="{63B3BB69-23CF-44E3-9099-C40C66FF867C}">
                  <a14:compatExt spid="_x0000_s326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26692" name="CheckBox_Demo_Bis9" hidden="1">
              <a:extLst>
                <a:ext uri="{63B3BB69-23CF-44E3-9099-C40C66FF867C}">
                  <a14:compatExt spid="_x0000_s326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26693" name="DropDowns_Demo10" hidden="1">
              <a:extLst>
                <a:ext uri="{63B3BB69-23CF-44E3-9099-C40C66FF867C}">
                  <a14:compatExt spid="_x0000_s326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26694" name="CheckBox_Demo10" hidden="1">
              <a:extLst>
                <a:ext uri="{63B3BB69-23CF-44E3-9099-C40C66FF867C}">
                  <a14:compatExt spid="_x0000_s326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26695" name="DropDowns_Demo_Bis10" hidden="1">
              <a:extLst>
                <a:ext uri="{63B3BB69-23CF-44E3-9099-C40C66FF867C}">
                  <a14:compatExt spid="_x0000_s326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26696" name="CheckBox_Demo_Bis10" hidden="1">
              <a:extLst>
                <a:ext uri="{63B3BB69-23CF-44E3-9099-C40C66FF867C}">
                  <a14:compatExt spid="_x0000_s326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26697" name="Button 41" hidden="1">
              <a:extLst>
                <a:ext uri="{63B3BB69-23CF-44E3-9099-C40C66FF867C}">
                  <a14:compatExt spid="_x0000_s326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26698" name="Button 42" hidden="1">
              <a:extLst>
                <a:ext uri="{63B3BB69-23CF-44E3-9099-C40C66FF867C}">
                  <a14:compatExt spid="_x0000_s326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26699" name="Button 43" hidden="1">
              <a:extLst>
                <a:ext uri="{63B3BB69-23CF-44E3-9099-C40C66FF867C}">
                  <a14:compatExt spid="_x0000_s326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7" sqref="D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7" t="s">
        <v>6</v>
      </c>
      <c r="G2" s="187"/>
      <c r="H2" s="187"/>
      <c r="J2" s="187" t="s">
        <v>7</v>
      </c>
      <c r="K2" s="187"/>
      <c r="L2" s="187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142</v>
      </c>
      <c r="J4" s="9" t="s">
        <v>225</v>
      </c>
      <c r="K4" s="9" t="s">
        <v>8</v>
      </c>
      <c r="L4" s="9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135</v>
      </c>
      <c r="J6" s="5" t="s">
        <v>10</v>
      </c>
      <c r="K6" s="5" t="s">
        <v>8</v>
      </c>
      <c r="L6" s="5" t="s">
        <v>135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9" t="s">
        <v>226</v>
      </c>
      <c r="B1" s="199"/>
      <c r="C1" s="33"/>
      <c r="D1" s="194" t="s">
        <v>227</v>
      </c>
      <c r="E1" s="196"/>
      <c r="F1" s="196"/>
      <c r="G1" s="196"/>
      <c r="H1" s="196"/>
      <c r="I1" s="196"/>
      <c r="J1" s="196"/>
      <c r="K1" s="34"/>
      <c r="L1" s="194" t="s">
        <v>28</v>
      </c>
      <c r="M1" s="196"/>
      <c r="N1" s="196"/>
      <c r="O1" s="196"/>
      <c r="P1" s="195"/>
      <c r="Q1" s="34"/>
      <c r="R1" s="194" t="s">
        <v>29</v>
      </c>
      <c r="S1" s="195"/>
      <c r="T1" s="34"/>
      <c r="U1" s="194" t="s">
        <v>160</v>
      </c>
      <c r="V1" s="196"/>
      <c r="W1" s="196"/>
      <c r="X1" s="196"/>
      <c r="Y1" s="195"/>
      <c r="Z1" s="34"/>
      <c r="AA1" s="194" t="s">
        <v>413</v>
      </c>
      <c r="AB1" s="196"/>
      <c r="AC1" s="196"/>
      <c r="AD1" s="196"/>
      <c r="AE1" s="196"/>
      <c r="AF1" s="196"/>
      <c r="AG1" s="196"/>
      <c r="AH1" s="196"/>
      <c r="AI1" s="196"/>
      <c r="AJ1" s="195"/>
      <c r="AK1" s="34"/>
      <c r="AL1" s="194" t="s">
        <v>161</v>
      </c>
      <c r="AM1" s="196"/>
      <c r="AN1" s="196"/>
      <c r="AO1" s="196"/>
      <c r="AP1" s="196"/>
      <c r="AQ1" s="195"/>
      <c r="AR1" s="34"/>
      <c r="AS1" s="194" t="s">
        <v>414</v>
      </c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5"/>
      <c r="BG1" s="34"/>
      <c r="BH1" s="194" t="s">
        <v>162</v>
      </c>
      <c r="BI1" s="196"/>
      <c r="BJ1" s="196"/>
      <c r="BK1" s="195"/>
      <c r="BL1" s="34"/>
      <c r="BM1" s="194" t="s">
        <v>143</v>
      </c>
      <c r="BN1" s="196"/>
      <c r="BO1" s="196"/>
      <c r="BP1" s="196"/>
      <c r="BQ1" s="195"/>
      <c r="BR1" s="34"/>
      <c r="BS1" s="194" t="s">
        <v>163</v>
      </c>
      <c r="BT1" s="196"/>
      <c r="BU1" s="196"/>
      <c r="BV1" s="195"/>
    </row>
    <row r="2" spans="1:74" ht="273.75">
      <c r="A2" s="197" t="s">
        <v>415</v>
      </c>
      <c r="B2" s="197"/>
      <c r="C2" s="198"/>
      <c r="D2" s="35">
        <v>2016</v>
      </c>
      <c r="E2" s="35">
        <v>2015</v>
      </c>
      <c r="F2" s="35" t="s">
        <v>416</v>
      </c>
      <c r="G2" s="35" t="s">
        <v>417</v>
      </c>
      <c r="H2" s="35" t="s">
        <v>418</v>
      </c>
      <c r="I2" s="35" t="s">
        <v>419</v>
      </c>
      <c r="J2" s="35" t="s">
        <v>420</v>
      </c>
      <c r="K2" s="34"/>
      <c r="L2" s="35" t="s">
        <v>228</v>
      </c>
      <c r="M2" s="35" t="s">
        <v>229</v>
      </c>
      <c r="N2" s="35" t="s">
        <v>230</v>
      </c>
      <c r="O2" s="35" t="s">
        <v>231</v>
      </c>
      <c r="P2" s="35" t="s">
        <v>232</v>
      </c>
      <c r="Q2" s="34"/>
      <c r="R2" s="35" t="s">
        <v>233</v>
      </c>
      <c r="S2" s="35" t="s">
        <v>234</v>
      </c>
      <c r="T2" s="34"/>
      <c r="U2" s="35" t="s">
        <v>421</v>
      </c>
      <c r="V2" s="35" t="s">
        <v>422</v>
      </c>
      <c r="W2" s="35" t="s">
        <v>423</v>
      </c>
      <c r="X2" s="35" t="s">
        <v>424</v>
      </c>
      <c r="Y2" s="35" t="s">
        <v>425</v>
      </c>
      <c r="Z2" s="34"/>
      <c r="AA2" s="149" t="s">
        <v>426</v>
      </c>
      <c r="AB2" s="149" t="s">
        <v>427</v>
      </c>
      <c r="AC2" s="149" t="s">
        <v>428</v>
      </c>
      <c r="AD2" s="149" t="s">
        <v>429</v>
      </c>
      <c r="AE2" s="149" t="s">
        <v>430</v>
      </c>
      <c r="AF2" s="149" t="s">
        <v>431</v>
      </c>
      <c r="AG2" s="149" t="s">
        <v>432</v>
      </c>
      <c r="AH2" s="149" t="s">
        <v>433</v>
      </c>
      <c r="AI2" s="149" t="s">
        <v>434</v>
      </c>
      <c r="AJ2" s="149" t="s">
        <v>435</v>
      </c>
      <c r="AK2" s="34"/>
      <c r="AL2" s="35" t="s">
        <v>436</v>
      </c>
      <c r="AM2" s="35" t="s">
        <v>437</v>
      </c>
      <c r="AN2" s="35" t="s">
        <v>438</v>
      </c>
      <c r="AO2" s="35" t="s">
        <v>439</v>
      </c>
      <c r="AP2" s="35" t="s">
        <v>440</v>
      </c>
      <c r="AQ2" s="35" t="s">
        <v>441</v>
      </c>
      <c r="AR2" s="34"/>
      <c r="AS2" s="35" t="s">
        <v>442</v>
      </c>
      <c r="AT2" s="35" t="s">
        <v>443</v>
      </c>
      <c r="AU2" s="35" t="s">
        <v>444</v>
      </c>
      <c r="AV2" s="35" t="s">
        <v>445</v>
      </c>
      <c r="AW2" s="35" t="s">
        <v>446</v>
      </c>
      <c r="AX2" s="35" t="s">
        <v>447</v>
      </c>
      <c r="AY2" s="35" t="s">
        <v>448</v>
      </c>
      <c r="AZ2" s="35" t="s">
        <v>449</v>
      </c>
      <c r="BA2" s="35" t="s">
        <v>450</v>
      </c>
      <c r="BB2" s="35" t="s">
        <v>451</v>
      </c>
      <c r="BC2" s="35" t="s">
        <v>452</v>
      </c>
      <c r="BD2" s="35" t="s">
        <v>453</v>
      </c>
      <c r="BE2" s="35" t="s">
        <v>454</v>
      </c>
      <c r="BF2" s="35" t="s">
        <v>455</v>
      </c>
      <c r="BG2" s="34"/>
      <c r="BH2" s="35" t="s">
        <v>235</v>
      </c>
      <c r="BI2" s="35" t="s">
        <v>236</v>
      </c>
      <c r="BJ2" s="35" t="s">
        <v>237</v>
      </c>
      <c r="BK2" s="35" t="s">
        <v>238</v>
      </c>
      <c r="BL2" s="34"/>
      <c r="BM2" s="35" t="s">
        <v>239</v>
      </c>
      <c r="BN2" s="35" t="s">
        <v>240</v>
      </c>
      <c r="BO2" s="35" t="s">
        <v>241</v>
      </c>
      <c r="BP2" s="35" t="s">
        <v>242</v>
      </c>
      <c r="BQ2" s="35" t="s">
        <v>243</v>
      </c>
      <c r="BR2" s="34"/>
      <c r="BS2" s="35" t="s">
        <v>456</v>
      </c>
      <c r="BT2" s="35" t="s">
        <v>236</v>
      </c>
      <c r="BU2" s="35" t="s">
        <v>237</v>
      </c>
      <c r="BV2" s="35" t="s">
        <v>238</v>
      </c>
    </row>
    <row r="3" spans="1:74">
      <c r="A3" s="36"/>
      <c r="B3" s="36"/>
      <c r="C3" s="37" t="s">
        <v>244</v>
      </c>
      <c r="D3" s="38">
        <v>4886</v>
      </c>
      <c r="E3" s="38">
        <v>4735</v>
      </c>
      <c r="F3" s="38"/>
      <c r="G3" s="38"/>
      <c r="H3" s="38"/>
      <c r="I3" s="38"/>
      <c r="J3" s="38"/>
      <c r="K3" s="34"/>
      <c r="L3" s="38">
        <v>292</v>
      </c>
      <c r="M3" s="38">
        <v>1996</v>
      </c>
      <c r="N3" s="38">
        <v>1426</v>
      </c>
      <c r="O3" s="38">
        <v>736</v>
      </c>
      <c r="P3" s="38">
        <v>248</v>
      </c>
      <c r="Q3" s="34"/>
      <c r="R3" s="38">
        <v>2476</v>
      </c>
      <c r="S3" s="38">
        <v>2191</v>
      </c>
      <c r="T3" s="34"/>
      <c r="U3" s="38">
        <v>12</v>
      </c>
      <c r="V3" s="38">
        <v>360</v>
      </c>
      <c r="W3" s="38">
        <v>2276</v>
      </c>
      <c r="X3" s="38">
        <v>1542</v>
      </c>
      <c r="Y3" s="38">
        <v>500</v>
      </c>
      <c r="Z3" s="34"/>
      <c r="AA3" s="38">
        <v>74</v>
      </c>
      <c r="AB3" s="38">
        <v>139</v>
      </c>
      <c r="AC3" s="38">
        <v>979</v>
      </c>
      <c r="AD3" s="38">
        <v>794</v>
      </c>
      <c r="AE3" s="38">
        <v>386</v>
      </c>
      <c r="AF3" s="38">
        <v>426</v>
      </c>
      <c r="AG3" s="38">
        <v>536</v>
      </c>
      <c r="AH3" s="38">
        <v>877</v>
      </c>
      <c r="AI3" s="38">
        <v>396</v>
      </c>
      <c r="AJ3" s="38">
        <v>42</v>
      </c>
      <c r="AK3" s="34"/>
      <c r="AL3" s="38">
        <v>425</v>
      </c>
      <c r="AM3" s="38">
        <v>1125</v>
      </c>
      <c r="AN3" s="38">
        <v>1198</v>
      </c>
      <c r="AO3" s="38">
        <v>412</v>
      </c>
      <c r="AP3" s="38">
        <v>791</v>
      </c>
      <c r="AQ3" s="38">
        <v>719</v>
      </c>
      <c r="AR3" s="34"/>
      <c r="AS3" s="38">
        <v>8</v>
      </c>
      <c r="AT3" s="38">
        <v>14</v>
      </c>
      <c r="AU3" s="38">
        <v>41</v>
      </c>
      <c r="AV3" s="38">
        <v>199</v>
      </c>
      <c r="AW3" s="38">
        <v>2612</v>
      </c>
      <c r="AX3" s="38">
        <v>95</v>
      </c>
      <c r="AY3" s="38">
        <v>21</v>
      </c>
      <c r="AZ3" s="38">
        <v>170</v>
      </c>
      <c r="BA3" s="38">
        <v>102</v>
      </c>
      <c r="BB3" s="38">
        <v>60</v>
      </c>
      <c r="BC3" s="38">
        <v>1478</v>
      </c>
      <c r="BD3" s="38">
        <v>73</v>
      </c>
      <c r="BE3" s="38">
        <v>3</v>
      </c>
      <c r="BF3" s="38">
        <v>10</v>
      </c>
      <c r="BG3" s="34"/>
      <c r="BH3" s="38">
        <v>2444</v>
      </c>
      <c r="BI3" s="38">
        <v>1088</v>
      </c>
      <c r="BJ3" s="38">
        <v>501</v>
      </c>
      <c r="BK3" s="38">
        <v>116</v>
      </c>
      <c r="BL3" s="34"/>
      <c r="BM3" s="38">
        <v>680</v>
      </c>
      <c r="BN3" s="38">
        <v>940</v>
      </c>
      <c r="BO3" s="38">
        <v>101</v>
      </c>
      <c r="BP3" s="38">
        <v>1993</v>
      </c>
      <c r="BQ3" s="38">
        <v>218</v>
      </c>
      <c r="BR3" s="34"/>
      <c r="BS3" s="38">
        <v>789</v>
      </c>
      <c r="BT3" s="38">
        <v>283</v>
      </c>
      <c r="BU3" s="38">
        <v>450</v>
      </c>
      <c r="BV3" s="38">
        <v>317</v>
      </c>
    </row>
    <row r="4" spans="1:74">
      <c r="A4" s="39"/>
      <c r="B4" s="39"/>
      <c r="C4" s="40" t="s">
        <v>245</v>
      </c>
      <c r="D4" s="41">
        <v>5231</v>
      </c>
      <c r="E4" s="41">
        <v>5159</v>
      </c>
      <c r="F4" s="41"/>
      <c r="G4" s="41"/>
      <c r="H4" s="41"/>
      <c r="I4" s="41"/>
      <c r="J4" s="41"/>
      <c r="K4" s="34"/>
      <c r="L4" s="41"/>
      <c r="M4" s="41"/>
      <c r="N4" s="41"/>
      <c r="O4" s="41"/>
      <c r="P4" s="41"/>
      <c r="Q4" s="34"/>
      <c r="R4" s="41"/>
      <c r="S4" s="41"/>
      <c r="T4" s="34"/>
      <c r="U4" s="41"/>
      <c r="V4" s="41"/>
      <c r="W4" s="41"/>
      <c r="X4" s="41"/>
      <c r="Y4" s="41"/>
      <c r="Z4" s="34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34"/>
      <c r="AL4" s="41"/>
      <c r="AM4" s="41"/>
      <c r="AN4" s="41"/>
      <c r="AO4" s="41"/>
      <c r="AP4" s="41"/>
      <c r="AQ4" s="41"/>
      <c r="AR4" s="34"/>
      <c r="AS4" s="41">
        <v>9</v>
      </c>
      <c r="AT4" s="41">
        <v>22</v>
      </c>
      <c r="AU4" s="41">
        <v>43</v>
      </c>
      <c r="AV4" s="41">
        <v>219</v>
      </c>
      <c r="AW4" s="41">
        <v>2790</v>
      </c>
      <c r="AX4" s="41">
        <v>97</v>
      </c>
      <c r="AY4" s="41">
        <v>21</v>
      </c>
      <c r="AZ4" s="41">
        <v>179</v>
      </c>
      <c r="BA4" s="41">
        <v>109</v>
      </c>
      <c r="BB4" s="41">
        <v>62</v>
      </c>
      <c r="BC4" s="41">
        <v>1587</v>
      </c>
      <c r="BD4" s="41">
        <v>77</v>
      </c>
      <c r="BE4" s="41">
        <v>4</v>
      </c>
      <c r="BF4" s="41">
        <v>12</v>
      </c>
      <c r="BG4" s="34"/>
      <c r="BH4" s="41"/>
      <c r="BI4" s="41"/>
      <c r="BJ4" s="41"/>
      <c r="BK4" s="41"/>
      <c r="BL4" s="34"/>
      <c r="BM4" s="41"/>
      <c r="BN4" s="41"/>
      <c r="BO4" s="41"/>
      <c r="BP4" s="41"/>
      <c r="BQ4" s="41"/>
      <c r="BR4" s="34"/>
      <c r="BS4" s="41"/>
      <c r="BT4" s="41"/>
      <c r="BU4" s="41"/>
      <c r="BV4" s="41"/>
    </row>
    <row r="5" spans="1:74">
      <c r="A5" s="42"/>
      <c r="B5" s="42"/>
      <c r="C5" s="43" t="s">
        <v>246</v>
      </c>
      <c r="D5" s="44">
        <v>4735</v>
      </c>
      <c r="E5" s="44">
        <v>4504</v>
      </c>
      <c r="F5" s="44"/>
      <c r="G5" s="44"/>
      <c r="H5" s="44"/>
      <c r="I5" s="44"/>
      <c r="J5" s="44"/>
      <c r="K5" s="34"/>
      <c r="L5" s="44">
        <v>249</v>
      </c>
      <c r="M5" s="44">
        <v>1965</v>
      </c>
      <c r="N5" s="44">
        <v>1426</v>
      </c>
      <c r="O5" s="44">
        <v>733</v>
      </c>
      <c r="P5" s="44">
        <v>256</v>
      </c>
      <c r="Q5" s="34"/>
      <c r="R5" s="44">
        <v>2382</v>
      </c>
      <c r="S5" s="44">
        <v>2218</v>
      </c>
      <c r="T5" s="34"/>
      <c r="U5" s="44">
        <v>14</v>
      </c>
      <c r="V5" s="44">
        <v>413</v>
      </c>
      <c r="W5" s="44">
        <v>2318</v>
      </c>
      <c r="X5" s="44">
        <v>1467</v>
      </c>
      <c r="Y5" s="44">
        <v>425</v>
      </c>
      <c r="Z5" s="34"/>
      <c r="AA5" s="44">
        <v>65</v>
      </c>
      <c r="AB5" s="44">
        <v>121</v>
      </c>
      <c r="AC5" s="44">
        <v>895</v>
      </c>
      <c r="AD5" s="44">
        <v>768</v>
      </c>
      <c r="AE5" s="44">
        <v>265</v>
      </c>
      <c r="AF5" s="44">
        <v>519</v>
      </c>
      <c r="AG5" s="44">
        <v>572</v>
      </c>
      <c r="AH5" s="44">
        <v>937</v>
      </c>
      <c r="AI5" s="44">
        <v>444</v>
      </c>
      <c r="AJ5" s="44" t="s">
        <v>247</v>
      </c>
      <c r="AK5" s="34"/>
      <c r="AL5" s="44">
        <v>305</v>
      </c>
      <c r="AM5" s="44">
        <v>1135</v>
      </c>
      <c r="AN5" s="44">
        <v>1202</v>
      </c>
      <c r="AO5" s="44">
        <v>481</v>
      </c>
      <c r="AP5" s="44">
        <v>715</v>
      </c>
      <c r="AQ5" s="44">
        <v>773</v>
      </c>
      <c r="AR5" s="34"/>
      <c r="AS5" s="44">
        <v>22</v>
      </c>
      <c r="AT5" s="44">
        <v>10</v>
      </c>
      <c r="AU5" s="44">
        <v>47</v>
      </c>
      <c r="AV5" s="44">
        <v>187</v>
      </c>
      <c r="AW5" s="44">
        <v>2535</v>
      </c>
      <c r="AX5" s="44">
        <v>89</v>
      </c>
      <c r="AY5" s="44" t="s">
        <v>247</v>
      </c>
      <c r="AZ5" s="44">
        <v>159</v>
      </c>
      <c r="BA5" s="44">
        <v>99</v>
      </c>
      <c r="BB5" s="44">
        <v>55</v>
      </c>
      <c r="BC5" s="44">
        <v>1432</v>
      </c>
      <c r="BD5" s="44">
        <v>77</v>
      </c>
      <c r="BE5" s="44">
        <v>5</v>
      </c>
      <c r="BF5" s="44">
        <v>11</v>
      </c>
      <c r="BG5" s="34"/>
      <c r="BH5" s="44">
        <v>2773</v>
      </c>
      <c r="BI5" s="44">
        <v>1087</v>
      </c>
      <c r="BJ5" s="44">
        <v>595</v>
      </c>
      <c r="BK5" s="44">
        <v>110</v>
      </c>
      <c r="BL5" s="34"/>
      <c r="BM5" s="44">
        <v>764</v>
      </c>
      <c r="BN5" s="44">
        <v>1235</v>
      </c>
      <c r="BO5" s="44">
        <v>132</v>
      </c>
      <c r="BP5" s="44">
        <v>2149</v>
      </c>
      <c r="BQ5" s="44">
        <v>297</v>
      </c>
      <c r="BR5" s="34"/>
      <c r="BS5" s="44" t="s">
        <v>247</v>
      </c>
      <c r="BT5" s="44" t="s">
        <v>247</v>
      </c>
      <c r="BU5" s="44" t="s">
        <v>247</v>
      </c>
      <c r="BV5" s="44" t="s">
        <v>247</v>
      </c>
    </row>
    <row r="6" spans="1:74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</row>
    <row r="7" spans="1:74">
      <c r="A7" s="203" t="s">
        <v>248</v>
      </c>
      <c r="B7" s="204"/>
      <c r="C7" s="205"/>
      <c r="D7" s="47">
        <v>85.93</v>
      </c>
      <c r="E7" s="47">
        <v>82.67</v>
      </c>
      <c r="F7" s="47">
        <v>89.46</v>
      </c>
      <c r="G7" s="47">
        <v>79.150000000000006</v>
      </c>
      <c r="H7" s="48">
        <v>3.2600000000000051</v>
      </c>
      <c r="I7" s="48">
        <v>-3.5299999999999869</v>
      </c>
      <c r="J7" s="48">
        <v>6.7800000000000011</v>
      </c>
      <c r="K7" s="34"/>
      <c r="L7" s="47">
        <v>90.45</v>
      </c>
      <c r="M7" s="47">
        <v>86.08</v>
      </c>
      <c r="N7" s="47">
        <v>84.35</v>
      </c>
      <c r="O7" s="47">
        <v>87.74</v>
      </c>
      <c r="P7" s="47">
        <v>90.43</v>
      </c>
      <c r="Q7" s="34"/>
      <c r="R7" s="47">
        <v>86.53</v>
      </c>
      <c r="S7" s="47">
        <v>86.24</v>
      </c>
      <c r="T7" s="34"/>
      <c r="U7" s="47">
        <v>76.19</v>
      </c>
      <c r="V7" s="47">
        <v>87.14</v>
      </c>
      <c r="W7" s="47">
        <v>86.86</v>
      </c>
      <c r="X7" s="47">
        <v>85.18</v>
      </c>
      <c r="Y7" s="47">
        <v>87.05</v>
      </c>
      <c r="Z7" s="34"/>
      <c r="AA7" s="47">
        <v>93.53</v>
      </c>
      <c r="AB7" s="47">
        <v>91.83</v>
      </c>
      <c r="AC7" s="47">
        <v>88.97</v>
      </c>
      <c r="AD7" s="47">
        <v>83.86</v>
      </c>
      <c r="AE7" s="47">
        <v>84.1</v>
      </c>
      <c r="AF7" s="47">
        <v>78.73</v>
      </c>
      <c r="AG7" s="47">
        <v>86.35</v>
      </c>
      <c r="AH7" s="47">
        <v>87.52</v>
      </c>
      <c r="AI7" s="47">
        <v>90.4</v>
      </c>
      <c r="AJ7" s="47">
        <v>79.88</v>
      </c>
      <c r="AK7" s="34"/>
      <c r="AL7" s="47">
        <v>91.75</v>
      </c>
      <c r="AM7" s="47">
        <v>87.14</v>
      </c>
      <c r="AN7" s="47">
        <v>84.41</v>
      </c>
      <c r="AO7" s="47">
        <v>79.94</v>
      </c>
      <c r="AP7" s="47">
        <v>87.42</v>
      </c>
      <c r="AQ7" s="47">
        <v>88.24</v>
      </c>
      <c r="AR7" s="34"/>
      <c r="AS7" s="47">
        <v>70.28</v>
      </c>
      <c r="AT7" s="47">
        <v>93.52</v>
      </c>
      <c r="AU7" s="47">
        <v>81.7</v>
      </c>
      <c r="AV7" s="47">
        <v>85.8</v>
      </c>
      <c r="AW7" s="47">
        <v>86.78</v>
      </c>
      <c r="AX7" s="47">
        <v>83.81</v>
      </c>
      <c r="AY7" s="47">
        <v>96.24</v>
      </c>
      <c r="AZ7" s="47">
        <v>90.49</v>
      </c>
      <c r="BA7" s="47">
        <v>78.42</v>
      </c>
      <c r="BB7" s="47">
        <v>89.17</v>
      </c>
      <c r="BC7" s="47">
        <v>84.63</v>
      </c>
      <c r="BD7" s="47">
        <v>81.78</v>
      </c>
      <c r="BE7" s="47" t="s">
        <v>249</v>
      </c>
      <c r="BF7" s="47">
        <v>97.14</v>
      </c>
      <c r="BG7" s="34"/>
      <c r="BH7" s="47">
        <v>92.06</v>
      </c>
      <c r="BI7" s="47">
        <v>82.99</v>
      </c>
      <c r="BJ7" s="47">
        <v>73.010000000000005</v>
      </c>
      <c r="BK7" s="47">
        <v>58.22</v>
      </c>
      <c r="BL7" s="34"/>
      <c r="BM7" s="47">
        <v>88.46</v>
      </c>
      <c r="BN7" s="47">
        <v>81.81</v>
      </c>
      <c r="BO7" s="47">
        <v>69.47</v>
      </c>
      <c r="BP7" s="47">
        <v>90.75</v>
      </c>
      <c r="BQ7" s="47">
        <v>71.900000000000006</v>
      </c>
      <c r="BR7" s="34"/>
      <c r="BS7" s="47">
        <v>93.66</v>
      </c>
      <c r="BT7" s="47">
        <v>88.03</v>
      </c>
      <c r="BU7" s="47">
        <v>82.62</v>
      </c>
      <c r="BV7" s="47">
        <v>65.010000000000005</v>
      </c>
    </row>
    <row r="8" spans="1:74">
      <c r="A8" s="206" t="s">
        <v>250</v>
      </c>
      <c r="B8" s="207"/>
      <c r="C8" s="208"/>
      <c r="D8" s="47">
        <v>81.56</v>
      </c>
      <c r="E8" s="47">
        <v>77.59</v>
      </c>
      <c r="F8" s="47">
        <v>88.6</v>
      </c>
      <c r="G8" s="47">
        <v>77.23</v>
      </c>
      <c r="H8" s="48">
        <v>3.9699999999999989</v>
      </c>
      <c r="I8" s="48">
        <v>-7.039999999999992</v>
      </c>
      <c r="J8" s="48">
        <v>4.3299999999999983</v>
      </c>
      <c r="K8" s="34"/>
      <c r="L8" s="47">
        <v>84.9</v>
      </c>
      <c r="M8" s="47">
        <v>80.59</v>
      </c>
      <c r="N8" s="47">
        <v>81</v>
      </c>
      <c r="O8" s="47">
        <v>84.36</v>
      </c>
      <c r="P8" s="47">
        <v>87.34</v>
      </c>
      <c r="Q8" s="34"/>
      <c r="R8" s="47">
        <v>82.52</v>
      </c>
      <c r="S8" s="47">
        <v>81.34</v>
      </c>
      <c r="T8" s="34"/>
      <c r="U8" s="47">
        <v>78.209999999999994</v>
      </c>
      <c r="V8" s="47">
        <v>80.63</v>
      </c>
      <c r="W8" s="47">
        <v>81.92</v>
      </c>
      <c r="X8" s="47">
        <v>81.260000000000005</v>
      </c>
      <c r="Y8" s="47">
        <v>85.26</v>
      </c>
      <c r="Z8" s="34"/>
      <c r="AA8" s="47">
        <v>93.66</v>
      </c>
      <c r="AB8" s="47">
        <v>89.43</v>
      </c>
      <c r="AC8" s="47">
        <v>85.92</v>
      </c>
      <c r="AD8" s="47">
        <v>81.99</v>
      </c>
      <c r="AE8" s="47">
        <v>79.41</v>
      </c>
      <c r="AF8" s="47">
        <v>74.709999999999994</v>
      </c>
      <c r="AG8" s="47">
        <v>79.209999999999994</v>
      </c>
      <c r="AH8" s="47">
        <v>81.94</v>
      </c>
      <c r="AI8" s="47">
        <v>82.09</v>
      </c>
      <c r="AJ8" s="47">
        <v>80.540000000000006</v>
      </c>
      <c r="AK8" s="34"/>
      <c r="AL8" s="47">
        <v>87.01</v>
      </c>
      <c r="AM8" s="47">
        <v>82.15</v>
      </c>
      <c r="AN8" s="47">
        <v>78.97</v>
      </c>
      <c r="AO8" s="47">
        <v>76.930000000000007</v>
      </c>
      <c r="AP8" s="47">
        <v>83.93</v>
      </c>
      <c r="AQ8" s="47">
        <v>84.79</v>
      </c>
      <c r="AR8" s="34"/>
      <c r="AS8" s="47">
        <v>62.23</v>
      </c>
      <c r="AT8" s="47">
        <v>94.29</v>
      </c>
      <c r="AU8" s="47">
        <v>80.44</v>
      </c>
      <c r="AV8" s="47">
        <v>83.68</v>
      </c>
      <c r="AW8" s="47">
        <v>81.459999999999994</v>
      </c>
      <c r="AX8" s="47">
        <v>84.28</v>
      </c>
      <c r="AY8" s="47">
        <v>91.48</v>
      </c>
      <c r="AZ8" s="47">
        <v>90.16</v>
      </c>
      <c r="BA8" s="47">
        <v>79.81</v>
      </c>
      <c r="BB8" s="47">
        <v>87.3</v>
      </c>
      <c r="BC8" s="47">
        <v>79.87</v>
      </c>
      <c r="BD8" s="47">
        <v>83.85</v>
      </c>
      <c r="BE8" s="47" t="s">
        <v>249</v>
      </c>
      <c r="BF8" s="47">
        <v>95.38</v>
      </c>
      <c r="BG8" s="34"/>
      <c r="BH8" s="47">
        <v>87.65</v>
      </c>
      <c r="BI8" s="47">
        <v>78.34</v>
      </c>
      <c r="BJ8" s="47">
        <v>69.09</v>
      </c>
      <c r="BK8" s="47">
        <v>54.71</v>
      </c>
      <c r="BL8" s="34"/>
      <c r="BM8" s="47">
        <v>84.45</v>
      </c>
      <c r="BN8" s="47">
        <v>75.67</v>
      </c>
      <c r="BO8" s="47">
        <v>62.34</v>
      </c>
      <c r="BP8" s="47">
        <v>87.24</v>
      </c>
      <c r="BQ8" s="47">
        <v>66.099999999999994</v>
      </c>
      <c r="BR8" s="34"/>
      <c r="BS8" s="47">
        <v>89.83</v>
      </c>
      <c r="BT8" s="47">
        <v>83.54</v>
      </c>
      <c r="BU8" s="47">
        <v>77.73</v>
      </c>
      <c r="BV8" s="47">
        <v>61.02</v>
      </c>
    </row>
    <row r="9" spans="1:74">
      <c r="A9" s="209" t="s">
        <v>251</v>
      </c>
      <c r="B9" s="210"/>
      <c r="C9" s="211"/>
      <c r="D9" s="47">
        <v>77.78</v>
      </c>
      <c r="E9" s="47">
        <v>73.56</v>
      </c>
      <c r="F9" s="47">
        <v>84.91</v>
      </c>
      <c r="G9" s="47">
        <v>75.44</v>
      </c>
      <c r="H9" s="48">
        <v>4.2199999999999989</v>
      </c>
      <c r="I9" s="48">
        <v>-7.1299999999999955</v>
      </c>
      <c r="J9" s="48">
        <v>2.3400000000000034</v>
      </c>
      <c r="K9" s="34"/>
      <c r="L9" s="47">
        <v>85.2</v>
      </c>
      <c r="M9" s="47">
        <v>77.400000000000006</v>
      </c>
      <c r="N9" s="47">
        <v>75.959999999999994</v>
      </c>
      <c r="O9" s="47">
        <v>79.81</v>
      </c>
      <c r="P9" s="47">
        <v>83.12</v>
      </c>
      <c r="Q9" s="34"/>
      <c r="R9" s="47">
        <v>78.27</v>
      </c>
      <c r="S9" s="47">
        <v>78.02</v>
      </c>
      <c r="T9" s="34"/>
      <c r="U9" s="47">
        <v>80.489999999999995</v>
      </c>
      <c r="V9" s="47">
        <v>78.47</v>
      </c>
      <c r="W9" s="47">
        <v>78.739999999999995</v>
      </c>
      <c r="X9" s="47">
        <v>76.790000000000006</v>
      </c>
      <c r="Y9" s="47">
        <v>79.03</v>
      </c>
      <c r="Z9" s="34"/>
      <c r="AA9" s="47">
        <v>87.16</v>
      </c>
      <c r="AB9" s="47">
        <v>83.33</v>
      </c>
      <c r="AC9" s="47">
        <v>81.790000000000006</v>
      </c>
      <c r="AD9" s="47">
        <v>75.37</v>
      </c>
      <c r="AE9" s="47">
        <v>74.319999999999993</v>
      </c>
      <c r="AF9" s="47">
        <v>69.97</v>
      </c>
      <c r="AG9" s="47">
        <v>77.64</v>
      </c>
      <c r="AH9" s="47">
        <v>79.180000000000007</v>
      </c>
      <c r="AI9" s="47">
        <v>83.27</v>
      </c>
      <c r="AJ9" s="47">
        <v>72.260000000000005</v>
      </c>
      <c r="AK9" s="34"/>
      <c r="AL9" s="47">
        <v>87.17</v>
      </c>
      <c r="AM9" s="47">
        <v>79.760000000000005</v>
      </c>
      <c r="AN9" s="47">
        <v>74.66</v>
      </c>
      <c r="AO9" s="47">
        <v>72.42</v>
      </c>
      <c r="AP9" s="47">
        <v>77.63</v>
      </c>
      <c r="AQ9" s="47">
        <v>80.38</v>
      </c>
      <c r="AR9" s="34"/>
      <c r="AS9" s="47">
        <v>67.959999999999994</v>
      </c>
      <c r="AT9" s="47">
        <v>91.07</v>
      </c>
      <c r="AU9" s="47">
        <v>74.040000000000006</v>
      </c>
      <c r="AV9" s="47">
        <v>74.45</v>
      </c>
      <c r="AW9" s="47">
        <v>78.72</v>
      </c>
      <c r="AX9" s="47">
        <v>76.58</v>
      </c>
      <c r="AY9" s="47">
        <v>81.349999999999994</v>
      </c>
      <c r="AZ9" s="47">
        <v>80.63</v>
      </c>
      <c r="BA9" s="47">
        <v>70.56</v>
      </c>
      <c r="BB9" s="47">
        <v>81.760000000000005</v>
      </c>
      <c r="BC9" s="47">
        <v>76.849999999999994</v>
      </c>
      <c r="BD9" s="47">
        <v>73.540000000000006</v>
      </c>
      <c r="BE9" s="47" t="s">
        <v>249</v>
      </c>
      <c r="BF9" s="47">
        <v>85</v>
      </c>
      <c r="BG9" s="34"/>
      <c r="BH9" s="47">
        <v>83.2</v>
      </c>
      <c r="BI9" s="47">
        <v>74.31</v>
      </c>
      <c r="BJ9" s="47">
        <v>66.7</v>
      </c>
      <c r="BK9" s="47">
        <v>56.94</v>
      </c>
      <c r="BL9" s="34"/>
      <c r="BM9" s="47">
        <v>79.25</v>
      </c>
      <c r="BN9" s="47">
        <v>73.47</v>
      </c>
      <c r="BO9" s="47">
        <v>59.43</v>
      </c>
      <c r="BP9" s="47">
        <v>82.97</v>
      </c>
      <c r="BQ9" s="47">
        <v>62.41</v>
      </c>
      <c r="BR9" s="34"/>
      <c r="BS9" s="47">
        <v>85.29</v>
      </c>
      <c r="BT9" s="47">
        <v>79.36</v>
      </c>
      <c r="BU9" s="47">
        <v>73.209999999999994</v>
      </c>
      <c r="BV9" s="47">
        <v>61.49</v>
      </c>
    </row>
    <row r="10" spans="1:74">
      <c r="A10" s="212" t="s">
        <v>252</v>
      </c>
      <c r="B10" s="213"/>
      <c r="C10" s="214"/>
      <c r="D10" s="47">
        <v>83.3</v>
      </c>
      <c r="E10" s="47">
        <v>78.540000000000006</v>
      </c>
      <c r="F10" s="47">
        <v>90.36</v>
      </c>
      <c r="G10" s="47">
        <v>80.28</v>
      </c>
      <c r="H10" s="48">
        <v>4.7599999999999909</v>
      </c>
      <c r="I10" s="48">
        <v>-7.0600000000000023</v>
      </c>
      <c r="J10" s="48">
        <v>3.019999999999996</v>
      </c>
      <c r="K10" s="34"/>
      <c r="L10" s="47">
        <v>83.54</v>
      </c>
      <c r="M10" s="47">
        <v>81.03</v>
      </c>
      <c r="N10" s="47">
        <v>83.26</v>
      </c>
      <c r="O10" s="47">
        <v>88.56</v>
      </c>
      <c r="P10" s="47">
        <v>91.07</v>
      </c>
      <c r="Q10" s="34"/>
      <c r="R10" s="47">
        <v>83.68</v>
      </c>
      <c r="S10" s="47">
        <v>83.52</v>
      </c>
      <c r="T10" s="34"/>
      <c r="U10" s="47">
        <v>84.38</v>
      </c>
      <c r="V10" s="47">
        <v>84.66</v>
      </c>
      <c r="W10" s="47">
        <v>83.78</v>
      </c>
      <c r="X10" s="47">
        <v>82.02</v>
      </c>
      <c r="Y10" s="47">
        <v>86.82</v>
      </c>
      <c r="Z10" s="34"/>
      <c r="AA10" s="47">
        <v>94.93</v>
      </c>
      <c r="AB10" s="47">
        <v>92.27</v>
      </c>
      <c r="AC10" s="47">
        <v>89.09</v>
      </c>
      <c r="AD10" s="47">
        <v>82.97</v>
      </c>
      <c r="AE10" s="47">
        <v>81.58</v>
      </c>
      <c r="AF10" s="47">
        <v>76.73</v>
      </c>
      <c r="AG10" s="47">
        <v>80.61</v>
      </c>
      <c r="AH10" s="47">
        <v>83.49</v>
      </c>
      <c r="AI10" s="47">
        <v>80.66</v>
      </c>
      <c r="AJ10" s="47">
        <v>76.23</v>
      </c>
      <c r="AK10" s="34"/>
      <c r="AL10" s="47">
        <v>86.67</v>
      </c>
      <c r="AM10" s="47">
        <v>82.73</v>
      </c>
      <c r="AN10" s="47">
        <v>79.88</v>
      </c>
      <c r="AO10" s="47">
        <v>80.069999999999993</v>
      </c>
      <c r="AP10" s="47">
        <v>86.61</v>
      </c>
      <c r="AQ10" s="47">
        <v>88.62</v>
      </c>
      <c r="AR10" s="34"/>
      <c r="AS10" s="47">
        <v>72.989999999999995</v>
      </c>
      <c r="AT10" s="47">
        <v>99.04</v>
      </c>
      <c r="AU10" s="47">
        <v>80</v>
      </c>
      <c r="AV10" s="47">
        <v>84.75</v>
      </c>
      <c r="AW10" s="47">
        <v>83.95</v>
      </c>
      <c r="AX10" s="47">
        <v>89.61</v>
      </c>
      <c r="AY10" s="47">
        <v>93.45</v>
      </c>
      <c r="AZ10" s="47">
        <v>88.73</v>
      </c>
      <c r="BA10" s="47">
        <v>76.319999999999993</v>
      </c>
      <c r="BB10" s="47">
        <v>90.11</v>
      </c>
      <c r="BC10" s="47">
        <v>80.97</v>
      </c>
      <c r="BD10" s="47">
        <v>81.84</v>
      </c>
      <c r="BE10" s="47" t="s">
        <v>249</v>
      </c>
      <c r="BF10" s="47">
        <v>96.25</v>
      </c>
      <c r="BG10" s="34"/>
      <c r="BH10" s="47">
        <v>87.6</v>
      </c>
      <c r="BI10" s="47">
        <v>81.8</v>
      </c>
      <c r="BJ10" s="47">
        <v>71.7</v>
      </c>
      <c r="BK10" s="47">
        <v>66.19</v>
      </c>
      <c r="BL10" s="34"/>
      <c r="BM10" s="47">
        <v>84.85</v>
      </c>
      <c r="BN10" s="47">
        <v>75.930000000000007</v>
      </c>
      <c r="BO10" s="47">
        <v>67.13</v>
      </c>
      <c r="BP10" s="47">
        <v>89.76</v>
      </c>
      <c r="BQ10" s="47">
        <v>66.989999999999995</v>
      </c>
      <c r="BR10" s="34"/>
      <c r="BS10" s="47">
        <v>89.45</v>
      </c>
      <c r="BT10" s="47">
        <v>84.49</v>
      </c>
      <c r="BU10" s="47">
        <v>80.319999999999993</v>
      </c>
      <c r="BV10" s="47">
        <v>67.36</v>
      </c>
    </row>
    <row r="11" spans="1:74">
      <c r="A11" s="215" t="s">
        <v>253</v>
      </c>
      <c r="B11" s="216"/>
      <c r="C11" s="217"/>
      <c r="D11" s="47">
        <v>86.19</v>
      </c>
      <c r="E11" s="47">
        <v>81.86</v>
      </c>
      <c r="F11" s="47">
        <v>92.63</v>
      </c>
      <c r="G11" s="47">
        <v>83.31</v>
      </c>
      <c r="H11" s="48">
        <v>4.3299999999999983</v>
      </c>
      <c r="I11" s="48">
        <v>-6.4399999999999977</v>
      </c>
      <c r="J11" s="48">
        <v>2.8799999999999955</v>
      </c>
      <c r="K11" s="34"/>
      <c r="L11" s="47">
        <v>90.58</v>
      </c>
      <c r="M11" s="47">
        <v>85.89</v>
      </c>
      <c r="N11" s="47">
        <v>85.08</v>
      </c>
      <c r="O11" s="47">
        <v>88.42</v>
      </c>
      <c r="P11" s="47">
        <v>90.24</v>
      </c>
      <c r="Q11" s="34"/>
      <c r="R11" s="47">
        <v>86.39</v>
      </c>
      <c r="S11" s="47">
        <v>86.83</v>
      </c>
      <c r="T11" s="34"/>
      <c r="U11" s="47">
        <v>78.33</v>
      </c>
      <c r="V11" s="47">
        <v>85.6</v>
      </c>
      <c r="W11" s="47">
        <v>86.75</v>
      </c>
      <c r="X11" s="47">
        <v>85.69</v>
      </c>
      <c r="Y11" s="47">
        <v>89.35</v>
      </c>
      <c r="Z11" s="34"/>
      <c r="AA11" s="47">
        <v>94.86</v>
      </c>
      <c r="AB11" s="47">
        <v>92.88</v>
      </c>
      <c r="AC11" s="47">
        <v>90.23</v>
      </c>
      <c r="AD11" s="47">
        <v>86.42</v>
      </c>
      <c r="AE11" s="47">
        <v>83.34</v>
      </c>
      <c r="AF11" s="47">
        <v>79.400000000000006</v>
      </c>
      <c r="AG11" s="47">
        <v>84.13</v>
      </c>
      <c r="AH11" s="47">
        <v>86.8</v>
      </c>
      <c r="AI11" s="47">
        <v>89.26</v>
      </c>
      <c r="AJ11" s="47">
        <v>80.28</v>
      </c>
      <c r="AK11" s="34"/>
      <c r="AL11" s="47">
        <v>91.77</v>
      </c>
      <c r="AM11" s="47">
        <v>87.67</v>
      </c>
      <c r="AN11" s="47">
        <v>83.75</v>
      </c>
      <c r="AO11" s="47">
        <v>81.36</v>
      </c>
      <c r="AP11" s="47">
        <v>88.32</v>
      </c>
      <c r="AQ11" s="47">
        <v>88.26</v>
      </c>
      <c r="AR11" s="34"/>
      <c r="AS11" s="47">
        <v>60.71</v>
      </c>
      <c r="AT11" s="47">
        <v>98.57</v>
      </c>
      <c r="AU11" s="47">
        <v>79.77</v>
      </c>
      <c r="AV11" s="47">
        <v>87.66</v>
      </c>
      <c r="AW11" s="47">
        <v>86.3</v>
      </c>
      <c r="AX11" s="47">
        <v>90.11</v>
      </c>
      <c r="AY11" s="47">
        <v>93.76</v>
      </c>
      <c r="AZ11" s="47">
        <v>92.57</v>
      </c>
      <c r="BA11" s="47">
        <v>79.37</v>
      </c>
      <c r="BB11" s="47">
        <v>91.39</v>
      </c>
      <c r="BC11" s="47">
        <v>85.14</v>
      </c>
      <c r="BD11" s="47">
        <v>86.85</v>
      </c>
      <c r="BE11" s="47" t="s">
        <v>249</v>
      </c>
      <c r="BF11" s="47">
        <v>91</v>
      </c>
      <c r="BG11" s="34"/>
      <c r="BH11" s="47">
        <v>90.98</v>
      </c>
      <c r="BI11" s="47">
        <v>84.03</v>
      </c>
      <c r="BJ11" s="47">
        <v>75.88</v>
      </c>
      <c r="BK11" s="47">
        <v>65.92</v>
      </c>
      <c r="BL11" s="34"/>
      <c r="BM11" s="47">
        <v>88.44</v>
      </c>
      <c r="BN11" s="47">
        <v>81.05</v>
      </c>
      <c r="BO11" s="47">
        <v>68.94</v>
      </c>
      <c r="BP11" s="47">
        <v>91.63</v>
      </c>
      <c r="BQ11" s="47">
        <v>70.739999999999995</v>
      </c>
      <c r="BR11" s="34"/>
      <c r="BS11" s="47">
        <v>93.27</v>
      </c>
      <c r="BT11" s="47">
        <v>88.22</v>
      </c>
      <c r="BU11" s="47">
        <v>84</v>
      </c>
      <c r="BV11" s="47">
        <v>70.72</v>
      </c>
    </row>
    <row r="12" spans="1:74">
      <c r="A12" s="49" t="s">
        <v>254</v>
      </c>
      <c r="B12" s="50">
        <v>58</v>
      </c>
      <c r="C12" s="51" t="s">
        <v>255</v>
      </c>
      <c r="D12" s="52">
        <v>84.08</v>
      </c>
      <c r="E12" s="52">
        <v>79.319999999999993</v>
      </c>
      <c r="F12" s="52">
        <v>91.62</v>
      </c>
      <c r="G12" s="52">
        <v>82.28</v>
      </c>
      <c r="H12" s="53">
        <v>4.7600000000000051</v>
      </c>
      <c r="I12" s="53">
        <v>-7.5400000000000063</v>
      </c>
      <c r="J12" s="53">
        <v>1.7999999999999972</v>
      </c>
      <c r="K12" s="34"/>
      <c r="L12" s="52">
        <v>87.33</v>
      </c>
      <c r="M12" s="52">
        <v>82.4</v>
      </c>
      <c r="N12" s="52">
        <v>83.7</v>
      </c>
      <c r="O12" s="52">
        <v>87.89</v>
      </c>
      <c r="P12" s="52">
        <v>93.55</v>
      </c>
      <c r="Q12" s="34"/>
      <c r="R12" s="52">
        <v>85.32</v>
      </c>
      <c r="S12" s="52">
        <v>83.78</v>
      </c>
      <c r="T12" s="34"/>
      <c r="U12" s="52">
        <v>75</v>
      </c>
      <c r="V12" s="52">
        <v>86.11</v>
      </c>
      <c r="W12" s="52">
        <v>84.66</v>
      </c>
      <c r="X12" s="52">
        <v>82.38</v>
      </c>
      <c r="Y12" s="52">
        <v>89.58</v>
      </c>
      <c r="Z12" s="34"/>
      <c r="AA12" s="52">
        <v>98.65</v>
      </c>
      <c r="AB12" s="52">
        <v>94.24</v>
      </c>
      <c r="AC12" s="52">
        <v>89.27</v>
      </c>
      <c r="AD12" s="52">
        <v>85.34</v>
      </c>
      <c r="AE12" s="52">
        <v>81.61</v>
      </c>
      <c r="AF12" s="52">
        <v>80</v>
      </c>
      <c r="AG12" s="52">
        <v>81.459999999999994</v>
      </c>
      <c r="AH12" s="52">
        <v>82.78</v>
      </c>
      <c r="AI12" s="52">
        <v>82.83</v>
      </c>
      <c r="AJ12" s="52">
        <v>76.19</v>
      </c>
      <c r="AK12" s="34"/>
      <c r="AL12" s="52">
        <v>90.59</v>
      </c>
      <c r="AM12" s="52">
        <v>84.53</v>
      </c>
      <c r="AN12" s="52">
        <v>80.75</v>
      </c>
      <c r="AO12" s="52">
        <v>79.08</v>
      </c>
      <c r="AP12" s="52">
        <v>86.71</v>
      </c>
      <c r="AQ12" s="52">
        <v>89.28</v>
      </c>
      <c r="AR12" s="34"/>
      <c r="AS12" s="52">
        <v>75</v>
      </c>
      <c r="AT12" s="52">
        <v>100</v>
      </c>
      <c r="AU12" s="52">
        <v>75.61</v>
      </c>
      <c r="AV12" s="52">
        <v>86.36</v>
      </c>
      <c r="AW12" s="52">
        <v>83.41</v>
      </c>
      <c r="AX12" s="52">
        <v>91.58</v>
      </c>
      <c r="AY12" s="52">
        <v>100</v>
      </c>
      <c r="AZ12" s="52">
        <v>91.12</v>
      </c>
      <c r="BA12" s="52">
        <v>81.37</v>
      </c>
      <c r="BB12" s="52">
        <v>91.53</v>
      </c>
      <c r="BC12" s="52">
        <v>83.23</v>
      </c>
      <c r="BD12" s="52">
        <v>87.67</v>
      </c>
      <c r="BE12" s="52" t="s">
        <v>249</v>
      </c>
      <c r="BF12" s="52">
        <v>100</v>
      </c>
      <c r="BG12" s="34"/>
      <c r="BH12" s="52">
        <v>89.51</v>
      </c>
      <c r="BI12" s="52">
        <v>82.26</v>
      </c>
      <c r="BJ12" s="52">
        <v>70.599999999999994</v>
      </c>
      <c r="BK12" s="52">
        <v>68.099999999999994</v>
      </c>
      <c r="BL12" s="34"/>
      <c r="BM12" s="52">
        <v>87.3</v>
      </c>
      <c r="BN12" s="52">
        <v>77.290000000000006</v>
      </c>
      <c r="BO12" s="52">
        <v>65.349999999999994</v>
      </c>
      <c r="BP12" s="52">
        <v>91.62</v>
      </c>
      <c r="BQ12" s="52">
        <v>61.47</v>
      </c>
      <c r="BR12" s="34"/>
      <c r="BS12" s="52">
        <v>93.54</v>
      </c>
      <c r="BT12" s="52">
        <v>87.99</v>
      </c>
      <c r="BU12" s="52">
        <v>81.739999999999995</v>
      </c>
      <c r="BV12" s="52">
        <v>63.29</v>
      </c>
    </row>
    <row r="13" spans="1:74">
      <c r="A13" s="200" t="s">
        <v>256</v>
      </c>
      <c r="B13" s="201"/>
      <c r="C13" s="202"/>
      <c r="D13" s="54">
        <v>82.91</v>
      </c>
      <c r="E13" s="54">
        <v>78.88</v>
      </c>
      <c r="F13" s="54">
        <v>89.03</v>
      </c>
      <c r="G13" s="54">
        <v>78.88</v>
      </c>
      <c r="H13" s="54">
        <v>4.0300000000000011</v>
      </c>
      <c r="I13" s="54">
        <v>-6.1200000000000045</v>
      </c>
      <c r="J13" s="54">
        <v>4.0300000000000011</v>
      </c>
      <c r="K13" s="34"/>
      <c r="L13" s="54">
        <v>87.13</v>
      </c>
      <c r="M13" s="54">
        <v>82.26</v>
      </c>
      <c r="N13" s="54">
        <v>81.83</v>
      </c>
      <c r="O13" s="54">
        <v>85.57</v>
      </c>
      <c r="P13" s="54">
        <v>88.33</v>
      </c>
      <c r="Q13" s="34"/>
      <c r="R13" s="54">
        <v>83.48</v>
      </c>
      <c r="S13" s="54">
        <v>83.12</v>
      </c>
      <c r="T13" s="34"/>
      <c r="U13" s="54">
        <v>79.010000000000005</v>
      </c>
      <c r="V13" s="54">
        <v>83.26</v>
      </c>
      <c r="W13" s="54">
        <v>83.59</v>
      </c>
      <c r="X13" s="54">
        <v>82.17</v>
      </c>
      <c r="Y13" s="54">
        <v>85.4</v>
      </c>
      <c r="Z13" s="34"/>
      <c r="AA13" s="54">
        <v>92.75</v>
      </c>
      <c r="AB13" s="54">
        <v>89.82</v>
      </c>
      <c r="AC13" s="54">
        <v>87.04</v>
      </c>
      <c r="AD13" s="54">
        <v>82.03</v>
      </c>
      <c r="AE13" s="54">
        <v>80.510000000000005</v>
      </c>
      <c r="AF13" s="54">
        <v>75.88</v>
      </c>
      <c r="AG13" s="54">
        <v>81.69</v>
      </c>
      <c r="AH13" s="54">
        <v>83.78</v>
      </c>
      <c r="AI13" s="54">
        <v>85.39</v>
      </c>
      <c r="AJ13" s="54">
        <v>77.95</v>
      </c>
      <c r="AK13" s="34"/>
      <c r="AL13" s="54">
        <v>89.02</v>
      </c>
      <c r="AM13" s="54">
        <v>83.93</v>
      </c>
      <c r="AN13" s="54">
        <v>80.37</v>
      </c>
      <c r="AO13" s="54">
        <v>77.959999999999994</v>
      </c>
      <c r="AP13" s="54">
        <v>84.65</v>
      </c>
      <c r="AQ13" s="54">
        <v>85.91</v>
      </c>
      <c r="AR13" s="34"/>
      <c r="AS13" s="54">
        <v>66.8</v>
      </c>
      <c r="AT13" s="54">
        <v>94.93</v>
      </c>
      <c r="AU13" s="54">
        <v>79.16</v>
      </c>
      <c r="AV13" s="54">
        <v>83.16</v>
      </c>
      <c r="AW13" s="54">
        <v>83.39</v>
      </c>
      <c r="AX13" s="54">
        <v>84.44</v>
      </c>
      <c r="AY13" s="54">
        <v>91.35</v>
      </c>
      <c r="AZ13" s="54">
        <v>88.51</v>
      </c>
      <c r="BA13" s="54">
        <v>77.03</v>
      </c>
      <c r="BB13" s="54">
        <v>87.77</v>
      </c>
      <c r="BC13" s="54">
        <v>81.510000000000005</v>
      </c>
      <c r="BD13" s="54">
        <v>81.52</v>
      </c>
      <c r="BE13" s="54" t="s">
        <v>249</v>
      </c>
      <c r="BF13" s="54">
        <v>93.1</v>
      </c>
      <c r="BG13" s="34"/>
      <c r="BH13" s="54">
        <v>88.39</v>
      </c>
      <c r="BI13" s="54">
        <v>80.150000000000006</v>
      </c>
      <c r="BJ13" s="54">
        <v>71.099999999999994</v>
      </c>
      <c r="BK13" s="54">
        <v>59.77</v>
      </c>
      <c r="BL13" s="34"/>
      <c r="BM13" s="54">
        <v>85.13</v>
      </c>
      <c r="BN13" s="54">
        <v>77.69</v>
      </c>
      <c r="BO13" s="54">
        <v>65.31</v>
      </c>
      <c r="BP13" s="54">
        <v>88.38</v>
      </c>
      <c r="BQ13" s="54">
        <v>67.58</v>
      </c>
      <c r="BR13" s="34"/>
      <c r="BS13" s="54">
        <v>90.42</v>
      </c>
      <c r="BT13" s="54">
        <v>84.77</v>
      </c>
      <c r="BU13" s="54">
        <v>79.48</v>
      </c>
      <c r="BV13" s="54">
        <v>64.67</v>
      </c>
    </row>
    <row r="14" spans="1:74">
      <c r="A14" s="42"/>
      <c r="B14" s="42"/>
      <c r="C14" s="43" t="s">
        <v>257</v>
      </c>
      <c r="D14" s="55">
        <v>78.88</v>
      </c>
      <c r="E14" s="55">
        <v>73.930000000000007</v>
      </c>
      <c r="F14" s="55"/>
      <c r="G14" s="55"/>
      <c r="H14" s="55"/>
      <c r="I14" s="55"/>
      <c r="J14" s="55"/>
      <c r="K14" s="56"/>
      <c r="L14" s="55">
        <v>82.41</v>
      </c>
      <c r="M14" s="55">
        <v>77.44</v>
      </c>
      <c r="N14" s="55">
        <v>78.069999999999993</v>
      </c>
      <c r="O14" s="55">
        <v>82.57</v>
      </c>
      <c r="P14" s="55">
        <v>86.36</v>
      </c>
      <c r="Q14" s="56"/>
      <c r="R14" s="55">
        <v>79.62</v>
      </c>
      <c r="S14" s="55">
        <v>78.790000000000006</v>
      </c>
      <c r="T14" s="56"/>
      <c r="U14" s="55">
        <v>68.069999999999993</v>
      </c>
      <c r="V14" s="55">
        <v>79.69</v>
      </c>
      <c r="W14" s="55">
        <v>79.13</v>
      </c>
      <c r="X14" s="55">
        <v>78.17</v>
      </c>
      <c r="Y14" s="55">
        <v>82.9</v>
      </c>
      <c r="Z14" s="56"/>
      <c r="AA14" s="55">
        <v>91.91</v>
      </c>
      <c r="AB14" s="55">
        <v>88.05</v>
      </c>
      <c r="AC14" s="55">
        <v>86.33</v>
      </c>
      <c r="AD14" s="55">
        <v>77.510000000000005</v>
      </c>
      <c r="AE14" s="55">
        <v>73.2</v>
      </c>
      <c r="AF14" s="55">
        <v>71.02</v>
      </c>
      <c r="AG14" s="55">
        <v>74.760000000000005</v>
      </c>
      <c r="AH14" s="55">
        <v>80.2</v>
      </c>
      <c r="AI14" s="55">
        <v>80.39</v>
      </c>
      <c r="AJ14" s="55" t="s">
        <v>249</v>
      </c>
      <c r="AK14" s="56"/>
      <c r="AL14" s="55">
        <v>83.99</v>
      </c>
      <c r="AM14" s="55">
        <v>78.19</v>
      </c>
      <c r="AN14" s="55">
        <v>76.42</v>
      </c>
      <c r="AO14" s="55">
        <v>76.36</v>
      </c>
      <c r="AP14" s="55">
        <v>80.75</v>
      </c>
      <c r="AQ14" s="55">
        <v>84.02</v>
      </c>
      <c r="AR14" s="56"/>
      <c r="AS14" s="55">
        <v>71.709999999999994</v>
      </c>
      <c r="AT14" s="55">
        <v>94.66</v>
      </c>
      <c r="AU14" s="55">
        <v>78.58</v>
      </c>
      <c r="AV14" s="55">
        <v>74.38</v>
      </c>
      <c r="AW14" s="55">
        <v>80.41</v>
      </c>
      <c r="AX14" s="55">
        <v>84.16</v>
      </c>
      <c r="AY14" s="55" t="s">
        <v>249</v>
      </c>
      <c r="AZ14" s="55">
        <v>87.49</v>
      </c>
      <c r="BA14" s="55">
        <v>80.099999999999994</v>
      </c>
      <c r="BB14" s="55">
        <v>77.22</v>
      </c>
      <c r="BC14" s="55">
        <v>75.45</v>
      </c>
      <c r="BD14" s="55">
        <v>82.2</v>
      </c>
      <c r="BE14" s="55" t="s">
        <v>249</v>
      </c>
      <c r="BF14" s="55">
        <v>91.82</v>
      </c>
      <c r="BG14" s="56"/>
      <c r="BH14" s="55">
        <v>84.86</v>
      </c>
      <c r="BI14" s="55">
        <v>74.510000000000005</v>
      </c>
      <c r="BJ14" s="55">
        <v>66.599999999999994</v>
      </c>
      <c r="BK14" s="55">
        <v>55.18</v>
      </c>
      <c r="BL14" s="56"/>
      <c r="BM14" s="55">
        <v>80.739999999999995</v>
      </c>
      <c r="BN14" s="55">
        <v>74.11</v>
      </c>
      <c r="BO14" s="55">
        <v>60.51</v>
      </c>
      <c r="BP14" s="55">
        <v>85.59</v>
      </c>
      <c r="BQ14" s="55">
        <v>59.82</v>
      </c>
      <c r="BR14" s="56"/>
      <c r="BS14" s="55" t="s">
        <v>249</v>
      </c>
      <c r="BT14" s="55" t="s">
        <v>249</v>
      </c>
      <c r="BU14" s="55" t="s">
        <v>249</v>
      </c>
      <c r="BV14" s="55" t="s">
        <v>249</v>
      </c>
    </row>
    <row r="16" spans="1:74">
      <c r="A16" s="36"/>
      <c r="B16" s="36"/>
      <c r="C16" s="37" t="s">
        <v>258</v>
      </c>
      <c r="D16" s="38"/>
      <c r="E16" s="38"/>
      <c r="F16" s="38"/>
      <c r="G16" s="38"/>
      <c r="H16" s="38"/>
      <c r="I16" s="38"/>
      <c r="J16" s="38"/>
      <c r="K16" s="34"/>
      <c r="L16" s="188">
        <f>+SUM(L3:P3)</f>
        <v>4698</v>
      </c>
      <c r="M16" s="189"/>
      <c r="N16" s="189"/>
      <c r="O16" s="189"/>
      <c r="P16" s="190"/>
      <c r="Q16" s="34"/>
      <c r="R16" s="188">
        <f>+SUM(R3:S3)</f>
        <v>4667</v>
      </c>
      <c r="S16" s="190"/>
      <c r="T16" s="34"/>
      <c r="U16" s="188">
        <f>+SUM(U3:Y3)</f>
        <v>4690</v>
      </c>
      <c r="V16" s="189"/>
      <c r="W16" s="189"/>
      <c r="X16" s="189"/>
      <c r="Y16" s="190"/>
      <c r="Z16" s="34"/>
      <c r="AA16" s="188">
        <f>+SUM(AA3:AJ3)</f>
        <v>4649</v>
      </c>
      <c r="AB16" s="189"/>
      <c r="AC16" s="189"/>
      <c r="AD16" s="189"/>
      <c r="AE16" s="189"/>
      <c r="AF16" s="189"/>
      <c r="AG16" s="189"/>
      <c r="AH16" s="189"/>
      <c r="AI16" s="189"/>
      <c r="AJ16" s="190"/>
      <c r="AK16" s="34"/>
      <c r="AL16" s="188">
        <f>+SUM(AL3:AQ3)</f>
        <v>4670</v>
      </c>
      <c r="AM16" s="189"/>
      <c r="AN16" s="189"/>
      <c r="AO16" s="189"/>
      <c r="AP16" s="189"/>
      <c r="AQ16" s="190"/>
      <c r="AR16" s="34"/>
      <c r="AS16" s="188">
        <f>+SUM(AS3:BF3)</f>
        <v>4886</v>
      </c>
      <c r="AT16" s="189"/>
      <c r="AU16" s="189"/>
      <c r="AV16" s="189"/>
      <c r="AW16" s="189"/>
      <c r="AX16" s="189"/>
      <c r="AY16" s="189"/>
      <c r="AZ16" s="189"/>
      <c r="BA16" s="189"/>
      <c r="BB16" s="189"/>
      <c r="BC16" s="189"/>
      <c r="BD16" s="189"/>
      <c r="BE16" s="189"/>
      <c r="BF16" s="190"/>
      <c r="BG16" s="34"/>
      <c r="BH16" s="188">
        <f>+SUM(BH3:BK3)</f>
        <v>4149</v>
      </c>
      <c r="BI16" s="189"/>
      <c r="BJ16" s="189"/>
      <c r="BK16" s="190"/>
      <c r="BL16" s="34"/>
      <c r="BM16" s="188">
        <f>+SUM(BM3:BQ3)</f>
        <v>3932</v>
      </c>
      <c r="BN16" s="189"/>
      <c r="BO16" s="189"/>
      <c r="BP16" s="189"/>
      <c r="BQ16" s="190"/>
      <c r="BR16" s="34"/>
      <c r="BS16" s="188">
        <f>+SUM(BS3:BV3)</f>
        <v>1839</v>
      </c>
      <c r="BT16" s="189"/>
      <c r="BU16" s="189"/>
      <c r="BV16" s="190"/>
    </row>
    <row r="17" spans="1:74">
      <c r="A17" s="39"/>
      <c r="B17" s="39"/>
      <c r="C17" s="40" t="s">
        <v>259</v>
      </c>
      <c r="D17" s="41"/>
      <c r="E17" s="41"/>
      <c r="F17" s="41"/>
      <c r="G17" s="41"/>
      <c r="H17" s="41"/>
      <c r="I17" s="41"/>
      <c r="J17" s="41"/>
      <c r="K17" s="34"/>
      <c r="L17" s="57">
        <f>+L3/$L$16</f>
        <v>6.2154108131119629E-2</v>
      </c>
      <c r="M17" s="57">
        <f t="shared" ref="M17:P17" si="0">+M3/$L$16</f>
        <v>0.42486164325244785</v>
      </c>
      <c r="N17" s="57">
        <f t="shared" si="0"/>
        <v>0.30353341847594723</v>
      </c>
      <c r="O17" s="57">
        <f t="shared" si="0"/>
        <v>0.15666240953597274</v>
      </c>
      <c r="P17" s="57">
        <f t="shared" si="0"/>
        <v>5.2788420604512561E-2</v>
      </c>
      <c r="Q17" s="34"/>
      <c r="R17" s="57">
        <f>+R3/$R$16</f>
        <v>0.53053353331904862</v>
      </c>
      <c r="S17" s="57">
        <f>+S3/$R$16</f>
        <v>0.46946646668095138</v>
      </c>
      <c r="T17" s="34"/>
      <c r="U17" s="57">
        <f>+U3/$U$16</f>
        <v>2.5586353944562902E-3</v>
      </c>
      <c r="V17" s="57">
        <f t="shared" ref="V17:Y17" si="1">+V3/$U$16</f>
        <v>7.6759061833688705E-2</v>
      </c>
      <c r="W17" s="57">
        <f t="shared" si="1"/>
        <v>0.48528784648187634</v>
      </c>
      <c r="X17" s="57">
        <f t="shared" si="1"/>
        <v>0.32878464818763325</v>
      </c>
      <c r="Y17" s="57">
        <f t="shared" si="1"/>
        <v>0.10660980810234541</v>
      </c>
      <c r="Z17" s="34"/>
      <c r="AA17" s="57">
        <f>+AA3/$AA$16</f>
        <v>1.5917401591740158E-2</v>
      </c>
      <c r="AB17" s="57">
        <f t="shared" ref="AB17:AJ17" si="2">+AB3/$AA$16</f>
        <v>2.98989029898903E-2</v>
      </c>
      <c r="AC17" s="57">
        <f t="shared" si="2"/>
        <v>0.2105829210582921</v>
      </c>
      <c r="AD17" s="57">
        <f t="shared" si="2"/>
        <v>0.17078941707894171</v>
      </c>
      <c r="AE17" s="57">
        <f t="shared" si="2"/>
        <v>8.3028608302860823E-2</v>
      </c>
      <c r="AF17" s="57">
        <f t="shared" si="2"/>
        <v>9.1632609163260922E-2</v>
      </c>
      <c r="AG17" s="57">
        <f t="shared" si="2"/>
        <v>0.11529361152936116</v>
      </c>
      <c r="AH17" s="57">
        <f t="shared" si="2"/>
        <v>0.18864271886427189</v>
      </c>
      <c r="AI17" s="57">
        <f t="shared" si="2"/>
        <v>8.5179608517960859E-2</v>
      </c>
      <c r="AJ17" s="57">
        <f t="shared" si="2"/>
        <v>9.0342009034200896E-3</v>
      </c>
      <c r="AK17" s="34"/>
      <c r="AL17" s="57">
        <f>+AL3/$AL$16</f>
        <v>9.1006423982869372E-2</v>
      </c>
      <c r="AM17" s="57">
        <f t="shared" ref="AM17:AQ17" si="3">+AM3/$AL$16</f>
        <v>0.24089935760171305</v>
      </c>
      <c r="AN17" s="57">
        <f t="shared" si="3"/>
        <v>0.25653104925053533</v>
      </c>
      <c r="AO17" s="57">
        <f t="shared" si="3"/>
        <v>8.8222698072805139E-2</v>
      </c>
      <c r="AP17" s="57">
        <f t="shared" si="3"/>
        <v>0.16937901498929336</v>
      </c>
      <c r="AQ17" s="57">
        <f t="shared" si="3"/>
        <v>0.15396145610278372</v>
      </c>
      <c r="AR17" s="34"/>
      <c r="AS17" s="57">
        <f>+AS3/$AS$16</f>
        <v>1.637331150225133E-3</v>
      </c>
      <c r="AT17" s="57">
        <f t="shared" ref="AT17:BF17" si="4">+AT3/$AS$16</f>
        <v>2.8653295128939827E-3</v>
      </c>
      <c r="AU17" s="57">
        <f t="shared" si="4"/>
        <v>8.3913221449038074E-3</v>
      </c>
      <c r="AV17" s="57">
        <f t="shared" si="4"/>
        <v>4.0728612361850186E-2</v>
      </c>
      <c r="AW17" s="57">
        <f t="shared" si="4"/>
        <v>0.53458862054850598</v>
      </c>
      <c r="AX17" s="57">
        <f t="shared" si="4"/>
        <v>1.9443307408923454E-2</v>
      </c>
      <c r="AY17" s="57">
        <f t="shared" si="4"/>
        <v>4.2979942693409743E-3</v>
      </c>
      <c r="AZ17" s="57">
        <f t="shared" si="4"/>
        <v>3.4793286942284077E-2</v>
      </c>
      <c r="BA17" s="57">
        <f t="shared" si="4"/>
        <v>2.0875972165370446E-2</v>
      </c>
      <c r="BB17" s="57">
        <f t="shared" si="4"/>
        <v>1.2279983626688497E-2</v>
      </c>
      <c r="BC17" s="57">
        <f t="shared" si="4"/>
        <v>0.30249693000409333</v>
      </c>
      <c r="BD17" s="57">
        <f t="shared" si="4"/>
        <v>1.4940646745804339E-2</v>
      </c>
      <c r="BE17" s="57">
        <f t="shared" si="4"/>
        <v>6.1399918133442485E-4</v>
      </c>
      <c r="BF17" s="57">
        <f t="shared" si="4"/>
        <v>2.0466639377814161E-3</v>
      </c>
      <c r="BG17" s="34"/>
      <c r="BH17" s="57">
        <f>+BH3/$BH$16</f>
        <v>0.58905760424198605</v>
      </c>
      <c r="BI17" s="57">
        <f t="shared" ref="BI17:BJ17" si="5">+BI3/$BH$16</f>
        <v>0.26223186309954205</v>
      </c>
      <c r="BJ17" s="57">
        <f t="shared" si="5"/>
        <v>0.12075198843094721</v>
      </c>
      <c r="BK17" s="57">
        <f>+BK3/$BH$16</f>
        <v>2.7958544227524706E-2</v>
      </c>
      <c r="BL17" s="34"/>
      <c r="BM17" s="57">
        <f>+BM3/$BM$16</f>
        <v>0.17293997965412003</v>
      </c>
      <c r="BN17" s="57">
        <f t="shared" ref="BN17:BP17" si="6">+BN3/$BM$16</f>
        <v>0.23906408952187183</v>
      </c>
      <c r="BO17" s="57">
        <f t="shared" si="6"/>
        <v>2.5686673448626653E-2</v>
      </c>
      <c r="BP17" s="57">
        <f t="shared" si="6"/>
        <v>0.50686673448626651</v>
      </c>
      <c r="BQ17" s="57">
        <f>+BQ3/$BM$16</f>
        <v>5.5442522889114956E-2</v>
      </c>
      <c r="BR17" s="34"/>
      <c r="BS17" s="57">
        <f>+BS3/$BS$16</f>
        <v>0.4290375203915171</v>
      </c>
      <c r="BT17" s="57">
        <f t="shared" ref="BT17:BV17" si="7">+BT3/$BS$16</f>
        <v>0.15388798259923872</v>
      </c>
      <c r="BU17" s="57">
        <f t="shared" si="7"/>
        <v>0.24469820554649266</v>
      </c>
      <c r="BV17" s="57">
        <f t="shared" si="7"/>
        <v>0.17237629146275149</v>
      </c>
    </row>
    <row r="18" spans="1:74">
      <c r="A18" s="39"/>
      <c r="B18" s="39"/>
      <c r="C18" s="40" t="s">
        <v>260</v>
      </c>
      <c r="D18" s="41"/>
      <c r="E18" s="41"/>
      <c r="F18" s="41"/>
      <c r="G18" s="41"/>
      <c r="H18" s="41"/>
      <c r="I18" s="41"/>
      <c r="J18" s="41"/>
      <c r="K18" s="34"/>
      <c r="L18" s="41"/>
      <c r="M18" s="41"/>
      <c r="N18" s="41"/>
      <c r="O18" s="41"/>
      <c r="P18" s="41"/>
      <c r="Q18" s="34"/>
      <c r="R18" s="41"/>
      <c r="S18" s="41"/>
      <c r="T18" s="34"/>
      <c r="U18" s="41"/>
      <c r="V18" s="41"/>
      <c r="W18" s="41"/>
      <c r="X18" s="41"/>
      <c r="Y18" s="41"/>
      <c r="Z18" s="34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34"/>
      <c r="AL18" s="41"/>
      <c r="AM18" s="41"/>
      <c r="AN18" s="41"/>
      <c r="AO18" s="41"/>
      <c r="AP18" s="41"/>
      <c r="AQ18" s="41"/>
      <c r="AR18" s="34"/>
      <c r="AS18" s="150">
        <f>+AS3/AS4</f>
        <v>0.88888888888888884</v>
      </c>
      <c r="AT18" s="150">
        <f t="shared" ref="AT18:BF18" si="8">+AT3/AT4</f>
        <v>0.63636363636363635</v>
      </c>
      <c r="AU18" s="150">
        <f t="shared" si="8"/>
        <v>0.95348837209302328</v>
      </c>
      <c r="AV18" s="150">
        <f t="shared" si="8"/>
        <v>0.908675799086758</v>
      </c>
      <c r="AW18" s="150">
        <f t="shared" si="8"/>
        <v>0.93620071684587813</v>
      </c>
      <c r="AX18" s="150">
        <f t="shared" si="8"/>
        <v>0.97938144329896903</v>
      </c>
      <c r="AY18" s="150">
        <f t="shared" si="8"/>
        <v>1</v>
      </c>
      <c r="AZ18" s="150">
        <f t="shared" si="8"/>
        <v>0.94972067039106145</v>
      </c>
      <c r="BA18" s="150">
        <f t="shared" si="8"/>
        <v>0.93577981651376152</v>
      </c>
      <c r="BB18" s="150">
        <f t="shared" si="8"/>
        <v>0.967741935483871</v>
      </c>
      <c r="BC18" s="150">
        <f t="shared" si="8"/>
        <v>0.93131695022054195</v>
      </c>
      <c r="BD18" s="150">
        <f t="shared" si="8"/>
        <v>0.94805194805194803</v>
      </c>
      <c r="BE18" s="150">
        <f t="shared" si="8"/>
        <v>0.75</v>
      </c>
      <c r="BF18" s="150">
        <f t="shared" si="8"/>
        <v>0.83333333333333337</v>
      </c>
      <c r="BG18" s="34"/>
      <c r="BH18" s="41"/>
      <c r="BI18" s="41"/>
      <c r="BJ18" s="41"/>
      <c r="BK18" s="41"/>
      <c r="BL18" s="34"/>
      <c r="BM18" s="41"/>
      <c r="BN18" s="41"/>
      <c r="BO18" s="41"/>
      <c r="BP18" s="41"/>
      <c r="BQ18" s="41"/>
      <c r="BR18" s="34"/>
      <c r="BS18" s="41"/>
      <c r="BT18" s="41"/>
      <c r="BU18" s="41"/>
      <c r="BV18" s="41"/>
    </row>
    <row r="19" spans="1:74">
      <c r="A19" s="42"/>
      <c r="B19" s="42"/>
      <c r="C19" s="43" t="s">
        <v>261</v>
      </c>
      <c r="D19" s="44"/>
      <c r="E19" s="44"/>
      <c r="F19" s="44"/>
      <c r="G19" s="44"/>
      <c r="H19" s="44"/>
      <c r="I19" s="44"/>
      <c r="J19" s="44"/>
      <c r="K19" s="34"/>
      <c r="L19" s="44"/>
      <c r="M19" s="44"/>
      <c r="N19" s="44"/>
      <c r="O19" s="44"/>
      <c r="P19" s="44"/>
      <c r="Q19" s="34"/>
      <c r="R19" s="44"/>
      <c r="S19" s="44"/>
      <c r="T19" s="34"/>
      <c r="U19" s="44"/>
      <c r="V19" s="44"/>
      <c r="W19" s="44"/>
      <c r="X19" s="44"/>
      <c r="Y19" s="44"/>
      <c r="Z19" s="3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4"/>
      <c r="AL19" s="44"/>
      <c r="AM19" s="44"/>
      <c r="AN19" s="44"/>
      <c r="AO19" s="44"/>
      <c r="AP19" s="44"/>
      <c r="AQ19" s="44"/>
      <c r="AR19" s="3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34"/>
      <c r="BH19" s="44"/>
      <c r="BI19" s="44"/>
      <c r="BJ19" s="44"/>
      <c r="BK19" s="44"/>
      <c r="BL19" s="34"/>
      <c r="BM19" s="191">
        <f>+SUM(BM5:BQ5)</f>
        <v>4577</v>
      </c>
      <c r="BN19" s="192"/>
      <c r="BO19" s="192"/>
      <c r="BP19" s="192"/>
      <c r="BQ19" s="193"/>
      <c r="BR19" s="34"/>
      <c r="BS19" s="44"/>
      <c r="BT19" s="44"/>
      <c r="BU19" s="44"/>
      <c r="BV19" s="44"/>
    </row>
    <row r="20" spans="1:74">
      <c r="A20" s="42"/>
      <c r="B20" s="42"/>
      <c r="C20" s="43" t="s">
        <v>262</v>
      </c>
      <c r="D20" s="44"/>
      <c r="E20" s="44"/>
      <c r="F20" s="44"/>
      <c r="G20" s="44"/>
      <c r="H20" s="44"/>
      <c r="I20" s="44"/>
      <c r="J20" s="44"/>
      <c r="K20" s="34"/>
      <c r="L20" s="44"/>
      <c r="M20" s="44"/>
      <c r="N20" s="44"/>
      <c r="O20" s="44"/>
      <c r="P20" s="44"/>
      <c r="Q20" s="34"/>
      <c r="R20" s="44"/>
      <c r="S20" s="44"/>
      <c r="T20" s="34"/>
      <c r="U20" s="44"/>
      <c r="V20" s="44"/>
      <c r="W20" s="44"/>
      <c r="X20" s="44"/>
      <c r="Y20" s="44"/>
      <c r="Z20" s="3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34"/>
      <c r="AL20" s="44"/>
      <c r="AM20" s="44"/>
      <c r="AN20" s="44"/>
      <c r="AO20" s="44"/>
      <c r="AP20" s="44"/>
      <c r="AQ20" s="44"/>
      <c r="AR20" s="3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34"/>
      <c r="BH20" s="44"/>
      <c r="BI20" s="44"/>
      <c r="BJ20" s="44"/>
      <c r="BK20" s="44"/>
      <c r="BL20" s="34"/>
      <c r="BM20" s="58">
        <f>+BM5/$BM$19</f>
        <v>0.16692156434345642</v>
      </c>
      <c r="BN20" s="58">
        <f t="shared" ref="BN20:BQ20" si="9">+BN5/$BM$19</f>
        <v>0.26982739785885951</v>
      </c>
      <c r="BO20" s="58">
        <f t="shared" si="9"/>
        <v>2.8839851431068386E-2</v>
      </c>
      <c r="BP20" s="58">
        <f t="shared" si="9"/>
        <v>0.46952152064671182</v>
      </c>
      <c r="BQ20" s="58">
        <f t="shared" si="9"/>
        <v>6.4889665719903872E-2</v>
      </c>
      <c r="BR20" s="34"/>
      <c r="BS20" s="44"/>
      <c r="BT20" s="44"/>
      <c r="BU20" s="44"/>
      <c r="BV20" s="44"/>
    </row>
  </sheetData>
  <mergeCells count="28">
    <mergeCell ref="BM1:BQ1"/>
    <mergeCell ref="BS1:BV1"/>
    <mergeCell ref="BS16:BV16"/>
    <mergeCell ref="A2:C2"/>
    <mergeCell ref="A1:B1"/>
    <mergeCell ref="AL1:AQ1"/>
    <mergeCell ref="AS1:BF1"/>
    <mergeCell ref="BH1:BK1"/>
    <mergeCell ref="A13:C13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S16:BF16"/>
    <mergeCell ref="BH16:BK16"/>
    <mergeCell ref="BM16:BQ16"/>
    <mergeCell ref="BM19:BQ19"/>
    <mergeCell ref="L16:P16"/>
    <mergeCell ref="R16:S16"/>
    <mergeCell ref="U16:Y16"/>
    <mergeCell ref="AA16:AJ16"/>
    <mergeCell ref="AL16:AQ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4" t="s">
        <v>296</v>
      </c>
      <c r="B1" s="64" t="s">
        <v>297</v>
      </c>
      <c r="C1" s="65">
        <v>2016</v>
      </c>
      <c r="D1" s="65">
        <v>2015</v>
      </c>
      <c r="E1" s="66" t="s">
        <v>298</v>
      </c>
      <c r="F1" s="66" t="s">
        <v>299</v>
      </c>
      <c r="G1" s="65" t="s">
        <v>300</v>
      </c>
      <c r="H1" s="67" t="s">
        <v>301</v>
      </c>
      <c r="I1" s="68" t="s">
        <v>302</v>
      </c>
      <c r="J1" s="69"/>
      <c r="K1" s="69" t="s">
        <v>303</v>
      </c>
      <c r="L1" s="69" t="s">
        <v>304</v>
      </c>
      <c r="M1" s="70">
        <v>2016</v>
      </c>
      <c r="N1" s="70">
        <v>2015</v>
      </c>
      <c r="O1" s="70" t="s">
        <v>298</v>
      </c>
      <c r="P1" s="70" t="s">
        <v>299</v>
      </c>
      <c r="Q1" s="71"/>
      <c r="R1" s="72"/>
      <c r="S1" s="72"/>
      <c r="T1" s="73" t="s">
        <v>305</v>
      </c>
      <c r="U1" s="74" t="s">
        <v>306</v>
      </c>
      <c r="V1" s="75" t="s">
        <v>307</v>
      </c>
      <c r="W1" s="76" t="s">
        <v>308</v>
      </c>
      <c r="X1" s="77" t="s">
        <v>309</v>
      </c>
      <c r="Y1" s="78" t="s">
        <v>310</v>
      </c>
      <c r="Z1" s="79" t="s">
        <v>11</v>
      </c>
      <c r="AA1" s="79" t="s">
        <v>311</v>
      </c>
      <c r="AB1" s="79" t="s">
        <v>312</v>
      </c>
      <c r="AC1" s="72"/>
      <c r="AD1" s="80" t="s">
        <v>313</v>
      </c>
      <c r="AE1" s="81">
        <v>2007</v>
      </c>
      <c r="AF1" s="81">
        <v>2008</v>
      </c>
      <c r="AG1" s="81">
        <v>2009</v>
      </c>
      <c r="AH1" s="81">
        <v>2010</v>
      </c>
      <c r="AI1" s="81">
        <v>2011</v>
      </c>
      <c r="AJ1" s="81">
        <v>2012</v>
      </c>
      <c r="AK1" s="81">
        <v>2013</v>
      </c>
      <c r="AL1" s="81">
        <v>2014</v>
      </c>
      <c r="AM1" s="81">
        <v>2015</v>
      </c>
      <c r="AN1" s="81">
        <v>2016</v>
      </c>
    </row>
    <row r="2" spans="1:40" ht="15.75" thickBot="1">
      <c r="A2" s="301" t="s">
        <v>314</v>
      </c>
      <c r="B2" s="265" t="s">
        <v>12</v>
      </c>
      <c r="C2" s="313">
        <f>+ROUND(AVERAGE(M2:M5),0)</f>
        <v>87</v>
      </c>
      <c r="D2" s="313">
        <f>+ROUND(AVERAGE(N2:N5),0)</f>
        <v>84</v>
      </c>
      <c r="E2" s="313">
        <f>+ROUND(AVERAGE(O2:O5),0)</f>
        <v>89</v>
      </c>
      <c r="F2" s="313">
        <f>+ROUND(AVERAGE(P2:P5),0)</f>
        <v>78</v>
      </c>
      <c r="G2" s="309">
        <f>+C2-E2</f>
        <v>-2</v>
      </c>
      <c r="H2" s="311">
        <f>+C2-F2</f>
        <v>9</v>
      </c>
      <c r="I2" s="305" t="s">
        <v>12</v>
      </c>
      <c r="J2" s="307" t="s">
        <v>315</v>
      </c>
      <c r="K2" s="82">
        <v>1</v>
      </c>
      <c r="L2" s="83" t="s">
        <v>316</v>
      </c>
      <c r="M2" s="84">
        <v>85.48</v>
      </c>
      <c r="N2" s="84">
        <v>81.28</v>
      </c>
      <c r="O2" s="84">
        <v>87</v>
      </c>
      <c r="P2" s="84">
        <v>73.260000000000005</v>
      </c>
      <c r="Q2" s="85">
        <f>+M2-N2</f>
        <v>4.2000000000000028</v>
      </c>
      <c r="R2" s="86"/>
      <c r="S2" s="86"/>
      <c r="T2" s="86">
        <v>2017</v>
      </c>
      <c r="U2" s="87"/>
      <c r="V2" s="87"/>
      <c r="W2" s="87"/>
      <c r="X2" s="87"/>
      <c r="Y2" s="87"/>
      <c r="Z2" s="87"/>
      <c r="AA2" s="87"/>
      <c r="AB2" s="87"/>
      <c r="AC2" s="86"/>
      <c r="AD2" s="88" t="s">
        <v>317</v>
      </c>
      <c r="AE2" s="89">
        <v>376</v>
      </c>
      <c r="AF2" s="89">
        <v>387</v>
      </c>
      <c r="AG2" s="89">
        <v>532</v>
      </c>
      <c r="AH2" s="89">
        <v>581</v>
      </c>
      <c r="AI2" s="89">
        <v>676</v>
      </c>
      <c r="AJ2" s="89">
        <v>704</v>
      </c>
      <c r="AK2" s="89">
        <v>711</v>
      </c>
      <c r="AL2" s="89">
        <v>669</v>
      </c>
      <c r="AM2" s="89">
        <v>664</v>
      </c>
      <c r="AN2" s="89">
        <v>669</v>
      </c>
    </row>
    <row r="3" spans="1:40" ht="15.75" thickBot="1">
      <c r="A3" s="301"/>
      <c r="B3" s="265"/>
      <c r="C3" s="313"/>
      <c r="D3" s="313"/>
      <c r="E3" s="313"/>
      <c r="F3" s="313"/>
      <c r="G3" s="309"/>
      <c r="H3" s="311"/>
      <c r="I3" s="305"/>
      <c r="J3" s="308"/>
      <c r="K3" s="90">
        <v>2</v>
      </c>
      <c r="L3" s="91" t="s">
        <v>318</v>
      </c>
      <c r="M3" s="84">
        <v>84.05</v>
      </c>
      <c r="N3" s="84">
        <v>81.319999999999993</v>
      </c>
      <c r="O3" s="84">
        <v>85.72</v>
      </c>
      <c r="P3" s="84">
        <v>73.92</v>
      </c>
      <c r="Q3" s="85">
        <f t="shared" ref="Q3:Q62" si="0">+M3-N3</f>
        <v>2.730000000000004</v>
      </c>
      <c r="R3" s="86"/>
      <c r="S3" s="86"/>
      <c r="T3" s="86">
        <v>2016</v>
      </c>
      <c r="U3" s="87">
        <v>66.926923076923075</v>
      </c>
      <c r="V3" s="87">
        <v>59.937692307692302</v>
      </c>
      <c r="W3" s="87">
        <v>63.74666666666667</v>
      </c>
      <c r="X3" s="87">
        <v>63.75</v>
      </c>
      <c r="Y3" s="87">
        <v>59.8</v>
      </c>
      <c r="Z3" s="87">
        <v>63.53157894736843</v>
      </c>
      <c r="AA3" s="87">
        <v>62.775438596491249</v>
      </c>
      <c r="AB3" s="87">
        <v>56</v>
      </c>
      <c r="AC3" s="86"/>
      <c r="AD3" s="88" t="s">
        <v>244</v>
      </c>
      <c r="AE3" s="89">
        <v>336</v>
      </c>
      <c r="AF3" s="89">
        <v>364</v>
      </c>
      <c r="AG3" s="89">
        <v>491</v>
      </c>
      <c r="AH3" s="89">
        <v>448</v>
      </c>
      <c r="AI3" s="89">
        <v>560</v>
      </c>
      <c r="AJ3" s="89">
        <v>594</v>
      </c>
      <c r="AK3" s="89">
        <v>610</v>
      </c>
      <c r="AL3" s="89">
        <v>580</v>
      </c>
      <c r="AM3" s="89">
        <v>600</v>
      </c>
      <c r="AN3" s="89">
        <v>546</v>
      </c>
    </row>
    <row r="4" spans="1:40" ht="15.75" thickBot="1">
      <c r="A4" s="301"/>
      <c r="B4" s="265"/>
      <c r="C4" s="313"/>
      <c r="D4" s="313"/>
      <c r="E4" s="313"/>
      <c r="F4" s="313"/>
      <c r="G4" s="309"/>
      <c r="H4" s="311"/>
      <c r="I4" s="305"/>
      <c r="J4" s="307" t="s">
        <v>319</v>
      </c>
      <c r="K4" s="82">
        <v>3</v>
      </c>
      <c r="L4" s="83" t="s">
        <v>320</v>
      </c>
      <c r="M4" s="92">
        <v>87.08</v>
      </c>
      <c r="N4" s="92">
        <v>84.81</v>
      </c>
      <c r="O4" s="92">
        <v>90.53</v>
      </c>
      <c r="P4" s="92">
        <v>81.55</v>
      </c>
      <c r="Q4" s="85">
        <f t="shared" si="0"/>
        <v>2.269999999999996</v>
      </c>
      <c r="R4" s="86"/>
      <c r="S4" s="86"/>
      <c r="T4" s="86">
        <v>2015</v>
      </c>
      <c r="U4" s="87">
        <v>67.15384615384616</v>
      </c>
      <c r="V4" s="87">
        <v>61</v>
      </c>
      <c r="W4" s="87">
        <v>59.083333333333336</v>
      </c>
      <c r="X4" s="87">
        <v>65</v>
      </c>
      <c r="Y4" s="87">
        <v>62.3</v>
      </c>
      <c r="Z4" s="87">
        <v>62.421052631578945</v>
      </c>
      <c r="AA4" s="87">
        <v>62.666666666666664</v>
      </c>
      <c r="AB4" s="87">
        <v>57</v>
      </c>
      <c r="AC4" s="86"/>
      <c r="AD4" s="88" t="s">
        <v>321</v>
      </c>
      <c r="AE4" s="93">
        <v>0.9</v>
      </c>
      <c r="AF4" s="93">
        <v>0.94099999999999995</v>
      </c>
      <c r="AG4" s="93">
        <v>0.92</v>
      </c>
      <c r="AH4" s="93">
        <v>0.77</v>
      </c>
      <c r="AI4" s="93">
        <v>0.83</v>
      </c>
      <c r="AJ4" s="93">
        <v>0.84</v>
      </c>
      <c r="AK4" s="93">
        <v>0.86</v>
      </c>
      <c r="AL4" s="93">
        <v>0.87</v>
      </c>
      <c r="AM4" s="93">
        <v>0.90361445783132532</v>
      </c>
      <c r="AN4" s="93">
        <v>0.81614349775784756</v>
      </c>
    </row>
    <row r="5" spans="1:40" ht="29.25" thickBot="1">
      <c r="A5" s="301"/>
      <c r="B5" s="266"/>
      <c r="C5" s="314"/>
      <c r="D5" s="314"/>
      <c r="E5" s="314"/>
      <c r="F5" s="314"/>
      <c r="G5" s="310"/>
      <c r="H5" s="312"/>
      <c r="I5" s="306"/>
      <c r="J5" s="308"/>
      <c r="K5" s="90">
        <v>4</v>
      </c>
      <c r="L5" s="91" t="s">
        <v>322</v>
      </c>
      <c r="M5" s="94">
        <v>89.51</v>
      </c>
      <c r="N5" s="94">
        <v>86.68</v>
      </c>
      <c r="O5" s="94">
        <v>92.63</v>
      </c>
      <c r="P5" s="94">
        <v>85.01</v>
      </c>
      <c r="Q5" s="85">
        <f t="shared" si="0"/>
        <v>2.8299999999999983</v>
      </c>
      <c r="R5" s="86"/>
      <c r="S5" s="86"/>
      <c r="T5" s="86">
        <v>2014</v>
      </c>
      <c r="U5" s="87">
        <v>61.92307692307692</v>
      </c>
      <c r="V5" s="87">
        <v>59.615384615384613</v>
      </c>
      <c r="W5" s="87">
        <v>58.416666666666664</v>
      </c>
      <c r="X5" s="87">
        <v>64.25</v>
      </c>
      <c r="Y5" s="87">
        <v>63.5</v>
      </c>
      <c r="Z5" s="87">
        <v>60.026315789473685</v>
      </c>
      <c r="AA5" s="87">
        <v>61.070175438596493</v>
      </c>
      <c r="AB5" s="87">
        <v>51</v>
      </c>
      <c r="AC5" s="86"/>
      <c r="AD5" s="88" t="s">
        <v>323</v>
      </c>
      <c r="AE5" s="95">
        <v>1.6400000000000001E-2</v>
      </c>
      <c r="AF5" s="95">
        <v>1.2500000000000001E-2</v>
      </c>
      <c r="AG5" s="95">
        <v>1.23E-2</v>
      </c>
      <c r="AH5" s="95">
        <v>2.2200000000000001E-2</v>
      </c>
      <c r="AI5" s="95">
        <v>1.72E-2</v>
      </c>
      <c r="AJ5" s="95">
        <v>1.5900000000000001E-2</v>
      </c>
      <c r="AK5" s="95">
        <v>1.4999999999999999E-2</v>
      </c>
      <c r="AL5" s="95">
        <v>1.4800000000000001E-2</v>
      </c>
      <c r="AM5" s="95">
        <v>1.24E-2</v>
      </c>
      <c r="AN5" s="95">
        <v>0</v>
      </c>
    </row>
    <row r="6" spans="1:40" ht="15.75" thickBot="1">
      <c r="A6" s="301"/>
      <c r="B6" s="264" t="s">
        <v>13</v>
      </c>
      <c r="C6" s="241">
        <f>+ROUND(AVERAGE(M6:M11),0)</f>
        <v>86</v>
      </c>
      <c r="D6" s="241">
        <f>+ROUND(AVERAGE(N6:N11),0)</f>
        <v>82</v>
      </c>
      <c r="E6" s="241">
        <f>+ROUND(AVERAGE(O6:O11),0)</f>
        <v>89</v>
      </c>
      <c r="F6" s="241">
        <f>+ROUND(AVERAGE(P6:P11),0)</f>
        <v>80</v>
      </c>
      <c r="G6" s="288">
        <f>+C6-E6</f>
        <v>-3</v>
      </c>
      <c r="H6" s="244">
        <f>+C6-F6</f>
        <v>6</v>
      </c>
      <c r="I6" s="305" t="s">
        <v>13</v>
      </c>
      <c r="J6" s="307" t="s">
        <v>324</v>
      </c>
      <c r="K6" s="82">
        <v>5</v>
      </c>
      <c r="L6" s="83" t="s">
        <v>325</v>
      </c>
      <c r="M6" s="92">
        <v>89.01</v>
      </c>
      <c r="N6" s="92">
        <v>86.33</v>
      </c>
      <c r="O6" s="92">
        <v>92.02</v>
      </c>
      <c r="P6" s="92">
        <v>82.79</v>
      </c>
      <c r="Q6" s="85">
        <f t="shared" si="0"/>
        <v>2.6800000000000068</v>
      </c>
      <c r="R6" s="86"/>
      <c r="S6" s="86"/>
      <c r="T6" s="86">
        <v>2013</v>
      </c>
      <c r="U6" s="87">
        <v>66</v>
      </c>
      <c r="V6" s="87">
        <v>62</v>
      </c>
      <c r="W6" s="87">
        <v>63</v>
      </c>
      <c r="X6" s="87">
        <v>66</v>
      </c>
      <c r="Y6" s="87">
        <v>65</v>
      </c>
      <c r="Z6" s="87">
        <v>63.842105263157897</v>
      </c>
      <c r="AA6" s="87">
        <v>64</v>
      </c>
      <c r="AB6" s="87">
        <v>57</v>
      </c>
      <c r="AC6" s="86"/>
      <c r="AD6" s="88" t="s">
        <v>326</v>
      </c>
      <c r="AE6" s="96">
        <v>41081</v>
      </c>
      <c r="AF6" s="96">
        <v>41078</v>
      </c>
      <c r="AG6" s="96">
        <v>41076</v>
      </c>
      <c r="AH6" s="96">
        <v>41088</v>
      </c>
      <c r="AI6" s="96">
        <v>41112</v>
      </c>
      <c r="AJ6" s="96">
        <v>41117</v>
      </c>
      <c r="AK6" s="96">
        <v>41484</v>
      </c>
      <c r="AL6" s="96">
        <v>41827</v>
      </c>
      <c r="AM6" s="96">
        <v>42193</v>
      </c>
      <c r="AN6" s="96">
        <v>42559</v>
      </c>
    </row>
    <row r="7" spans="1:40" ht="15.75" thickBot="1">
      <c r="A7" s="301"/>
      <c r="B7" s="265"/>
      <c r="C7" s="228"/>
      <c r="D7" s="228"/>
      <c r="E7" s="228"/>
      <c r="F7" s="228"/>
      <c r="G7" s="268"/>
      <c r="H7" s="218"/>
      <c r="I7" s="305"/>
      <c r="J7" s="307"/>
      <c r="K7" s="82">
        <v>6</v>
      </c>
      <c r="L7" s="83" t="s">
        <v>327</v>
      </c>
      <c r="M7" s="84">
        <v>84.34</v>
      </c>
      <c r="N7" s="84">
        <v>80.52</v>
      </c>
      <c r="O7" s="84">
        <v>89.81</v>
      </c>
      <c r="P7" s="84">
        <v>77.66</v>
      </c>
      <c r="Q7" s="85">
        <f t="shared" si="0"/>
        <v>3.8200000000000074</v>
      </c>
      <c r="R7" s="86"/>
      <c r="S7" s="86"/>
      <c r="T7" s="86">
        <v>2012</v>
      </c>
      <c r="U7" s="87">
        <v>69</v>
      </c>
      <c r="V7" s="87">
        <v>67</v>
      </c>
      <c r="W7" s="87">
        <v>66</v>
      </c>
      <c r="X7" s="87">
        <v>68</v>
      </c>
      <c r="Y7" s="87">
        <v>68</v>
      </c>
      <c r="Z7" s="87">
        <v>67.07692307692308</v>
      </c>
      <c r="AA7" s="87">
        <v>67</v>
      </c>
      <c r="AB7" s="87">
        <v>62</v>
      </c>
      <c r="AC7" s="86"/>
      <c r="AD7" s="88" t="s">
        <v>328</v>
      </c>
      <c r="AE7" s="89" t="s">
        <v>329</v>
      </c>
      <c r="AF7" s="89" t="s">
        <v>329</v>
      </c>
      <c r="AG7" s="89" t="s">
        <v>329</v>
      </c>
      <c r="AH7" s="89" t="s">
        <v>329</v>
      </c>
      <c r="AI7" s="89" t="s">
        <v>329</v>
      </c>
      <c r="AJ7" s="89" t="s">
        <v>329</v>
      </c>
      <c r="AK7" s="89" t="s">
        <v>329</v>
      </c>
      <c r="AL7" s="89" t="s">
        <v>329</v>
      </c>
      <c r="AM7" s="89" t="s">
        <v>329</v>
      </c>
      <c r="AN7" s="89" t="s">
        <v>329</v>
      </c>
    </row>
    <row r="8" spans="1:40" ht="15.75" thickBot="1">
      <c r="A8" s="301"/>
      <c r="B8" s="265"/>
      <c r="C8" s="228"/>
      <c r="D8" s="228"/>
      <c r="E8" s="228"/>
      <c r="F8" s="228"/>
      <c r="G8" s="268"/>
      <c r="H8" s="218"/>
      <c r="I8" s="305"/>
      <c r="J8" s="308"/>
      <c r="K8" s="90">
        <v>7</v>
      </c>
      <c r="L8" s="91" t="s">
        <v>330</v>
      </c>
      <c r="M8" s="94">
        <v>76.25</v>
      </c>
      <c r="N8" s="94">
        <v>72.42</v>
      </c>
      <c r="O8" s="94">
        <v>81.66</v>
      </c>
      <c r="P8" s="94">
        <v>69.28</v>
      </c>
      <c r="Q8" s="85">
        <f t="shared" si="0"/>
        <v>3.8299999999999983</v>
      </c>
      <c r="R8" s="86"/>
      <c r="S8" s="86"/>
      <c r="T8" s="86">
        <v>2011</v>
      </c>
      <c r="U8" s="87">
        <v>62</v>
      </c>
      <c r="V8" s="87">
        <v>61</v>
      </c>
      <c r="W8" s="87">
        <v>60</v>
      </c>
      <c r="X8" s="87">
        <v>62</v>
      </c>
      <c r="Y8" s="87">
        <v>66</v>
      </c>
      <c r="Z8" s="87">
        <v>61.179487179487182</v>
      </c>
      <c r="AA8" s="87">
        <v>62</v>
      </c>
      <c r="AB8" s="87">
        <v>51</v>
      </c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</row>
    <row r="9" spans="1:40" ht="28.5">
      <c r="A9" s="301"/>
      <c r="B9" s="265"/>
      <c r="C9" s="228"/>
      <c r="D9" s="228"/>
      <c r="E9" s="228"/>
      <c r="F9" s="228"/>
      <c r="G9" s="268"/>
      <c r="H9" s="218"/>
      <c r="I9" s="305"/>
      <c r="J9" s="307" t="s">
        <v>331</v>
      </c>
      <c r="K9" s="82">
        <v>8</v>
      </c>
      <c r="L9" s="83" t="s">
        <v>332</v>
      </c>
      <c r="M9" s="92">
        <v>87.18</v>
      </c>
      <c r="N9" s="92">
        <v>82.59</v>
      </c>
      <c r="O9" s="92">
        <v>90.81</v>
      </c>
      <c r="P9" s="92">
        <v>83.23</v>
      </c>
      <c r="Q9" s="85">
        <f t="shared" si="0"/>
        <v>4.5900000000000034</v>
      </c>
      <c r="R9" s="86"/>
      <c r="S9" s="86"/>
      <c r="T9" s="86">
        <v>2010</v>
      </c>
      <c r="U9" s="87">
        <v>65</v>
      </c>
      <c r="V9" s="87">
        <v>63</v>
      </c>
      <c r="W9" s="87">
        <v>61</v>
      </c>
      <c r="X9" s="87">
        <v>61</v>
      </c>
      <c r="Y9" s="87">
        <v>63</v>
      </c>
      <c r="Z9" s="87">
        <v>63.358974358974358</v>
      </c>
      <c r="AA9" s="87">
        <v>63</v>
      </c>
      <c r="AB9" s="87">
        <v>55</v>
      </c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</row>
    <row r="10" spans="1:40" ht="15.75" thickBot="1">
      <c r="A10" s="301"/>
      <c r="B10" s="265"/>
      <c r="C10" s="228"/>
      <c r="D10" s="228"/>
      <c r="E10" s="228"/>
      <c r="F10" s="228"/>
      <c r="G10" s="268"/>
      <c r="H10" s="218"/>
      <c r="I10" s="305"/>
      <c r="J10" s="308"/>
      <c r="K10" s="90">
        <v>9</v>
      </c>
      <c r="L10" s="91" t="s">
        <v>333</v>
      </c>
      <c r="M10" s="94">
        <v>89.17</v>
      </c>
      <c r="N10" s="94">
        <v>86.38</v>
      </c>
      <c r="O10" s="94">
        <v>93.8</v>
      </c>
      <c r="P10" s="94">
        <v>86.01</v>
      </c>
      <c r="Q10" s="85">
        <f t="shared" si="0"/>
        <v>2.7900000000000063</v>
      </c>
      <c r="R10" s="86"/>
      <c r="S10" s="86"/>
      <c r="T10" s="86">
        <v>2009</v>
      </c>
      <c r="U10" s="87">
        <v>66</v>
      </c>
      <c r="V10" s="87">
        <v>64</v>
      </c>
      <c r="W10" s="87">
        <v>61</v>
      </c>
      <c r="X10" s="87">
        <v>58</v>
      </c>
      <c r="Y10" s="87">
        <v>62</v>
      </c>
      <c r="Z10" s="87">
        <v>63.615384615384613</v>
      </c>
      <c r="AA10" s="87">
        <v>62</v>
      </c>
      <c r="AB10" s="87">
        <v>52</v>
      </c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</row>
    <row r="11" spans="1:40" ht="15.75" thickBot="1">
      <c r="A11" s="301"/>
      <c r="B11" s="266"/>
      <c r="C11" s="229"/>
      <c r="D11" s="229"/>
      <c r="E11" s="229"/>
      <c r="F11" s="229"/>
      <c r="G11" s="299"/>
      <c r="H11" s="219"/>
      <c r="I11" s="306"/>
      <c r="J11" s="183" t="s">
        <v>334</v>
      </c>
      <c r="K11" s="90">
        <v>10</v>
      </c>
      <c r="L11" s="91" t="s">
        <v>335</v>
      </c>
      <c r="M11" s="92">
        <v>88.56</v>
      </c>
      <c r="N11" s="92">
        <v>85.59</v>
      </c>
      <c r="O11" s="92">
        <v>88.81</v>
      </c>
      <c r="P11" s="92">
        <v>78.319999999999993</v>
      </c>
      <c r="Q11" s="85">
        <f t="shared" si="0"/>
        <v>2.9699999999999989</v>
      </c>
      <c r="R11" s="86"/>
      <c r="S11" s="86"/>
      <c r="T11" s="86">
        <v>2008</v>
      </c>
      <c r="U11" s="87">
        <v>66</v>
      </c>
      <c r="V11" s="87">
        <v>64</v>
      </c>
      <c r="W11" s="87">
        <v>61</v>
      </c>
      <c r="X11" s="87">
        <v>59</v>
      </c>
      <c r="Y11" s="87">
        <v>62</v>
      </c>
      <c r="Z11" s="87">
        <v>64</v>
      </c>
      <c r="AA11" s="87">
        <v>62</v>
      </c>
      <c r="AB11" s="87">
        <v>48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</row>
    <row r="12" spans="1:40">
      <c r="A12" s="301"/>
      <c r="B12" s="264" t="s">
        <v>14</v>
      </c>
      <c r="C12" s="241">
        <f>+ROUND(AVERAGE(M12:M15),0)</f>
        <v>86</v>
      </c>
      <c r="D12" s="241">
        <f>+ROUND(AVERAGE(N12:N15),0)</f>
        <v>82</v>
      </c>
      <c r="E12" s="241">
        <f>+ROUND(AVERAGE(O12:O15),0)</f>
        <v>90</v>
      </c>
      <c r="F12" s="241">
        <f>+ROUND(AVERAGE(P12:P15),0)</f>
        <v>79</v>
      </c>
      <c r="G12" s="288">
        <f>+C12-E12</f>
        <v>-4</v>
      </c>
      <c r="H12" s="244">
        <f>+C12-F12</f>
        <v>7</v>
      </c>
      <c r="I12" s="305" t="s">
        <v>14</v>
      </c>
      <c r="J12" s="307" t="s">
        <v>336</v>
      </c>
      <c r="K12" s="82">
        <v>11</v>
      </c>
      <c r="L12" s="83" t="s">
        <v>337</v>
      </c>
      <c r="M12" s="92">
        <v>82.4</v>
      </c>
      <c r="N12" s="92">
        <v>79.239999999999995</v>
      </c>
      <c r="O12" s="92">
        <v>87.46</v>
      </c>
      <c r="P12" s="92">
        <v>74.48</v>
      </c>
      <c r="Q12" s="85">
        <f t="shared" si="0"/>
        <v>3.1600000000000108</v>
      </c>
      <c r="R12" s="86"/>
      <c r="S12" s="86"/>
      <c r="T12" s="86">
        <v>2007</v>
      </c>
      <c r="U12" s="87">
        <v>66.721428571428561</v>
      </c>
      <c r="V12" s="87">
        <v>66.944615384615389</v>
      </c>
      <c r="W12" s="87">
        <v>63.770833333333336</v>
      </c>
      <c r="X12" s="87">
        <v>61.237499999999997</v>
      </c>
      <c r="Y12" s="87">
        <v>65.471000000000004</v>
      </c>
      <c r="Z12" s="87">
        <v>66</v>
      </c>
      <c r="AA12" s="87">
        <v>65</v>
      </c>
      <c r="AB12" s="87">
        <v>57.02</v>
      </c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</row>
    <row r="13" spans="1:40">
      <c r="A13" s="301"/>
      <c r="B13" s="265"/>
      <c r="C13" s="228"/>
      <c r="D13" s="228"/>
      <c r="E13" s="228"/>
      <c r="F13" s="228"/>
      <c r="G13" s="268"/>
      <c r="H13" s="218"/>
      <c r="I13" s="305"/>
      <c r="J13" s="307"/>
      <c r="K13" s="82">
        <v>12</v>
      </c>
      <c r="L13" s="83" t="s">
        <v>338</v>
      </c>
      <c r="M13" s="84">
        <v>82.42</v>
      </c>
      <c r="N13" s="84">
        <v>78.900000000000006</v>
      </c>
      <c r="O13" s="84">
        <v>86.41</v>
      </c>
      <c r="P13" s="84">
        <v>74.459999999999994</v>
      </c>
      <c r="Q13" s="85">
        <f t="shared" si="0"/>
        <v>3.519999999999996</v>
      </c>
      <c r="R13" s="86"/>
      <c r="S13" s="86"/>
      <c r="T13" s="86">
        <v>2006</v>
      </c>
      <c r="U13" s="87">
        <v>74.330714285714294</v>
      </c>
      <c r="V13" s="87">
        <v>73.815384615384602</v>
      </c>
      <c r="W13" s="87">
        <v>69.734999999999999</v>
      </c>
      <c r="X13" s="87">
        <v>71.428750000000008</v>
      </c>
      <c r="Y13" s="87">
        <v>73.431000000000012</v>
      </c>
      <c r="Z13" s="87">
        <v>73</v>
      </c>
      <c r="AA13" s="87">
        <v>73</v>
      </c>
      <c r="AB13" s="87">
        <v>70.81</v>
      </c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</row>
    <row r="14" spans="1:40" ht="15.75" thickBot="1">
      <c r="A14" s="301"/>
      <c r="B14" s="265"/>
      <c r="C14" s="228"/>
      <c r="D14" s="228"/>
      <c r="E14" s="228"/>
      <c r="F14" s="228"/>
      <c r="G14" s="268"/>
      <c r="H14" s="218"/>
      <c r="I14" s="305"/>
      <c r="J14" s="308"/>
      <c r="K14" s="90">
        <v>13</v>
      </c>
      <c r="L14" s="91" t="s">
        <v>339</v>
      </c>
      <c r="M14" s="94">
        <v>85.31</v>
      </c>
      <c r="N14" s="94">
        <v>81.11</v>
      </c>
      <c r="O14" s="94">
        <v>91.27</v>
      </c>
      <c r="P14" s="94">
        <v>81.56</v>
      </c>
      <c r="Q14" s="85">
        <f t="shared" si="0"/>
        <v>4.2000000000000028</v>
      </c>
      <c r="R14" s="86"/>
      <c r="S14" s="86"/>
      <c r="T14" s="86">
        <v>2005</v>
      </c>
      <c r="U14" s="87">
        <v>70</v>
      </c>
      <c r="V14" s="87">
        <v>71</v>
      </c>
      <c r="W14" s="87">
        <v>66</v>
      </c>
      <c r="X14" s="87">
        <v>67</v>
      </c>
      <c r="Y14" s="87">
        <v>69</v>
      </c>
      <c r="Z14" s="87">
        <v>69</v>
      </c>
      <c r="AA14" s="87">
        <v>69</v>
      </c>
      <c r="AB14" s="87">
        <v>66.099999999999994</v>
      </c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</row>
    <row r="15" spans="1:40" ht="15.75" thickBot="1">
      <c r="A15" s="302"/>
      <c r="B15" s="303"/>
      <c r="C15" s="242"/>
      <c r="D15" s="242"/>
      <c r="E15" s="242"/>
      <c r="F15" s="242"/>
      <c r="G15" s="304"/>
      <c r="H15" s="245"/>
      <c r="I15" s="306"/>
      <c r="J15" s="183" t="s">
        <v>340</v>
      </c>
      <c r="K15" s="90">
        <v>14</v>
      </c>
      <c r="L15" s="91" t="s">
        <v>341</v>
      </c>
      <c r="M15" s="97">
        <v>92.33</v>
      </c>
      <c r="N15" s="97">
        <v>90.16</v>
      </c>
      <c r="O15" s="97">
        <v>94.49</v>
      </c>
      <c r="P15" s="97">
        <v>86.62</v>
      </c>
      <c r="Q15" s="85">
        <f t="shared" si="0"/>
        <v>2.1700000000000017</v>
      </c>
      <c r="R15" s="86"/>
      <c r="S15" s="86"/>
      <c r="T15" s="86">
        <v>2004</v>
      </c>
      <c r="U15" s="87"/>
      <c r="V15" s="87"/>
      <c r="W15" s="87"/>
      <c r="X15" s="87"/>
      <c r="Y15" s="87"/>
      <c r="Z15" s="87"/>
      <c r="AA15" s="87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</row>
    <row r="16" spans="1:40" ht="43.5" thickBot="1">
      <c r="A16" s="64" t="s">
        <v>296</v>
      </c>
      <c r="B16" s="64" t="s">
        <v>297</v>
      </c>
      <c r="C16" s="65">
        <v>2016</v>
      </c>
      <c r="D16" s="65">
        <v>2015</v>
      </c>
      <c r="E16" s="66" t="s">
        <v>298</v>
      </c>
      <c r="F16" s="66" t="s">
        <v>299</v>
      </c>
      <c r="G16" s="65" t="s">
        <v>300</v>
      </c>
      <c r="H16" s="67" t="s">
        <v>301</v>
      </c>
      <c r="I16" s="68" t="s">
        <v>302</v>
      </c>
      <c r="J16" s="69"/>
      <c r="K16" s="69" t="s">
        <v>303</v>
      </c>
      <c r="L16" s="69" t="s">
        <v>304</v>
      </c>
      <c r="M16" s="70">
        <v>2016</v>
      </c>
      <c r="N16" s="70">
        <v>2015</v>
      </c>
      <c r="O16" s="70" t="s">
        <v>298</v>
      </c>
      <c r="P16" s="70" t="s">
        <v>299</v>
      </c>
      <c r="Q16" s="85"/>
      <c r="R16" s="72"/>
      <c r="S16" s="72"/>
      <c r="T16" s="86">
        <v>2003</v>
      </c>
      <c r="U16" s="87"/>
      <c r="V16" s="87"/>
      <c r="W16" s="87"/>
      <c r="X16" s="87"/>
      <c r="Y16" s="87"/>
      <c r="Z16" s="87"/>
      <c r="AA16" s="87"/>
      <c r="AB16" s="86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</row>
    <row r="17" spans="1:40">
      <c r="A17" s="300" t="s">
        <v>342</v>
      </c>
      <c r="B17" s="264" t="s">
        <v>15</v>
      </c>
      <c r="C17" s="241">
        <f>+ROUND(AVERAGE(M17:M20),0)</f>
        <v>82</v>
      </c>
      <c r="D17" s="241">
        <f>+ROUND(AVERAGE(N17:N20),0)</f>
        <v>79</v>
      </c>
      <c r="E17" s="241">
        <f>+ROUND(AVERAGE(O17:O20),0)</f>
        <v>89</v>
      </c>
      <c r="F17" s="241">
        <f>+ROUND(AVERAGE(P17:P20),0)</f>
        <v>77</v>
      </c>
      <c r="G17" s="288">
        <f>+C17-E17</f>
        <v>-7</v>
      </c>
      <c r="H17" s="244">
        <f>+C17-F17</f>
        <v>5</v>
      </c>
      <c r="I17" s="281" t="s">
        <v>15</v>
      </c>
      <c r="J17" s="298" t="s">
        <v>343</v>
      </c>
      <c r="K17" s="98">
        <v>15</v>
      </c>
      <c r="L17" s="99" t="s">
        <v>344</v>
      </c>
      <c r="M17" s="100">
        <v>79.709999999999994</v>
      </c>
      <c r="N17" s="100">
        <v>78.09</v>
      </c>
      <c r="O17" s="100">
        <v>90.38</v>
      </c>
      <c r="P17" s="100">
        <v>75.58</v>
      </c>
      <c r="Q17" s="85">
        <f t="shared" si="0"/>
        <v>1.6199999999999903</v>
      </c>
      <c r="R17" s="86"/>
      <c r="S17" s="86"/>
      <c r="T17" s="86">
        <v>2002</v>
      </c>
      <c r="U17" s="87"/>
      <c r="V17" s="87"/>
      <c r="W17" s="87"/>
      <c r="X17" s="87"/>
      <c r="Y17" s="87"/>
      <c r="Z17" s="87"/>
      <c r="AA17" s="87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</row>
    <row r="18" spans="1:40" ht="15.75" thickBot="1">
      <c r="A18" s="300"/>
      <c r="B18" s="265"/>
      <c r="C18" s="228"/>
      <c r="D18" s="228"/>
      <c r="E18" s="228"/>
      <c r="F18" s="228"/>
      <c r="G18" s="268"/>
      <c r="H18" s="218"/>
      <c r="I18" s="282"/>
      <c r="J18" s="285"/>
      <c r="K18" s="101">
        <v>16</v>
      </c>
      <c r="L18" s="91" t="s">
        <v>345</v>
      </c>
      <c r="M18" s="102">
        <v>83.11</v>
      </c>
      <c r="N18" s="102">
        <v>79.209999999999994</v>
      </c>
      <c r="O18" s="102">
        <v>90.31</v>
      </c>
      <c r="P18" s="102">
        <v>80.12</v>
      </c>
      <c r="Q18" s="85">
        <f t="shared" si="0"/>
        <v>3.9000000000000057</v>
      </c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</row>
    <row r="19" spans="1:40">
      <c r="A19" s="300"/>
      <c r="B19" s="265"/>
      <c r="C19" s="228"/>
      <c r="D19" s="228"/>
      <c r="E19" s="228"/>
      <c r="F19" s="228"/>
      <c r="G19" s="268"/>
      <c r="H19" s="218"/>
      <c r="I19" s="282"/>
      <c r="J19" s="284" t="s">
        <v>346</v>
      </c>
      <c r="K19" s="103">
        <v>17</v>
      </c>
      <c r="L19" s="83" t="s">
        <v>347</v>
      </c>
      <c r="M19" s="100">
        <v>79.77</v>
      </c>
      <c r="N19" s="100">
        <v>75.95</v>
      </c>
      <c r="O19" s="100">
        <v>86.87</v>
      </c>
      <c r="P19" s="100">
        <v>72.39</v>
      </c>
      <c r="Q19" s="85">
        <f t="shared" si="0"/>
        <v>3.8199999999999932</v>
      </c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</row>
    <row r="20" spans="1:40" ht="15.75" thickBot="1">
      <c r="A20" s="300"/>
      <c r="B20" s="266"/>
      <c r="C20" s="229"/>
      <c r="D20" s="229"/>
      <c r="E20" s="229"/>
      <c r="F20" s="229"/>
      <c r="G20" s="299"/>
      <c r="H20" s="219"/>
      <c r="I20" s="283"/>
      <c r="J20" s="285"/>
      <c r="K20" s="101">
        <v>18</v>
      </c>
      <c r="L20" s="91" t="s">
        <v>348</v>
      </c>
      <c r="M20" s="102">
        <v>85.53</v>
      </c>
      <c r="N20" s="102">
        <v>81.819999999999993</v>
      </c>
      <c r="O20" s="102">
        <v>90.24</v>
      </c>
      <c r="P20" s="102">
        <v>80.569999999999993</v>
      </c>
      <c r="Q20" s="85">
        <f t="shared" si="0"/>
        <v>3.710000000000008</v>
      </c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</row>
    <row r="21" spans="1:40" ht="28.5">
      <c r="A21" s="300"/>
      <c r="B21" s="264" t="s">
        <v>16</v>
      </c>
      <c r="C21" s="241">
        <f>+ROUND(AVERAGE(M21:M22),0)</f>
        <v>81</v>
      </c>
      <c r="D21" s="241">
        <f>+ROUND(AVERAGE(N21:N22),0)</f>
        <v>77</v>
      </c>
      <c r="E21" s="241">
        <f>+ROUND(AVERAGE(O21:O22),0)</f>
        <v>87</v>
      </c>
      <c r="F21" s="241">
        <f>+ROUND(AVERAGE(P21:P22),0)</f>
        <v>73</v>
      </c>
      <c r="G21" s="288">
        <f>+C21-E21</f>
        <v>-6</v>
      </c>
      <c r="H21" s="244">
        <f>+C21-F21</f>
        <v>8</v>
      </c>
      <c r="I21" s="281" t="s">
        <v>16</v>
      </c>
      <c r="J21" s="284" t="s">
        <v>349</v>
      </c>
      <c r="K21" s="103">
        <v>19</v>
      </c>
      <c r="L21" s="83" t="s">
        <v>350</v>
      </c>
      <c r="M21" s="100">
        <v>83.52</v>
      </c>
      <c r="N21" s="100">
        <v>80.23</v>
      </c>
      <c r="O21" s="100">
        <v>89.1</v>
      </c>
      <c r="P21" s="100">
        <v>75.97</v>
      </c>
      <c r="Q21" s="85">
        <f t="shared" si="0"/>
        <v>3.289999999999992</v>
      </c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</row>
    <row r="22" spans="1:40" ht="29.25" thickBot="1">
      <c r="A22" s="300"/>
      <c r="B22" s="266"/>
      <c r="C22" s="229"/>
      <c r="D22" s="229"/>
      <c r="E22" s="229"/>
      <c r="F22" s="229"/>
      <c r="G22" s="299"/>
      <c r="H22" s="219"/>
      <c r="I22" s="283"/>
      <c r="J22" s="285"/>
      <c r="K22" s="101">
        <v>20</v>
      </c>
      <c r="L22" s="91" t="s">
        <v>351</v>
      </c>
      <c r="M22" s="102">
        <v>79.17</v>
      </c>
      <c r="N22" s="102">
        <v>74.58</v>
      </c>
      <c r="O22" s="102">
        <v>85.39</v>
      </c>
      <c r="P22" s="102">
        <v>69.849999999999994</v>
      </c>
      <c r="Q22" s="85">
        <f t="shared" si="0"/>
        <v>4.5900000000000034</v>
      </c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</row>
    <row r="23" spans="1:40">
      <c r="A23" s="300"/>
      <c r="B23" s="264" t="s">
        <v>17</v>
      </c>
      <c r="C23" s="241">
        <f>+ROUND(AVERAGE(M23:M29),0)</f>
        <v>81</v>
      </c>
      <c r="D23" s="241">
        <f>+ROUND(AVERAGE(N23:N29),0)</f>
        <v>77</v>
      </c>
      <c r="E23" s="241">
        <f>+ROUND(AVERAGE(O23:O29),0)</f>
        <v>89</v>
      </c>
      <c r="F23" s="241">
        <f>+ROUND(AVERAGE(P23:P29),0)</f>
        <v>78</v>
      </c>
      <c r="G23" s="288">
        <f>+C23-E23</f>
        <v>-8</v>
      </c>
      <c r="H23" s="244">
        <f>+C23-F23</f>
        <v>3</v>
      </c>
      <c r="I23" s="281" t="s">
        <v>17</v>
      </c>
      <c r="J23" s="284" t="s">
        <v>352</v>
      </c>
      <c r="K23" s="103">
        <v>21</v>
      </c>
      <c r="L23" s="83" t="s">
        <v>353</v>
      </c>
      <c r="M23" s="100">
        <v>91.17</v>
      </c>
      <c r="N23" s="100">
        <v>87.92</v>
      </c>
      <c r="O23" s="100">
        <v>93.89</v>
      </c>
      <c r="P23" s="100">
        <v>87.06</v>
      </c>
      <c r="Q23" s="85">
        <f t="shared" si="0"/>
        <v>3.25</v>
      </c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</row>
    <row r="24" spans="1:40">
      <c r="A24" s="300"/>
      <c r="B24" s="265"/>
      <c r="C24" s="228"/>
      <c r="D24" s="228"/>
      <c r="E24" s="228"/>
      <c r="F24" s="228"/>
      <c r="G24" s="268"/>
      <c r="H24" s="218"/>
      <c r="I24" s="282"/>
      <c r="J24" s="284"/>
      <c r="K24" s="103">
        <v>22</v>
      </c>
      <c r="L24" s="83" t="s">
        <v>354</v>
      </c>
      <c r="M24" s="104">
        <v>69.52</v>
      </c>
      <c r="N24" s="104">
        <v>62.9</v>
      </c>
      <c r="O24" s="104">
        <v>84.39</v>
      </c>
      <c r="P24" s="104">
        <v>75.239999999999995</v>
      </c>
      <c r="Q24" s="85">
        <f t="shared" si="0"/>
        <v>6.6199999999999974</v>
      </c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</row>
    <row r="25" spans="1:40" ht="15.75" thickBot="1">
      <c r="A25" s="300"/>
      <c r="B25" s="265"/>
      <c r="C25" s="228"/>
      <c r="D25" s="228"/>
      <c r="E25" s="228"/>
      <c r="F25" s="228"/>
      <c r="G25" s="268"/>
      <c r="H25" s="218"/>
      <c r="I25" s="282"/>
      <c r="J25" s="285"/>
      <c r="K25" s="101">
        <v>23</v>
      </c>
      <c r="L25" s="91" t="s">
        <v>355</v>
      </c>
      <c r="M25" s="102">
        <v>80.98</v>
      </c>
      <c r="N25" s="102">
        <v>79.680000000000007</v>
      </c>
      <c r="O25" s="102">
        <v>91.12</v>
      </c>
      <c r="P25" s="102">
        <v>79.72</v>
      </c>
      <c r="Q25" s="85">
        <f t="shared" si="0"/>
        <v>1.2999999999999972</v>
      </c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</row>
    <row r="26" spans="1:40">
      <c r="A26" s="300"/>
      <c r="B26" s="265"/>
      <c r="C26" s="228"/>
      <c r="D26" s="228"/>
      <c r="E26" s="228"/>
      <c r="F26" s="228"/>
      <c r="G26" s="268"/>
      <c r="H26" s="218"/>
      <c r="I26" s="282"/>
      <c r="J26" s="284" t="s">
        <v>356</v>
      </c>
      <c r="K26" s="103">
        <v>24</v>
      </c>
      <c r="L26" s="83" t="s">
        <v>357</v>
      </c>
      <c r="M26" s="100">
        <v>84.76</v>
      </c>
      <c r="N26" s="100">
        <v>80.78</v>
      </c>
      <c r="O26" s="100">
        <v>89.06</v>
      </c>
      <c r="P26" s="100">
        <v>84.38</v>
      </c>
      <c r="Q26" s="85">
        <f t="shared" si="0"/>
        <v>3.980000000000004</v>
      </c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</row>
    <row r="27" spans="1:40">
      <c r="A27" s="300"/>
      <c r="B27" s="265"/>
      <c r="C27" s="228"/>
      <c r="D27" s="228"/>
      <c r="E27" s="228"/>
      <c r="F27" s="228"/>
      <c r="G27" s="268"/>
      <c r="H27" s="218"/>
      <c r="I27" s="282"/>
      <c r="J27" s="284"/>
      <c r="K27" s="103">
        <v>25</v>
      </c>
      <c r="L27" s="83" t="s">
        <v>358</v>
      </c>
      <c r="M27" s="104">
        <v>75.88</v>
      </c>
      <c r="N27" s="104">
        <v>70.78</v>
      </c>
      <c r="O27" s="104">
        <v>82.86</v>
      </c>
      <c r="P27" s="104">
        <v>71.58</v>
      </c>
      <c r="Q27" s="85">
        <f t="shared" si="0"/>
        <v>5.0999999999999943</v>
      </c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</row>
    <row r="28" spans="1:40">
      <c r="A28" s="300"/>
      <c r="B28" s="265"/>
      <c r="C28" s="228"/>
      <c r="D28" s="228"/>
      <c r="E28" s="228"/>
      <c r="F28" s="228"/>
      <c r="G28" s="268"/>
      <c r="H28" s="218"/>
      <c r="I28" s="282"/>
      <c r="J28" s="284"/>
      <c r="K28" s="103">
        <v>26</v>
      </c>
      <c r="L28" s="83" t="s">
        <v>359</v>
      </c>
      <c r="M28" s="104">
        <v>85.43</v>
      </c>
      <c r="N28" s="104">
        <v>82.23</v>
      </c>
      <c r="O28" s="104">
        <v>89.55</v>
      </c>
      <c r="P28" s="104">
        <v>78.52</v>
      </c>
      <c r="Q28" s="85">
        <f t="shared" si="0"/>
        <v>3.2000000000000028</v>
      </c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</row>
    <row r="29" spans="1:40" ht="15.75" thickBot="1">
      <c r="A29" s="300"/>
      <c r="B29" s="303"/>
      <c r="C29" s="242"/>
      <c r="D29" s="242"/>
      <c r="E29" s="242"/>
      <c r="F29" s="242"/>
      <c r="G29" s="304"/>
      <c r="H29" s="245"/>
      <c r="I29" s="283"/>
      <c r="J29" s="285"/>
      <c r="K29" s="101">
        <v>27</v>
      </c>
      <c r="L29" s="91" t="s">
        <v>360</v>
      </c>
      <c r="M29" s="105">
        <v>81.680000000000007</v>
      </c>
      <c r="N29" s="105">
        <v>74.459999999999994</v>
      </c>
      <c r="O29" s="105">
        <v>88.64</v>
      </c>
      <c r="P29" s="105">
        <v>72.95</v>
      </c>
      <c r="Q29" s="85">
        <f t="shared" si="0"/>
        <v>7.2200000000000131</v>
      </c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</row>
    <row r="30" spans="1:40" ht="44.25" thickTop="1" thickBot="1">
      <c r="A30" s="64" t="s">
        <v>296</v>
      </c>
      <c r="B30" s="64" t="s">
        <v>297</v>
      </c>
      <c r="C30" s="65">
        <v>2016</v>
      </c>
      <c r="D30" s="65">
        <v>2015</v>
      </c>
      <c r="E30" s="66" t="s">
        <v>298</v>
      </c>
      <c r="F30" s="66" t="s">
        <v>299</v>
      </c>
      <c r="G30" s="65" t="s">
        <v>300</v>
      </c>
      <c r="H30" s="67" t="s">
        <v>301</v>
      </c>
      <c r="I30" s="68" t="s">
        <v>302</v>
      </c>
      <c r="J30" s="69"/>
      <c r="K30" s="69" t="s">
        <v>303</v>
      </c>
      <c r="L30" s="69" t="s">
        <v>304</v>
      </c>
      <c r="M30" s="70">
        <v>2016</v>
      </c>
      <c r="N30" s="70">
        <v>2015</v>
      </c>
      <c r="O30" s="70" t="s">
        <v>298</v>
      </c>
      <c r="P30" s="70" t="s">
        <v>299</v>
      </c>
      <c r="Q30" s="85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</row>
    <row r="31" spans="1:40">
      <c r="A31" s="286" t="s">
        <v>361</v>
      </c>
      <c r="B31" s="264" t="s">
        <v>18</v>
      </c>
      <c r="C31" s="241">
        <f>+ROUND(AVERAGE(M31:M34),0)</f>
        <v>69</v>
      </c>
      <c r="D31" s="241">
        <f>+ROUND(AVERAGE(N31:N34),0)</f>
        <v>63</v>
      </c>
      <c r="E31" s="241">
        <f>+ROUND(AVERAGE(O31:O34),0)</f>
        <v>77</v>
      </c>
      <c r="F31" s="241">
        <f>+ROUND(AVERAGE(P31:P34),0)</f>
        <v>65</v>
      </c>
      <c r="G31" s="288">
        <f>+C31-E31</f>
        <v>-8</v>
      </c>
      <c r="H31" s="244">
        <f>+C31-F31</f>
        <v>4</v>
      </c>
      <c r="I31" s="273" t="s">
        <v>18</v>
      </c>
      <c r="J31" s="289" t="s">
        <v>362</v>
      </c>
      <c r="K31" s="106">
        <v>28</v>
      </c>
      <c r="L31" s="107" t="s">
        <v>363</v>
      </c>
      <c r="M31" s="100">
        <v>63.94</v>
      </c>
      <c r="N31" s="100">
        <v>58.53</v>
      </c>
      <c r="O31" s="100">
        <v>63.86</v>
      </c>
      <c r="P31" s="100">
        <v>53.61</v>
      </c>
      <c r="Q31" s="85">
        <f t="shared" si="0"/>
        <v>5.4099999999999966</v>
      </c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</row>
    <row r="32" spans="1:40" ht="15.75" thickBot="1">
      <c r="A32" s="286"/>
      <c r="B32" s="265"/>
      <c r="C32" s="228"/>
      <c r="D32" s="228"/>
      <c r="E32" s="228"/>
      <c r="F32" s="228"/>
      <c r="G32" s="268"/>
      <c r="H32" s="218"/>
      <c r="I32" s="273"/>
      <c r="J32" s="276"/>
      <c r="K32" s="103">
        <v>29</v>
      </c>
      <c r="L32" s="83" t="s">
        <v>364</v>
      </c>
      <c r="M32" s="102">
        <v>45.85</v>
      </c>
      <c r="N32" s="102">
        <v>40.159999999999997</v>
      </c>
      <c r="O32" s="102">
        <v>60.32</v>
      </c>
      <c r="P32" s="102">
        <v>46.37</v>
      </c>
      <c r="Q32" s="85">
        <f t="shared" si="0"/>
        <v>5.6900000000000048</v>
      </c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</row>
    <row r="33" spans="1:40">
      <c r="A33" s="286"/>
      <c r="B33" s="265"/>
      <c r="C33" s="228"/>
      <c r="D33" s="228"/>
      <c r="E33" s="228"/>
      <c r="F33" s="228"/>
      <c r="G33" s="268"/>
      <c r="H33" s="218"/>
      <c r="I33" s="273"/>
      <c r="J33" s="275" t="s">
        <v>365</v>
      </c>
      <c r="K33" s="98">
        <v>30</v>
      </c>
      <c r="L33" s="99" t="s">
        <v>366</v>
      </c>
      <c r="M33" s="100">
        <v>72.17</v>
      </c>
      <c r="N33" s="100">
        <v>65.27</v>
      </c>
      <c r="O33" s="100">
        <v>87.32</v>
      </c>
      <c r="P33" s="100">
        <v>68.23</v>
      </c>
      <c r="Q33" s="85">
        <f t="shared" si="0"/>
        <v>6.9000000000000057</v>
      </c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</row>
    <row r="34" spans="1:40" ht="15.75" thickBot="1">
      <c r="A34" s="286"/>
      <c r="B34" s="266"/>
      <c r="C34" s="229"/>
      <c r="D34" s="229"/>
      <c r="E34" s="229"/>
      <c r="F34" s="229"/>
      <c r="G34" s="268"/>
      <c r="H34" s="219"/>
      <c r="I34" s="274"/>
      <c r="J34" s="290"/>
      <c r="K34" s="101">
        <v>31</v>
      </c>
      <c r="L34" s="91" t="s">
        <v>367</v>
      </c>
      <c r="M34" s="102">
        <v>92.08</v>
      </c>
      <c r="N34" s="102">
        <v>89.27</v>
      </c>
      <c r="O34" s="102">
        <v>96.07</v>
      </c>
      <c r="P34" s="102">
        <v>90.73</v>
      </c>
      <c r="Q34" s="85">
        <f t="shared" si="0"/>
        <v>2.8100000000000023</v>
      </c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</row>
    <row r="35" spans="1:40">
      <c r="A35" s="286"/>
      <c r="B35" s="291" t="s">
        <v>19</v>
      </c>
      <c r="C35" s="241">
        <f>+ROUND(AVERAGE(M35:M37),0)</f>
        <v>68</v>
      </c>
      <c r="D35" s="241">
        <f>+ROUND(AVERAGE(N35:N37),0)</f>
        <v>62</v>
      </c>
      <c r="E35" s="241">
        <f>+ROUND(AVERAGE(O35:O37),0)</f>
        <v>78</v>
      </c>
      <c r="F35" s="241">
        <f>+ROUND(AVERAGE(P35:P37),0)</f>
        <v>64</v>
      </c>
      <c r="G35" s="243">
        <f>+C35-E35</f>
        <v>-10</v>
      </c>
      <c r="H35" s="244">
        <f>+C35-F35</f>
        <v>4</v>
      </c>
      <c r="I35" s="294" t="s">
        <v>19</v>
      </c>
      <c r="J35" s="294"/>
      <c r="K35" s="103">
        <v>32</v>
      </c>
      <c r="L35" s="83" t="s">
        <v>368</v>
      </c>
      <c r="M35" s="100">
        <v>58.81</v>
      </c>
      <c r="N35" s="100">
        <v>53.37</v>
      </c>
      <c r="O35" s="100">
        <v>74.13</v>
      </c>
      <c r="P35" s="100">
        <v>60.01</v>
      </c>
      <c r="Q35" s="85">
        <f t="shared" si="0"/>
        <v>5.4400000000000048</v>
      </c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</row>
    <row r="36" spans="1:40">
      <c r="A36" s="286"/>
      <c r="B36" s="292"/>
      <c r="C36" s="228"/>
      <c r="D36" s="228"/>
      <c r="E36" s="228"/>
      <c r="F36" s="228"/>
      <c r="G36" s="231"/>
      <c r="H36" s="218"/>
      <c r="I36" s="295"/>
      <c r="J36" s="295"/>
      <c r="K36" s="103">
        <v>33</v>
      </c>
      <c r="L36" s="83" t="s">
        <v>369</v>
      </c>
      <c r="M36" s="104">
        <v>73.19</v>
      </c>
      <c r="N36" s="104">
        <v>68.22</v>
      </c>
      <c r="O36" s="104">
        <v>77.489999999999995</v>
      </c>
      <c r="P36" s="104">
        <v>64.290000000000006</v>
      </c>
      <c r="Q36" s="85">
        <f t="shared" si="0"/>
        <v>4.9699999999999989</v>
      </c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</row>
    <row r="37" spans="1:40" ht="15.75" thickBot="1">
      <c r="A37" s="286"/>
      <c r="B37" s="293"/>
      <c r="C37" s="229"/>
      <c r="D37" s="229"/>
      <c r="E37" s="229"/>
      <c r="F37" s="229"/>
      <c r="G37" s="232"/>
      <c r="H37" s="219"/>
      <c r="I37" s="296"/>
      <c r="J37" s="296"/>
      <c r="K37" s="101">
        <v>34</v>
      </c>
      <c r="L37" s="91" t="s">
        <v>370</v>
      </c>
      <c r="M37" s="102">
        <v>71.930000000000007</v>
      </c>
      <c r="N37" s="102">
        <v>65.42</v>
      </c>
      <c r="O37" s="102">
        <v>81.13</v>
      </c>
      <c r="P37" s="102">
        <v>68.75</v>
      </c>
      <c r="Q37" s="85">
        <f t="shared" si="0"/>
        <v>6.5100000000000051</v>
      </c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</row>
    <row r="38" spans="1:40">
      <c r="A38" s="286"/>
      <c r="B38" s="264" t="s">
        <v>20</v>
      </c>
      <c r="C38" s="241">
        <f>+ROUND(AVERAGE(M38:M42),0)</f>
        <v>91</v>
      </c>
      <c r="D38" s="241">
        <f>+ROUND(AVERAGE(N38:N42),0)</f>
        <v>89</v>
      </c>
      <c r="E38" s="241">
        <f>+ROUND(AVERAGE(O38:O42),0)</f>
        <v>96</v>
      </c>
      <c r="F38" s="241">
        <f>+ROUND(AVERAGE(P38:P42),0)</f>
        <v>91</v>
      </c>
      <c r="G38" s="267">
        <f>+C38-E38</f>
        <v>-5</v>
      </c>
      <c r="H38" s="244">
        <f>+C38-F38</f>
        <v>0</v>
      </c>
      <c r="I38" s="272" t="s">
        <v>20</v>
      </c>
      <c r="J38" s="275" t="s">
        <v>371</v>
      </c>
      <c r="K38" s="98">
        <v>35</v>
      </c>
      <c r="L38" s="99" t="s">
        <v>372</v>
      </c>
      <c r="M38" s="100">
        <v>85.43</v>
      </c>
      <c r="N38" s="100">
        <v>82.03</v>
      </c>
      <c r="O38" s="100">
        <v>94.36</v>
      </c>
      <c r="P38" s="100">
        <v>88.94</v>
      </c>
      <c r="Q38" s="85">
        <f t="shared" si="0"/>
        <v>3.4000000000000057</v>
      </c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</row>
    <row r="39" spans="1:40">
      <c r="A39" s="286"/>
      <c r="B39" s="265"/>
      <c r="C39" s="228"/>
      <c r="D39" s="228"/>
      <c r="E39" s="228"/>
      <c r="F39" s="228"/>
      <c r="G39" s="268"/>
      <c r="H39" s="218"/>
      <c r="I39" s="273"/>
      <c r="J39" s="276"/>
      <c r="K39" s="103">
        <v>36</v>
      </c>
      <c r="L39" s="83" t="s">
        <v>373</v>
      </c>
      <c r="M39" s="104">
        <v>96.52</v>
      </c>
      <c r="N39" s="104">
        <v>94.93</v>
      </c>
      <c r="O39" s="104">
        <v>97.91</v>
      </c>
      <c r="P39" s="104">
        <v>94.99</v>
      </c>
      <c r="Q39" s="85">
        <f t="shared" si="0"/>
        <v>1.5899999999999892</v>
      </c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</row>
    <row r="40" spans="1:40">
      <c r="A40" s="286"/>
      <c r="B40" s="265"/>
      <c r="C40" s="228"/>
      <c r="D40" s="228"/>
      <c r="E40" s="228"/>
      <c r="F40" s="228"/>
      <c r="G40" s="268"/>
      <c r="H40" s="218"/>
      <c r="I40" s="273"/>
      <c r="J40" s="276"/>
      <c r="K40" s="103">
        <v>37</v>
      </c>
      <c r="L40" s="83" t="s">
        <v>374</v>
      </c>
      <c r="M40" s="104">
        <v>94.97</v>
      </c>
      <c r="N40" s="104">
        <v>93.2</v>
      </c>
      <c r="O40" s="104">
        <v>97.37</v>
      </c>
      <c r="P40" s="104">
        <v>94.39</v>
      </c>
      <c r="Q40" s="85">
        <f t="shared" si="0"/>
        <v>1.769999999999996</v>
      </c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</row>
    <row r="41" spans="1:40" ht="15.75" thickBot="1">
      <c r="A41" s="286"/>
      <c r="B41" s="265"/>
      <c r="C41" s="228"/>
      <c r="D41" s="228"/>
      <c r="E41" s="228"/>
      <c r="F41" s="228"/>
      <c r="G41" s="268"/>
      <c r="H41" s="218"/>
      <c r="I41" s="273"/>
      <c r="J41" s="276"/>
      <c r="K41" s="103">
        <v>38</v>
      </c>
      <c r="L41" s="91" t="s">
        <v>375</v>
      </c>
      <c r="M41" s="102">
        <v>93.83</v>
      </c>
      <c r="N41" s="102">
        <v>91.3</v>
      </c>
      <c r="O41" s="102">
        <v>96.74</v>
      </c>
      <c r="P41" s="102">
        <v>92.77</v>
      </c>
      <c r="Q41" s="85">
        <f t="shared" si="0"/>
        <v>2.5300000000000011</v>
      </c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</row>
    <row r="42" spans="1:40" ht="29.25" thickBot="1">
      <c r="A42" s="287"/>
      <c r="B42" s="297"/>
      <c r="C42" s="269"/>
      <c r="D42" s="269"/>
      <c r="E42" s="269"/>
      <c r="F42" s="269"/>
      <c r="G42" s="270"/>
      <c r="H42" s="271"/>
      <c r="I42" s="274"/>
      <c r="J42" s="108" t="s">
        <v>376</v>
      </c>
      <c r="K42" s="109">
        <v>39</v>
      </c>
      <c r="L42" s="91" t="s">
        <v>377</v>
      </c>
      <c r="M42" s="110">
        <v>84.65</v>
      </c>
      <c r="N42" s="110">
        <v>81.040000000000006</v>
      </c>
      <c r="O42" s="110">
        <v>92.19</v>
      </c>
      <c r="P42" s="110">
        <v>82.14</v>
      </c>
      <c r="Q42" s="85">
        <f t="shared" si="0"/>
        <v>3.6099999999999994</v>
      </c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</row>
    <row r="43" spans="1:40" ht="44.25" thickTop="1" thickBot="1">
      <c r="A43" s="64" t="s">
        <v>296</v>
      </c>
      <c r="B43" s="64" t="s">
        <v>297</v>
      </c>
      <c r="C43" s="65">
        <v>2016</v>
      </c>
      <c r="D43" s="65">
        <v>2015</v>
      </c>
      <c r="E43" s="66" t="s">
        <v>298</v>
      </c>
      <c r="F43" s="66" t="s">
        <v>299</v>
      </c>
      <c r="G43" s="65" t="s">
        <v>300</v>
      </c>
      <c r="H43" s="67" t="s">
        <v>301</v>
      </c>
      <c r="I43" s="68" t="s">
        <v>302</v>
      </c>
      <c r="J43" s="69"/>
      <c r="K43" s="69" t="s">
        <v>303</v>
      </c>
      <c r="L43" s="69" t="s">
        <v>304</v>
      </c>
      <c r="M43" s="70">
        <v>2016</v>
      </c>
      <c r="N43" s="70">
        <v>2015</v>
      </c>
      <c r="O43" s="70" t="s">
        <v>298</v>
      </c>
      <c r="P43" s="70" t="s">
        <v>299</v>
      </c>
      <c r="Q43" s="85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277" t="s">
        <v>378</v>
      </c>
      <c r="B44" s="259" t="s">
        <v>21</v>
      </c>
      <c r="C44" s="228">
        <f>+ROUND(AVERAGE(M44:M45),0)</f>
        <v>81</v>
      </c>
      <c r="D44" s="228">
        <f>+ROUND(AVERAGE(N44:N45),0)</f>
        <v>76</v>
      </c>
      <c r="E44" s="228">
        <f>+ROUND(AVERAGE(O44:O45),0)</f>
        <v>88</v>
      </c>
      <c r="F44" s="228">
        <f>+ROUND(AVERAGE(P44:P45),0)</f>
        <v>77</v>
      </c>
      <c r="G44" s="230">
        <f>+C44-E44</f>
        <v>-7</v>
      </c>
      <c r="H44" s="218">
        <f>+C44-F44</f>
        <v>4</v>
      </c>
      <c r="I44" s="250" t="s">
        <v>21</v>
      </c>
      <c r="J44" s="251"/>
      <c r="K44" s="111">
        <v>40</v>
      </c>
      <c r="L44" s="99" t="s">
        <v>379</v>
      </c>
      <c r="M44" s="100">
        <v>83.95</v>
      </c>
      <c r="N44" s="100">
        <v>80.67</v>
      </c>
      <c r="O44" s="100">
        <v>88.08</v>
      </c>
      <c r="P44" s="100">
        <v>77.91</v>
      </c>
      <c r="Q44" s="85">
        <f t="shared" si="0"/>
        <v>3.2800000000000011</v>
      </c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</row>
    <row r="45" spans="1:40" ht="15.75" thickBot="1">
      <c r="A45" s="277"/>
      <c r="B45" s="279"/>
      <c r="C45" s="229"/>
      <c r="D45" s="229"/>
      <c r="E45" s="229"/>
      <c r="F45" s="229"/>
      <c r="G45" s="280"/>
      <c r="H45" s="219"/>
      <c r="I45" s="254"/>
      <c r="J45" s="255"/>
      <c r="K45" s="90">
        <v>41</v>
      </c>
      <c r="L45" s="91" t="s">
        <v>380</v>
      </c>
      <c r="M45" s="102">
        <v>77.3</v>
      </c>
      <c r="N45" s="102">
        <v>71.92</v>
      </c>
      <c r="O45" s="102">
        <v>86.97</v>
      </c>
      <c r="P45" s="102">
        <v>75.81</v>
      </c>
      <c r="Q45" s="85">
        <f t="shared" si="0"/>
        <v>5.3799999999999955</v>
      </c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</row>
    <row r="46" spans="1:40">
      <c r="A46" s="277"/>
      <c r="B46" s="258" t="s">
        <v>22</v>
      </c>
      <c r="C46" s="241">
        <f>+ROUND(AVERAGE(M46:M47),0)</f>
        <v>84</v>
      </c>
      <c r="D46" s="241">
        <f>+ROUND(AVERAGE(N46:N47),0)</f>
        <v>79</v>
      </c>
      <c r="E46" s="241">
        <f>+ROUND(AVERAGE(O46:O47),0)</f>
        <v>91</v>
      </c>
      <c r="F46" s="241">
        <f>+ROUND(AVERAGE(P46:P47),0)</f>
        <v>80</v>
      </c>
      <c r="G46" s="262">
        <f>+C46-E46</f>
        <v>-7</v>
      </c>
      <c r="H46" s="244">
        <f>+C46-F46</f>
        <v>4</v>
      </c>
      <c r="I46" s="250" t="s">
        <v>22</v>
      </c>
      <c r="J46" s="251"/>
      <c r="K46" s="111">
        <v>42</v>
      </c>
      <c r="L46" s="99" t="s">
        <v>381</v>
      </c>
      <c r="M46" s="100">
        <v>90.85</v>
      </c>
      <c r="N46" s="100">
        <v>87.71</v>
      </c>
      <c r="O46" s="100">
        <v>93.18</v>
      </c>
      <c r="P46" s="100">
        <v>87.14</v>
      </c>
      <c r="Q46" s="85">
        <f t="shared" si="0"/>
        <v>3.1400000000000006</v>
      </c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</row>
    <row r="47" spans="1:40" ht="15.75" thickBot="1">
      <c r="A47" s="277"/>
      <c r="B47" s="279"/>
      <c r="C47" s="229"/>
      <c r="D47" s="229"/>
      <c r="E47" s="229"/>
      <c r="F47" s="229"/>
      <c r="G47" s="280"/>
      <c r="H47" s="219"/>
      <c r="I47" s="254"/>
      <c r="J47" s="255"/>
      <c r="K47" s="90">
        <v>43</v>
      </c>
      <c r="L47" s="91" t="s">
        <v>382</v>
      </c>
      <c r="M47" s="102">
        <v>77.12</v>
      </c>
      <c r="N47" s="102">
        <v>71.23</v>
      </c>
      <c r="O47" s="102">
        <v>89.07</v>
      </c>
      <c r="P47" s="102">
        <v>73.77</v>
      </c>
      <c r="Q47" s="85">
        <f t="shared" si="0"/>
        <v>5.8900000000000006</v>
      </c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</row>
    <row r="48" spans="1:40">
      <c r="A48" s="277"/>
      <c r="B48" s="258" t="s">
        <v>23</v>
      </c>
      <c r="C48" s="241">
        <f>+ROUND(AVERAGE(M48:M51),0)</f>
        <v>84</v>
      </c>
      <c r="D48" s="241">
        <f>+ROUND(AVERAGE(N48:N51),0)</f>
        <v>79</v>
      </c>
      <c r="E48" s="241">
        <f>+ROUND(AVERAGE(O48:O51),0)</f>
        <v>91</v>
      </c>
      <c r="F48" s="241">
        <f>+ROUND(AVERAGE(P48:P51),0)</f>
        <v>82</v>
      </c>
      <c r="G48" s="262">
        <f>+C48-E48</f>
        <v>-7</v>
      </c>
      <c r="H48" s="244">
        <f>+C48-F48</f>
        <v>2</v>
      </c>
      <c r="I48" s="250" t="s">
        <v>23</v>
      </c>
      <c r="J48" s="251"/>
      <c r="K48" s="111">
        <v>44</v>
      </c>
      <c r="L48" s="99" t="s">
        <v>383</v>
      </c>
      <c r="M48" s="100">
        <v>86.83</v>
      </c>
      <c r="N48" s="100">
        <v>82.92</v>
      </c>
      <c r="O48" s="100">
        <v>89.26</v>
      </c>
      <c r="P48" s="100">
        <v>80.959999999999994</v>
      </c>
      <c r="Q48" s="85">
        <f t="shared" si="0"/>
        <v>3.9099999999999966</v>
      </c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</row>
    <row r="49" spans="1:40">
      <c r="A49" s="277"/>
      <c r="B49" s="259"/>
      <c r="C49" s="228"/>
      <c r="D49" s="228"/>
      <c r="E49" s="228"/>
      <c r="F49" s="228"/>
      <c r="G49" s="231"/>
      <c r="H49" s="218"/>
      <c r="I49" s="252"/>
      <c r="J49" s="253"/>
      <c r="K49" s="82">
        <v>45</v>
      </c>
      <c r="L49" s="83" t="s">
        <v>384</v>
      </c>
      <c r="M49" s="104">
        <v>89.37</v>
      </c>
      <c r="N49" s="104">
        <v>85.1</v>
      </c>
      <c r="O49" s="104">
        <v>94.14</v>
      </c>
      <c r="P49" s="104">
        <v>86.83</v>
      </c>
      <c r="Q49" s="85">
        <f t="shared" si="0"/>
        <v>4.2700000000000102</v>
      </c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</row>
    <row r="50" spans="1:40">
      <c r="A50" s="277"/>
      <c r="B50" s="259"/>
      <c r="C50" s="228"/>
      <c r="D50" s="228"/>
      <c r="E50" s="228"/>
      <c r="F50" s="228"/>
      <c r="G50" s="231"/>
      <c r="H50" s="218"/>
      <c r="I50" s="252"/>
      <c r="J50" s="253"/>
      <c r="K50" s="82">
        <v>46</v>
      </c>
      <c r="L50" s="83" t="s">
        <v>385</v>
      </c>
      <c r="M50" s="104">
        <v>79.180000000000007</v>
      </c>
      <c r="N50" s="104">
        <v>71.760000000000005</v>
      </c>
      <c r="O50" s="104">
        <v>91.3</v>
      </c>
      <c r="P50" s="104">
        <v>79.239999999999995</v>
      </c>
      <c r="Q50" s="85">
        <f t="shared" si="0"/>
        <v>7.4200000000000017</v>
      </c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</row>
    <row r="51" spans="1:40" ht="15.75" thickBot="1">
      <c r="A51" s="278"/>
      <c r="B51" s="260"/>
      <c r="C51" s="261"/>
      <c r="D51" s="261"/>
      <c r="E51" s="261"/>
      <c r="F51" s="261"/>
      <c r="G51" s="263"/>
      <c r="H51" s="249"/>
      <c r="I51" s="254"/>
      <c r="J51" s="255"/>
      <c r="K51" s="90">
        <v>47</v>
      </c>
      <c r="L51" s="91" t="s">
        <v>386</v>
      </c>
      <c r="M51" s="102">
        <v>81.77</v>
      </c>
      <c r="N51" s="102">
        <v>76.97</v>
      </c>
      <c r="O51" s="102">
        <v>90.91</v>
      </c>
      <c r="P51" s="102">
        <v>80.56</v>
      </c>
      <c r="Q51" s="85">
        <f t="shared" si="0"/>
        <v>4.7999999999999972</v>
      </c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</row>
    <row r="52" spans="1:40" ht="43.5" thickBot="1">
      <c r="A52" s="64" t="s">
        <v>296</v>
      </c>
      <c r="B52" s="64" t="s">
        <v>297</v>
      </c>
      <c r="C52" s="65">
        <v>2016</v>
      </c>
      <c r="D52" s="65">
        <v>2015</v>
      </c>
      <c r="E52" s="66" t="s">
        <v>298</v>
      </c>
      <c r="F52" s="66" t="s">
        <v>299</v>
      </c>
      <c r="G52" s="65" t="s">
        <v>300</v>
      </c>
      <c r="H52" s="67" t="s">
        <v>301</v>
      </c>
      <c r="I52" s="68" t="s">
        <v>302</v>
      </c>
      <c r="J52" s="69"/>
      <c r="K52" s="69" t="s">
        <v>303</v>
      </c>
      <c r="L52" s="69" t="s">
        <v>304</v>
      </c>
      <c r="M52" s="70">
        <v>2016</v>
      </c>
      <c r="N52" s="70">
        <v>2015</v>
      </c>
      <c r="O52" s="70" t="s">
        <v>298</v>
      </c>
      <c r="P52" s="70" t="s">
        <v>299</v>
      </c>
      <c r="Q52" s="85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256" t="s">
        <v>387</v>
      </c>
      <c r="B53" s="226" t="s">
        <v>24</v>
      </c>
      <c r="C53" s="228">
        <f>+ROUND(AVERAGE(M53:M55),0)</f>
        <v>87</v>
      </c>
      <c r="D53" s="228">
        <f>+ROUND(AVERAGE(N53:N55),0)</f>
        <v>83</v>
      </c>
      <c r="E53" s="228">
        <f>+ROUND(AVERAGE(O53:O55),0)</f>
        <v>93</v>
      </c>
      <c r="F53" s="228">
        <f>+ROUND(AVERAGE(P53:P55),0)</f>
        <v>84</v>
      </c>
      <c r="G53" s="230">
        <f>+C53-E53</f>
        <v>-6</v>
      </c>
      <c r="H53" s="218">
        <f>+C53-F53</f>
        <v>3</v>
      </c>
      <c r="I53" s="247" t="s">
        <v>24</v>
      </c>
      <c r="J53" s="247"/>
      <c r="K53" s="112">
        <v>48</v>
      </c>
      <c r="L53" s="113" t="s">
        <v>388</v>
      </c>
      <c r="M53" s="104">
        <v>89.81</v>
      </c>
      <c r="N53" s="104">
        <v>86.4</v>
      </c>
      <c r="O53" s="104">
        <v>94.33</v>
      </c>
      <c r="P53" s="104">
        <v>87.83</v>
      </c>
      <c r="Q53" s="85">
        <f t="shared" si="0"/>
        <v>3.4099999999999966</v>
      </c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</row>
    <row r="54" spans="1:40">
      <c r="A54" s="256"/>
      <c r="B54" s="226"/>
      <c r="C54" s="228"/>
      <c r="D54" s="228"/>
      <c r="E54" s="228"/>
      <c r="F54" s="228"/>
      <c r="G54" s="231"/>
      <c r="H54" s="218"/>
      <c r="I54" s="247"/>
      <c r="J54" s="247"/>
      <c r="K54" s="112">
        <v>49</v>
      </c>
      <c r="L54" s="113" t="s">
        <v>389</v>
      </c>
      <c r="M54" s="104">
        <v>88.17</v>
      </c>
      <c r="N54" s="104">
        <v>83.83</v>
      </c>
      <c r="O54" s="104">
        <v>93.57</v>
      </c>
      <c r="P54" s="104">
        <v>84.51</v>
      </c>
      <c r="Q54" s="85">
        <f t="shared" si="0"/>
        <v>4.3400000000000034</v>
      </c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</row>
    <row r="55" spans="1:40" ht="15.75" thickBot="1">
      <c r="A55" s="256"/>
      <c r="B55" s="227"/>
      <c r="C55" s="229"/>
      <c r="D55" s="229"/>
      <c r="E55" s="229"/>
      <c r="F55" s="229"/>
      <c r="G55" s="232"/>
      <c r="H55" s="219"/>
      <c r="I55" s="248"/>
      <c r="J55" s="248"/>
      <c r="K55" s="114">
        <v>50</v>
      </c>
      <c r="L55" s="115" t="s">
        <v>390</v>
      </c>
      <c r="M55" s="102">
        <v>83.84</v>
      </c>
      <c r="N55" s="102">
        <v>80.12</v>
      </c>
      <c r="O55" s="102">
        <v>91.57</v>
      </c>
      <c r="P55" s="102">
        <v>80.680000000000007</v>
      </c>
      <c r="Q55" s="85">
        <f t="shared" si="0"/>
        <v>3.7199999999999989</v>
      </c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</row>
    <row r="56" spans="1:40">
      <c r="A56" s="256"/>
      <c r="B56" s="264" t="s">
        <v>25</v>
      </c>
      <c r="C56" s="241">
        <f>+ROUND(AVERAGE(M56:M59),0)</f>
        <v>88</v>
      </c>
      <c r="D56" s="241">
        <f>+ROUND(AVERAGE(N56:N59),0)</f>
        <v>84</v>
      </c>
      <c r="E56" s="241">
        <f>+ROUND(AVERAGE(O56:O59),0)</f>
        <v>94</v>
      </c>
      <c r="F56" s="241">
        <f>+ROUND(AVERAGE(P56:P59),0)</f>
        <v>86</v>
      </c>
      <c r="G56" s="267">
        <f>+C56-E56</f>
        <v>-6</v>
      </c>
      <c r="H56" s="244">
        <f>+C56-F56</f>
        <v>2</v>
      </c>
      <c r="I56" s="233" t="s">
        <v>25</v>
      </c>
      <c r="J56" s="236" t="s">
        <v>391</v>
      </c>
      <c r="K56" s="116">
        <v>51</v>
      </c>
      <c r="L56" s="117" t="s">
        <v>392</v>
      </c>
      <c r="M56" s="100">
        <v>90.49</v>
      </c>
      <c r="N56" s="100">
        <v>86.01</v>
      </c>
      <c r="O56" s="100">
        <v>95.77</v>
      </c>
      <c r="P56" s="100">
        <v>88.53</v>
      </c>
      <c r="Q56" s="85">
        <f t="shared" si="0"/>
        <v>4.4799999999999898</v>
      </c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</row>
    <row r="57" spans="1:40" ht="15.75" thickBot="1">
      <c r="A57" s="256"/>
      <c r="B57" s="265"/>
      <c r="C57" s="228"/>
      <c r="D57" s="228"/>
      <c r="E57" s="228"/>
      <c r="F57" s="228"/>
      <c r="G57" s="268"/>
      <c r="H57" s="218"/>
      <c r="I57" s="234"/>
      <c r="J57" s="237"/>
      <c r="K57" s="114">
        <v>52</v>
      </c>
      <c r="L57" s="115" t="s">
        <v>393</v>
      </c>
      <c r="M57" s="102">
        <v>84.02</v>
      </c>
      <c r="N57" s="102">
        <v>78.760000000000005</v>
      </c>
      <c r="O57" s="102">
        <v>92.87</v>
      </c>
      <c r="P57" s="102">
        <v>83.38</v>
      </c>
      <c r="Q57" s="85">
        <f t="shared" si="0"/>
        <v>5.2599999999999909</v>
      </c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</row>
    <row r="58" spans="1:40">
      <c r="A58" s="256"/>
      <c r="B58" s="265"/>
      <c r="C58" s="228"/>
      <c r="D58" s="228"/>
      <c r="E58" s="228"/>
      <c r="F58" s="228"/>
      <c r="G58" s="268"/>
      <c r="H58" s="218"/>
      <c r="I58" s="234"/>
      <c r="J58" s="236" t="s">
        <v>394</v>
      </c>
      <c r="K58" s="116">
        <v>53</v>
      </c>
      <c r="L58" s="117" t="s">
        <v>395</v>
      </c>
      <c r="M58" s="100">
        <v>93.54</v>
      </c>
      <c r="N58" s="100">
        <v>90.86</v>
      </c>
      <c r="O58" s="100">
        <v>96.24</v>
      </c>
      <c r="P58" s="100">
        <v>90.59</v>
      </c>
      <c r="Q58" s="85">
        <f t="shared" si="0"/>
        <v>2.6800000000000068</v>
      </c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</row>
    <row r="59" spans="1:40" ht="29.25" thickBot="1">
      <c r="A59" s="256"/>
      <c r="B59" s="266"/>
      <c r="C59" s="229"/>
      <c r="D59" s="229"/>
      <c r="E59" s="229"/>
      <c r="F59" s="229"/>
      <c r="G59" s="268"/>
      <c r="H59" s="219"/>
      <c r="I59" s="235"/>
      <c r="J59" s="238"/>
      <c r="K59" s="112">
        <v>54</v>
      </c>
      <c r="L59" s="113" t="s">
        <v>396</v>
      </c>
      <c r="M59" s="102">
        <v>85.06</v>
      </c>
      <c r="N59" s="102">
        <v>80.09</v>
      </c>
      <c r="O59" s="102">
        <v>91.76</v>
      </c>
      <c r="P59" s="102">
        <v>82.18</v>
      </c>
      <c r="Q59" s="85">
        <f t="shared" si="0"/>
        <v>4.9699999999999989</v>
      </c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</row>
    <row r="60" spans="1:40">
      <c r="A60" s="256"/>
      <c r="B60" s="239" t="s">
        <v>26</v>
      </c>
      <c r="C60" s="241">
        <f>+ROUND(AVERAGE(M60:M62),0)</f>
        <v>82</v>
      </c>
      <c r="D60" s="241">
        <f>+ROUND(AVERAGE(N60:N62),0)</f>
        <v>78</v>
      </c>
      <c r="E60" s="241">
        <f>+ROUND(AVERAGE(O60:O62),0)</f>
        <v>90</v>
      </c>
      <c r="F60" s="241">
        <f>+ROUND(AVERAGE(P60:P62),0)</f>
        <v>78</v>
      </c>
      <c r="G60" s="243">
        <f>+C60-E60</f>
        <v>-8</v>
      </c>
      <c r="H60" s="244">
        <f>+C60-F60</f>
        <v>4</v>
      </c>
      <c r="I60" s="246" t="s">
        <v>26</v>
      </c>
      <c r="J60" s="246"/>
      <c r="K60" s="116">
        <v>55</v>
      </c>
      <c r="L60" s="117" t="s">
        <v>397</v>
      </c>
      <c r="M60" s="100">
        <v>81.8</v>
      </c>
      <c r="N60" s="100">
        <v>76.98</v>
      </c>
      <c r="O60" s="100">
        <v>90.42</v>
      </c>
      <c r="P60" s="100">
        <v>78.38</v>
      </c>
      <c r="Q60" s="85">
        <f t="shared" si="0"/>
        <v>4.8199999999999932</v>
      </c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</row>
    <row r="61" spans="1:40">
      <c r="A61" s="256"/>
      <c r="B61" s="226"/>
      <c r="C61" s="228"/>
      <c r="D61" s="228"/>
      <c r="E61" s="228"/>
      <c r="F61" s="228"/>
      <c r="G61" s="231"/>
      <c r="H61" s="218"/>
      <c r="I61" s="247"/>
      <c r="J61" s="247"/>
      <c r="K61" s="112">
        <v>56</v>
      </c>
      <c r="L61" s="113" t="s">
        <v>398</v>
      </c>
      <c r="M61" s="104">
        <v>81.81</v>
      </c>
      <c r="N61" s="104">
        <v>76.680000000000007</v>
      </c>
      <c r="O61" s="104">
        <v>88.99</v>
      </c>
      <c r="P61" s="104">
        <v>75.88</v>
      </c>
      <c r="Q61" s="85">
        <f t="shared" si="0"/>
        <v>5.1299999999999955</v>
      </c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</row>
    <row r="62" spans="1:40" ht="15.75" thickBot="1">
      <c r="A62" s="257"/>
      <c r="B62" s="240"/>
      <c r="C62" s="242"/>
      <c r="D62" s="242"/>
      <c r="E62" s="242"/>
      <c r="F62" s="242"/>
      <c r="G62" s="232"/>
      <c r="H62" s="245"/>
      <c r="I62" s="248"/>
      <c r="J62" s="248"/>
      <c r="K62" s="114">
        <v>57</v>
      </c>
      <c r="L62" s="115" t="s">
        <v>399</v>
      </c>
      <c r="M62" s="102">
        <v>83.31</v>
      </c>
      <c r="N62" s="102">
        <v>78.87</v>
      </c>
      <c r="O62" s="102">
        <v>90.81</v>
      </c>
      <c r="P62" s="102">
        <v>81.12</v>
      </c>
      <c r="Q62" s="85">
        <f t="shared" si="0"/>
        <v>4.4399999999999977</v>
      </c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</row>
    <row r="63" spans="1:40" ht="43.5" thickBot="1">
      <c r="A63" s="64" t="s">
        <v>296</v>
      </c>
      <c r="B63" s="64" t="s">
        <v>297</v>
      </c>
      <c r="C63" s="65">
        <v>2016</v>
      </c>
      <c r="D63" s="65">
        <v>2015</v>
      </c>
      <c r="E63" s="66" t="s">
        <v>298</v>
      </c>
      <c r="F63" s="66" t="s">
        <v>299</v>
      </c>
      <c r="G63" s="65" t="s">
        <v>300</v>
      </c>
      <c r="H63" s="67" t="s">
        <v>301</v>
      </c>
      <c r="I63" s="68" t="s">
        <v>302</v>
      </c>
      <c r="J63" s="69"/>
      <c r="K63" s="69" t="s">
        <v>303</v>
      </c>
      <c r="L63" s="69" t="s">
        <v>304</v>
      </c>
      <c r="M63" s="70">
        <v>2016</v>
      </c>
      <c r="N63" s="70">
        <v>2015</v>
      </c>
      <c r="O63" s="70" t="s">
        <v>298</v>
      </c>
      <c r="P63" s="70" t="s">
        <v>299</v>
      </c>
      <c r="Q63" s="85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</row>
    <row r="64" spans="1:40">
      <c r="A64" s="118"/>
      <c r="B64" s="226"/>
      <c r="C64" s="228"/>
      <c r="D64" s="228"/>
      <c r="E64" s="228"/>
      <c r="F64" s="228"/>
      <c r="G64" s="230"/>
      <c r="H64" s="218"/>
      <c r="I64" s="119"/>
      <c r="J64" s="220" t="s">
        <v>400</v>
      </c>
      <c r="K64" s="112">
        <v>59</v>
      </c>
      <c r="L64" s="113" t="s">
        <v>401</v>
      </c>
      <c r="M64" s="104">
        <v>85.1</v>
      </c>
      <c r="N64" s="104">
        <v>87.45</v>
      </c>
      <c r="O64" s="104"/>
      <c r="P64" s="104"/>
      <c r="Q64" s="85">
        <f t="shared" ref="Q64:Q68" si="1">+M64-N64</f>
        <v>-2.3500000000000085</v>
      </c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</row>
    <row r="65" spans="1:40" ht="28.5">
      <c r="A65" s="118"/>
      <c r="B65" s="226"/>
      <c r="C65" s="228"/>
      <c r="D65" s="228"/>
      <c r="E65" s="228"/>
      <c r="F65" s="228"/>
      <c r="G65" s="230"/>
      <c r="H65" s="218"/>
      <c r="I65" s="119"/>
      <c r="J65" s="221"/>
      <c r="K65" s="112">
        <v>60</v>
      </c>
      <c r="L65" s="113" t="s">
        <v>402</v>
      </c>
      <c r="M65" s="104">
        <v>85.09</v>
      </c>
      <c r="N65" s="104">
        <v>79.87</v>
      </c>
      <c r="O65" s="104"/>
      <c r="P65" s="104"/>
      <c r="Q65" s="85">
        <f t="shared" si="1"/>
        <v>5.2199999999999989</v>
      </c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</row>
    <row r="66" spans="1:40" ht="28.5">
      <c r="A66" s="118"/>
      <c r="B66" s="226"/>
      <c r="C66" s="228"/>
      <c r="D66" s="228"/>
      <c r="E66" s="228"/>
      <c r="F66" s="228"/>
      <c r="G66" s="230"/>
      <c r="H66" s="218"/>
      <c r="I66" s="119"/>
      <c r="J66" s="221"/>
      <c r="K66" s="112">
        <v>61</v>
      </c>
      <c r="L66" s="113" t="s">
        <v>403</v>
      </c>
      <c r="M66" s="104">
        <v>54.8</v>
      </c>
      <c r="N66" s="104">
        <v>51.23</v>
      </c>
      <c r="O66" s="104"/>
      <c r="P66" s="104"/>
      <c r="Q66" s="85">
        <f t="shared" si="1"/>
        <v>3.5700000000000003</v>
      </c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</row>
    <row r="67" spans="1:40" ht="28.5">
      <c r="A67" s="118"/>
      <c r="B67" s="226"/>
      <c r="C67" s="228"/>
      <c r="D67" s="228"/>
      <c r="E67" s="228"/>
      <c r="F67" s="228"/>
      <c r="G67" s="230"/>
      <c r="H67" s="218"/>
      <c r="I67" s="119"/>
      <c r="J67" s="221"/>
      <c r="K67" s="112">
        <v>62</v>
      </c>
      <c r="L67" s="113" t="s">
        <v>404</v>
      </c>
      <c r="M67" s="104">
        <v>92.57</v>
      </c>
      <c r="N67" s="104">
        <v>89.81</v>
      </c>
      <c r="O67" s="104"/>
      <c r="P67" s="104"/>
      <c r="Q67" s="85">
        <f t="shared" si="1"/>
        <v>2.7599999999999909</v>
      </c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</row>
    <row r="68" spans="1:40">
      <c r="A68" s="118"/>
      <c r="B68" s="226"/>
      <c r="C68" s="228"/>
      <c r="D68" s="228"/>
      <c r="E68" s="228"/>
      <c r="F68" s="228"/>
      <c r="G68" s="230"/>
      <c r="H68" s="218"/>
      <c r="I68" s="119"/>
      <c r="J68" s="221"/>
      <c r="K68" s="112">
        <v>63</v>
      </c>
      <c r="L68" s="113" t="s">
        <v>405</v>
      </c>
      <c r="M68" s="104">
        <v>93.13</v>
      </c>
      <c r="N68" s="104">
        <v>90.92</v>
      </c>
      <c r="O68" s="104"/>
      <c r="P68" s="104"/>
      <c r="Q68" s="85">
        <f t="shared" si="1"/>
        <v>2.2099999999999937</v>
      </c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</row>
    <row r="69" spans="1:40" ht="28.5">
      <c r="A69" s="118"/>
      <c r="B69" s="226"/>
      <c r="C69" s="228"/>
      <c r="D69" s="228"/>
      <c r="E69" s="228"/>
      <c r="F69" s="228"/>
      <c r="G69" s="231"/>
      <c r="H69" s="218"/>
      <c r="I69" s="119"/>
      <c r="J69" s="221"/>
      <c r="K69" s="112">
        <v>64</v>
      </c>
      <c r="L69" s="113" t="s">
        <v>406</v>
      </c>
      <c r="M69" s="104">
        <v>85.46</v>
      </c>
      <c r="N69" s="104" t="s">
        <v>247</v>
      </c>
      <c r="O69" s="104"/>
      <c r="P69" s="104"/>
      <c r="Q69" s="85" t="s">
        <v>247</v>
      </c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</row>
    <row r="70" spans="1:40" ht="29.25" thickBot="1">
      <c r="A70" s="118"/>
      <c r="B70" s="227"/>
      <c r="C70" s="229"/>
      <c r="D70" s="229"/>
      <c r="E70" s="229"/>
      <c r="F70" s="229"/>
      <c r="G70" s="232"/>
      <c r="H70" s="219"/>
      <c r="I70" s="119"/>
      <c r="J70" s="222"/>
      <c r="K70" s="114">
        <v>65</v>
      </c>
      <c r="L70" s="115" t="s">
        <v>407</v>
      </c>
      <c r="M70" s="102">
        <v>80.86</v>
      </c>
      <c r="N70" s="104" t="s">
        <v>247</v>
      </c>
      <c r="O70" s="102"/>
      <c r="P70" s="102"/>
      <c r="Q70" s="85" t="s">
        <v>247</v>
      </c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40" ht="15.75" thickBot="1">
      <c r="A71" s="118"/>
      <c r="B71" s="86"/>
      <c r="C71" s="86"/>
      <c r="D71" s="86"/>
      <c r="E71" s="86"/>
      <c r="F71" s="86"/>
      <c r="G71" s="86"/>
      <c r="H71" s="86"/>
      <c r="I71" s="119"/>
      <c r="J71" s="86"/>
      <c r="K71" s="72"/>
      <c r="L71" s="86"/>
      <c r="M71" s="86"/>
      <c r="N71" s="120"/>
      <c r="O71" s="86"/>
      <c r="P71" s="86"/>
      <c r="Q71" s="121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</row>
    <row r="72" spans="1:40" ht="29.25" thickBot="1">
      <c r="A72" s="118"/>
      <c r="B72" s="86"/>
      <c r="C72" s="86"/>
      <c r="D72" s="86"/>
      <c r="E72" s="86"/>
      <c r="F72" s="86"/>
      <c r="G72" s="86"/>
      <c r="H72" s="86"/>
      <c r="I72" s="119"/>
      <c r="J72" s="223" t="s">
        <v>408</v>
      </c>
      <c r="K72" s="69" t="s">
        <v>303</v>
      </c>
      <c r="L72" s="69" t="s">
        <v>304</v>
      </c>
      <c r="M72" s="70">
        <v>2016</v>
      </c>
      <c r="N72" s="70">
        <v>2015</v>
      </c>
      <c r="O72" s="70" t="s">
        <v>298</v>
      </c>
      <c r="P72" s="70" t="s">
        <v>299</v>
      </c>
      <c r="Q72" s="121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</row>
    <row r="73" spans="1:40">
      <c r="A73" s="118"/>
      <c r="B73" s="86"/>
      <c r="C73" s="86"/>
      <c r="D73" s="86"/>
      <c r="E73" s="86"/>
      <c r="F73" s="86"/>
      <c r="G73" s="86"/>
      <c r="H73" s="86"/>
      <c r="I73" s="119"/>
      <c r="J73" s="224"/>
      <c r="K73" s="122">
        <v>58</v>
      </c>
      <c r="L73" s="123" t="s">
        <v>255</v>
      </c>
      <c r="M73" s="124">
        <v>84.08</v>
      </c>
      <c r="N73" s="124">
        <v>79.319999999999993</v>
      </c>
      <c r="O73" s="125">
        <v>91.62</v>
      </c>
      <c r="P73" s="124">
        <v>82.28</v>
      </c>
      <c r="Q73" s="121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</row>
    <row r="74" spans="1:40">
      <c r="A74" s="118"/>
      <c r="B74" s="86"/>
      <c r="C74" s="86"/>
      <c r="D74" s="86"/>
      <c r="E74" s="86"/>
      <c r="F74" s="86"/>
      <c r="G74" s="86"/>
      <c r="H74" s="86"/>
      <c r="I74" s="119"/>
      <c r="J74" s="224"/>
      <c r="K74" s="126"/>
      <c r="L74" s="127" t="s">
        <v>256</v>
      </c>
      <c r="M74" s="54">
        <v>82.91</v>
      </c>
      <c r="N74" s="54">
        <v>78.88</v>
      </c>
      <c r="O74" s="54">
        <v>89.03</v>
      </c>
      <c r="P74" s="54">
        <v>78.88</v>
      </c>
      <c r="Q74" s="121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</row>
    <row r="75" spans="1:40">
      <c r="A75" s="118"/>
      <c r="B75" s="86"/>
      <c r="C75" s="86"/>
      <c r="D75" s="86"/>
      <c r="E75" s="86"/>
      <c r="F75" s="86"/>
      <c r="G75" s="86"/>
      <c r="H75" s="86"/>
      <c r="I75" s="119"/>
      <c r="J75" s="224"/>
      <c r="K75" s="128"/>
      <c r="L75" s="128" t="s">
        <v>409</v>
      </c>
      <c r="M75" s="129">
        <f>+AVERAGE(M2:M15,M17:M29,M31:M42)</f>
        <v>81.966410256410228</v>
      </c>
      <c r="N75" s="129">
        <f t="shared" ref="N75:P75" si="2">+AVERAGE(N2:N15,N17:N29,N31:N42)</f>
        <v>78.171794871794873</v>
      </c>
      <c r="O75" s="129">
        <f t="shared" si="2"/>
        <v>87.772051282051294</v>
      </c>
      <c r="P75" s="129">
        <f t="shared" si="2"/>
        <v>77.366666666666646</v>
      </c>
      <c r="Q75" s="121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</row>
    <row r="76" spans="1:40" ht="15.75" thickBot="1">
      <c r="A76" s="118"/>
      <c r="B76" s="86"/>
      <c r="C76" s="86"/>
      <c r="D76" s="86"/>
      <c r="E76" s="86"/>
      <c r="F76" s="86"/>
      <c r="G76" s="86"/>
      <c r="H76" s="86"/>
      <c r="I76" s="119"/>
      <c r="J76" s="86"/>
      <c r="K76" s="72"/>
      <c r="L76" s="86"/>
      <c r="M76" s="86"/>
      <c r="N76" s="86"/>
      <c r="O76" s="86"/>
      <c r="P76" s="86"/>
      <c r="Q76" s="121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</row>
    <row r="77" spans="1:40" ht="29.25" thickBot="1">
      <c r="A77" s="118"/>
      <c r="B77" s="86"/>
      <c r="C77" s="86"/>
      <c r="D77" s="86"/>
      <c r="E77" s="86"/>
      <c r="F77" s="86"/>
      <c r="G77" s="86"/>
      <c r="H77" s="86"/>
      <c r="I77" s="119"/>
      <c r="J77" s="86"/>
      <c r="K77" s="72"/>
      <c r="L77" s="86"/>
      <c r="M77" s="70">
        <v>2016</v>
      </c>
      <c r="N77" s="70">
        <v>2015</v>
      </c>
      <c r="O77" s="70" t="s">
        <v>298</v>
      </c>
      <c r="P77" s="70" t="s">
        <v>299</v>
      </c>
      <c r="Q77" s="121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</row>
    <row r="78" spans="1:40">
      <c r="A78" s="118"/>
      <c r="B78" s="86"/>
      <c r="C78" s="86"/>
      <c r="D78" s="86"/>
      <c r="E78" s="86"/>
      <c r="F78" s="86"/>
      <c r="G78" s="86"/>
      <c r="H78" s="86"/>
      <c r="I78" s="119"/>
      <c r="J78" s="225" t="s">
        <v>27</v>
      </c>
      <c r="K78" s="130" t="s">
        <v>248</v>
      </c>
      <c r="L78" s="131"/>
      <c r="M78" s="74">
        <v>85.93</v>
      </c>
      <c r="N78" s="74">
        <v>82.67</v>
      </c>
      <c r="O78" s="74">
        <v>89.46</v>
      </c>
      <c r="P78" s="74">
        <v>79.150000000000006</v>
      </c>
      <c r="Q78" s="121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</row>
    <row r="79" spans="1:40">
      <c r="A79" s="118"/>
      <c r="B79" s="86"/>
      <c r="C79" s="86"/>
      <c r="D79" s="86"/>
      <c r="E79" s="86"/>
      <c r="F79" s="86"/>
      <c r="G79" s="86"/>
      <c r="H79" s="86"/>
      <c r="I79" s="119"/>
      <c r="J79" s="225"/>
      <c r="K79" s="130" t="s">
        <v>250</v>
      </c>
      <c r="L79" s="131"/>
      <c r="M79" s="75">
        <v>81.56</v>
      </c>
      <c r="N79" s="75">
        <v>77.59</v>
      </c>
      <c r="O79" s="75">
        <v>88.6</v>
      </c>
      <c r="P79" s="75">
        <v>77.23</v>
      </c>
      <c r="Q79" s="121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</row>
    <row r="80" spans="1:40">
      <c r="A80" s="118"/>
      <c r="B80" s="86"/>
      <c r="C80" s="86"/>
      <c r="D80" s="86"/>
      <c r="E80" s="86"/>
      <c r="F80" s="86"/>
      <c r="G80" s="86"/>
      <c r="H80" s="86"/>
      <c r="I80" s="119"/>
      <c r="J80" s="225"/>
      <c r="K80" s="130" t="s">
        <v>251</v>
      </c>
      <c r="L80" s="131"/>
      <c r="M80" s="76">
        <v>77.78</v>
      </c>
      <c r="N80" s="76">
        <v>73.56</v>
      </c>
      <c r="O80" s="76">
        <v>84.91</v>
      </c>
      <c r="P80" s="76">
        <v>75.44</v>
      </c>
      <c r="Q80" s="121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</row>
    <row r="81" spans="1:40">
      <c r="A81" s="118"/>
      <c r="B81" s="86"/>
      <c r="C81" s="86"/>
      <c r="D81" s="86"/>
      <c r="E81" s="86"/>
      <c r="F81" s="86"/>
      <c r="G81" s="86"/>
      <c r="H81" s="86"/>
      <c r="I81" s="119"/>
      <c r="J81" s="225"/>
      <c r="K81" s="130" t="s">
        <v>252</v>
      </c>
      <c r="L81" s="131"/>
      <c r="M81" s="77">
        <v>83.3</v>
      </c>
      <c r="N81" s="77">
        <v>78.540000000000006</v>
      </c>
      <c r="O81" s="77">
        <v>90.36</v>
      </c>
      <c r="P81" s="77">
        <v>80.28</v>
      </c>
      <c r="Q81" s="121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</row>
    <row r="82" spans="1:40">
      <c r="A82" s="118"/>
      <c r="B82" s="86"/>
      <c r="C82" s="86"/>
      <c r="D82" s="86"/>
      <c r="E82" s="86"/>
      <c r="F82" s="86"/>
      <c r="G82" s="86"/>
      <c r="H82" s="86"/>
      <c r="I82" s="119"/>
      <c r="J82" s="225"/>
      <c r="K82" s="130" t="s">
        <v>253</v>
      </c>
      <c r="L82" s="131"/>
      <c r="M82" s="78">
        <v>86.19</v>
      </c>
      <c r="N82" s="78">
        <v>81.86</v>
      </c>
      <c r="O82" s="78">
        <v>92.63</v>
      </c>
      <c r="P82" s="78">
        <v>83.31</v>
      </c>
      <c r="Q82" s="121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</row>
    <row r="83" spans="1:40">
      <c r="A83" s="118"/>
      <c r="B83" s="86"/>
      <c r="C83" s="86"/>
      <c r="D83" s="86"/>
      <c r="E83" s="86"/>
      <c r="F83" s="86"/>
      <c r="G83" s="86"/>
      <c r="H83" s="86"/>
      <c r="I83" s="119"/>
      <c r="J83" s="86"/>
      <c r="K83" s="72"/>
      <c r="L83" s="86"/>
      <c r="M83" s="86"/>
      <c r="N83" s="86"/>
      <c r="O83" s="86"/>
      <c r="P83" s="86"/>
      <c r="Q83" s="121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</row>
    <row r="84" spans="1:40">
      <c r="A84" s="118"/>
      <c r="B84" s="86"/>
      <c r="C84" s="86"/>
      <c r="D84" s="86"/>
      <c r="E84" s="86"/>
      <c r="F84" s="86"/>
      <c r="G84" s="86"/>
      <c r="H84" s="86"/>
      <c r="I84" s="119"/>
      <c r="J84" s="86"/>
      <c r="K84" s="72"/>
      <c r="L84" s="86"/>
      <c r="M84" s="86"/>
      <c r="N84" s="86"/>
      <c r="O84" s="86"/>
      <c r="P84" s="86"/>
      <c r="Q84" s="121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</row>
    <row r="85" spans="1:40" ht="25.5">
      <c r="A85" s="118"/>
      <c r="B85" s="86"/>
      <c r="C85" s="86"/>
      <c r="D85" s="86"/>
      <c r="E85" s="86"/>
      <c r="F85" s="86"/>
      <c r="G85" s="86"/>
      <c r="H85" s="132" t="s">
        <v>194</v>
      </c>
      <c r="I85" s="133"/>
      <c r="J85" s="133" t="s">
        <v>410</v>
      </c>
      <c r="K85" s="133" t="s">
        <v>303</v>
      </c>
      <c r="L85" s="133" t="s">
        <v>304</v>
      </c>
      <c r="M85" s="133">
        <v>2016</v>
      </c>
      <c r="N85" s="133" t="s">
        <v>411</v>
      </c>
      <c r="O85" s="86"/>
      <c r="P85" s="86"/>
      <c r="Q85" s="121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</row>
    <row r="86" spans="1:40">
      <c r="A86" s="118"/>
      <c r="B86" s="86"/>
      <c r="C86" s="86"/>
      <c r="D86" s="86"/>
      <c r="E86" s="86"/>
      <c r="F86" s="86"/>
      <c r="G86" s="134">
        <v>1</v>
      </c>
      <c r="H86" s="135" t="s">
        <v>195</v>
      </c>
      <c r="I86" s="136"/>
      <c r="J86" s="136" t="s">
        <v>20</v>
      </c>
      <c r="K86" s="137">
        <v>36</v>
      </c>
      <c r="L86" s="137" t="s">
        <v>373</v>
      </c>
      <c r="M86" s="138">
        <v>96.52</v>
      </c>
      <c r="N86" s="139">
        <v>13.61</v>
      </c>
      <c r="O86" s="86"/>
      <c r="P86" s="86"/>
      <c r="Q86" s="121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</row>
    <row r="87" spans="1:40">
      <c r="A87" s="118"/>
      <c r="B87" s="86"/>
      <c r="C87" s="86"/>
      <c r="D87" s="86"/>
      <c r="E87" s="86"/>
      <c r="F87" s="86"/>
      <c r="G87" s="134">
        <v>2</v>
      </c>
      <c r="H87" s="140" t="s">
        <v>195</v>
      </c>
      <c r="I87" s="141"/>
      <c r="J87" s="141" t="s">
        <v>20</v>
      </c>
      <c r="K87" s="142">
        <v>37</v>
      </c>
      <c r="L87" s="142" t="s">
        <v>374</v>
      </c>
      <c r="M87" s="87">
        <v>94.97</v>
      </c>
      <c r="N87" s="143">
        <v>12.060000000000002</v>
      </c>
      <c r="O87" s="86"/>
      <c r="P87" s="86"/>
      <c r="Q87" s="121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</row>
    <row r="88" spans="1:40">
      <c r="A88" s="118"/>
      <c r="B88" s="86"/>
      <c r="C88" s="86"/>
      <c r="D88" s="86"/>
      <c r="E88" s="86"/>
      <c r="F88" s="86"/>
      <c r="G88" s="134">
        <v>3</v>
      </c>
      <c r="H88" s="140" t="s">
        <v>195</v>
      </c>
      <c r="I88" s="141"/>
      <c r="J88" s="141" t="s">
        <v>20</v>
      </c>
      <c r="K88" s="142">
        <v>38</v>
      </c>
      <c r="L88" s="142" t="s">
        <v>375</v>
      </c>
      <c r="M88" s="87">
        <v>93.83</v>
      </c>
      <c r="N88" s="143">
        <v>10.920000000000002</v>
      </c>
      <c r="O88" s="86"/>
      <c r="P88" s="86"/>
      <c r="Q88" s="121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</row>
    <row r="89" spans="1:40">
      <c r="A89" s="118"/>
      <c r="B89" s="86"/>
      <c r="C89" s="86"/>
      <c r="D89" s="86"/>
      <c r="E89" s="86"/>
      <c r="F89" s="86"/>
      <c r="G89" s="134">
        <v>4</v>
      </c>
      <c r="H89" s="140" t="s">
        <v>196</v>
      </c>
      <c r="I89" s="141"/>
      <c r="J89" s="141" t="s">
        <v>14</v>
      </c>
      <c r="K89" s="142">
        <v>14</v>
      </c>
      <c r="L89" s="142" t="s">
        <v>341</v>
      </c>
      <c r="M89" s="87">
        <v>92.33</v>
      </c>
      <c r="N89" s="143">
        <v>9.4200000000000017</v>
      </c>
      <c r="O89" s="86"/>
      <c r="P89" s="86"/>
      <c r="Q89" s="121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</row>
    <row r="90" spans="1:40">
      <c r="A90" s="118"/>
      <c r="B90" s="86"/>
      <c r="C90" s="86"/>
      <c r="D90" s="86"/>
      <c r="E90" s="86"/>
      <c r="F90" s="86"/>
      <c r="G90" s="134">
        <v>5</v>
      </c>
      <c r="H90" s="140" t="s">
        <v>195</v>
      </c>
      <c r="I90" s="141"/>
      <c r="J90" s="141" t="s">
        <v>18</v>
      </c>
      <c r="K90" s="142">
        <v>31</v>
      </c>
      <c r="L90" s="142" t="s">
        <v>367</v>
      </c>
      <c r="M90" s="87">
        <v>92.08</v>
      </c>
      <c r="N90" s="143">
        <v>9.1700000000000017</v>
      </c>
      <c r="O90" s="86"/>
      <c r="P90" s="86"/>
      <c r="Q90" s="121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</row>
    <row r="91" spans="1:40" ht="24">
      <c r="A91" s="118"/>
      <c r="B91" s="86"/>
      <c r="C91" s="86"/>
      <c r="D91" s="86"/>
      <c r="E91" s="86"/>
      <c r="F91" s="86"/>
      <c r="G91" s="134">
        <v>6</v>
      </c>
      <c r="H91" s="140" t="s">
        <v>197</v>
      </c>
      <c r="I91" s="141"/>
      <c r="J91" s="141" t="s">
        <v>17</v>
      </c>
      <c r="K91" s="142">
        <v>21</v>
      </c>
      <c r="L91" s="142" t="s">
        <v>353</v>
      </c>
      <c r="M91" s="87">
        <v>91.17</v>
      </c>
      <c r="N91" s="143">
        <v>8.2600000000000051</v>
      </c>
      <c r="O91" s="86"/>
      <c r="P91" s="86"/>
      <c r="Q91" s="121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</row>
    <row r="92" spans="1:40">
      <c r="A92" s="118"/>
      <c r="B92" s="86"/>
      <c r="C92" s="86"/>
      <c r="D92" s="86"/>
      <c r="E92" s="86"/>
      <c r="F92" s="86"/>
      <c r="G92" s="134">
        <v>7</v>
      </c>
      <c r="H92" s="140" t="s">
        <v>196</v>
      </c>
      <c r="I92" s="141"/>
      <c r="J92" s="141" t="s">
        <v>12</v>
      </c>
      <c r="K92" s="142">
        <v>4</v>
      </c>
      <c r="L92" s="142" t="s">
        <v>322</v>
      </c>
      <c r="M92" s="87">
        <v>89.51</v>
      </c>
      <c r="N92" s="143">
        <v>6.6000000000000085</v>
      </c>
      <c r="O92" s="86"/>
      <c r="P92" s="86"/>
      <c r="Q92" s="121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</row>
    <row r="93" spans="1:40">
      <c r="A93" s="118"/>
      <c r="B93" s="86"/>
      <c r="C93" s="86"/>
      <c r="D93" s="86"/>
      <c r="E93" s="86"/>
      <c r="F93" s="86"/>
      <c r="G93" s="134">
        <v>8</v>
      </c>
      <c r="H93" s="140" t="s">
        <v>196</v>
      </c>
      <c r="I93" s="141"/>
      <c r="J93" s="141" t="s">
        <v>13</v>
      </c>
      <c r="K93" s="142">
        <v>9</v>
      </c>
      <c r="L93" s="142" t="s">
        <v>333</v>
      </c>
      <c r="M93" s="87">
        <v>89.17</v>
      </c>
      <c r="N93" s="143">
        <v>6.2600000000000051</v>
      </c>
      <c r="O93" s="86"/>
      <c r="P93" s="86"/>
      <c r="Q93" s="121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</row>
    <row r="94" spans="1:40">
      <c r="A94" s="118"/>
      <c r="B94" s="86"/>
      <c r="C94" s="86"/>
      <c r="D94" s="86"/>
      <c r="E94" s="86"/>
      <c r="F94" s="86"/>
      <c r="G94" s="134">
        <v>9</v>
      </c>
      <c r="H94" s="140" t="s">
        <v>196</v>
      </c>
      <c r="I94" s="141"/>
      <c r="J94" s="141" t="s">
        <v>13</v>
      </c>
      <c r="K94" s="142">
        <v>5</v>
      </c>
      <c r="L94" s="142" t="s">
        <v>325</v>
      </c>
      <c r="M94" s="87">
        <v>89.01</v>
      </c>
      <c r="N94" s="143">
        <v>6.1000000000000085</v>
      </c>
      <c r="O94" s="86"/>
      <c r="P94" s="86"/>
      <c r="Q94" s="121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</row>
    <row r="95" spans="1:40">
      <c r="A95" s="118"/>
      <c r="B95" s="86"/>
      <c r="C95" s="86"/>
      <c r="D95" s="86"/>
      <c r="E95" s="86"/>
      <c r="F95" s="86"/>
      <c r="G95" s="134">
        <v>10</v>
      </c>
      <c r="H95" s="140" t="s">
        <v>196</v>
      </c>
      <c r="I95" s="141"/>
      <c r="J95" s="141" t="s">
        <v>13</v>
      </c>
      <c r="K95" s="142">
        <v>10</v>
      </c>
      <c r="L95" s="142" t="s">
        <v>335</v>
      </c>
      <c r="M95" s="87">
        <v>88.56</v>
      </c>
      <c r="N95" s="143">
        <v>5.6500000000000057</v>
      </c>
      <c r="O95" s="86"/>
      <c r="P95" s="86"/>
      <c r="Q95" s="121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</row>
    <row r="96" spans="1:40">
      <c r="A96" s="118"/>
      <c r="B96" s="86"/>
      <c r="C96" s="86"/>
      <c r="D96" s="86"/>
      <c r="E96" s="86"/>
      <c r="F96" s="86"/>
      <c r="G96" s="86"/>
      <c r="H96" s="144"/>
      <c r="I96" s="145"/>
      <c r="J96" s="145"/>
      <c r="K96" s="146"/>
      <c r="L96" s="145"/>
      <c r="M96" s="147"/>
      <c r="N96" s="148"/>
      <c r="O96" s="86"/>
      <c r="P96" s="86"/>
      <c r="Q96" s="121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</row>
    <row r="97" spans="1:40" ht="25.5">
      <c r="A97" s="118"/>
      <c r="B97" s="86"/>
      <c r="C97" s="86"/>
      <c r="D97" s="86"/>
      <c r="E97" s="86"/>
      <c r="F97" s="86"/>
      <c r="G97" s="86"/>
      <c r="H97" s="132" t="s">
        <v>194</v>
      </c>
      <c r="I97" s="133"/>
      <c r="J97" s="133" t="s">
        <v>410</v>
      </c>
      <c r="K97" s="133" t="s">
        <v>303</v>
      </c>
      <c r="L97" s="133" t="s">
        <v>304</v>
      </c>
      <c r="M97" s="133">
        <v>2016</v>
      </c>
      <c r="N97" s="133" t="s">
        <v>411</v>
      </c>
      <c r="O97" s="86"/>
      <c r="P97" s="86"/>
      <c r="Q97" s="121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</row>
    <row r="98" spans="1:40">
      <c r="A98" s="118"/>
      <c r="B98" s="86"/>
      <c r="C98" s="86"/>
      <c r="D98" s="86"/>
      <c r="E98" s="86"/>
      <c r="F98" s="86"/>
      <c r="G98" s="134">
        <v>1</v>
      </c>
      <c r="H98" s="135" t="s">
        <v>195</v>
      </c>
      <c r="I98" s="136"/>
      <c r="J98" s="136" t="s">
        <v>18</v>
      </c>
      <c r="K98" s="137">
        <v>29</v>
      </c>
      <c r="L98" s="137" t="s">
        <v>364</v>
      </c>
      <c r="M98" s="138">
        <v>45.85</v>
      </c>
      <c r="N98" s="139">
        <v>-37.059999999999995</v>
      </c>
      <c r="O98" s="86"/>
      <c r="P98" s="86"/>
      <c r="Q98" s="121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</row>
    <row r="99" spans="1:40" ht="24">
      <c r="A99" s="118"/>
      <c r="B99" s="86"/>
      <c r="C99" s="86"/>
      <c r="D99" s="86"/>
      <c r="E99" s="86"/>
      <c r="F99" s="86"/>
      <c r="G99" s="134">
        <v>2</v>
      </c>
      <c r="H99" s="135" t="s">
        <v>195</v>
      </c>
      <c r="I99" s="136"/>
      <c r="J99" s="136" t="s">
        <v>19</v>
      </c>
      <c r="K99" s="137">
        <v>32</v>
      </c>
      <c r="L99" s="137" t="s">
        <v>368</v>
      </c>
      <c r="M99" s="138">
        <v>58.81</v>
      </c>
      <c r="N99" s="139">
        <v>-24.099999999999994</v>
      </c>
      <c r="O99" s="86"/>
      <c r="P99" s="86"/>
      <c r="Q99" s="121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</row>
    <row r="100" spans="1:40">
      <c r="A100" s="118"/>
      <c r="B100" s="86"/>
      <c r="C100" s="86"/>
      <c r="D100" s="86"/>
      <c r="E100" s="86"/>
      <c r="F100" s="86"/>
      <c r="G100" s="134">
        <v>3</v>
      </c>
      <c r="H100" s="135" t="s">
        <v>195</v>
      </c>
      <c r="I100" s="136"/>
      <c r="J100" s="136" t="s">
        <v>18</v>
      </c>
      <c r="K100" s="137">
        <v>28</v>
      </c>
      <c r="L100" s="137" t="s">
        <v>363</v>
      </c>
      <c r="M100" s="138">
        <v>63.94</v>
      </c>
      <c r="N100" s="139">
        <v>-18.97</v>
      </c>
      <c r="O100" s="86"/>
      <c r="P100" s="86"/>
      <c r="Q100" s="121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</row>
    <row r="101" spans="1:40" ht="24">
      <c r="A101" s="118"/>
      <c r="B101" s="86"/>
      <c r="C101" s="86"/>
      <c r="D101" s="86"/>
      <c r="E101" s="86"/>
      <c r="F101" s="86"/>
      <c r="G101" s="134">
        <v>4</v>
      </c>
      <c r="H101" s="135" t="s">
        <v>197</v>
      </c>
      <c r="I101" s="136"/>
      <c r="J101" s="136" t="s">
        <v>17</v>
      </c>
      <c r="K101" s="137">
        <v>22</v>
      </c>
      <c r="L101" s="137" t="s">
        <v>354</v>
      </c>
      <c r="M101" s="138">
        <v>69.52</v>
      </c>
      <c r="N101" s="139">
        <v>-13.39</v>
      </c>
      <c r="O101" s="86"/>
      <c r="P101" s="86"/>
      <c r="Q101" s="121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</row>
    <row r="102" spans="1:40" ht="24">
      <c r="A102" s="118"/>
      <c r="B102" s="86"/>
      <c r="C102" s="86"/>
      <c r="D102" s="86"/>
      <c r="E102" s="86"/>
      <c r="F102" s="86"/>
      <c r="G102" s="134">
        <v>5</v>
      </c>
      <c r="H102" s="135" t="s">
        <v>195</v>
      </c>
      <c r="I102" s="136"/>
      <c r="J102" s="136" t="s">
        <v>19</v>
      </c>
      <c r="K102" s="137">
        <v>34</v>
      </c>
      <c r="L102" s="137" t="s">
        <v>370</v>
      </c>
      <c r="M102" s="138">
        <v>71.930000000000007</v>
      </c>
      <c r="N102" s="139">
        <v>-10.97999999999999</v>
      </c>
      <c r="O102" s="86"/>
      <c r="P102" s="86"/>
      <c r="Q102" s="121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</row>
    <row r="103" spans="1:40">
      <c r="A103" s="118"/>
      <c r="B103" s="86"/>
      <c r="C103" s="86"/>
      <c r="D103" s="86"/>
      <c r="E103" s="86"/>
      <c r="F103" s="86"/>
      <c r="G103" s="134">
        <v>6</v>
      </c>
      <c r="H103" s="135" t="s">
        <v>195</v>
      </c>
      <c r="I103" s="136"/>
      <c r="J103" s="136" t="s">
        <v>18</v>
      </c>
      <c r="K103" s="137">
        <v>30</v>
      </c>
      <c r="L103" s="137" t="s">
        <v>366</v>
      </c>
      <c r="M103" s="138">
        <v>72.17</v>
      </c>
      <c r="N103" s="139">
        <v>-10.739999999999995</v>
      </c>
      <c r="O103" s="86"/>
      <c r="P103" s="86"/>
      <c r="Q103" s="121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</row>
    <row r="104" spans="1:40" ht="24">
      <c r="A104" s="118"/>
      <c r="B104" s="86"/>
      <c r="C104" s="86"/>
      <c r="D104" s="86"/>
      <c r="E104" s="86"/>
      <c r="F104" s="86"/>
      <c r="G104" s="134">
        <v>7</v>
      </c>
      <c r="H104" s="135" t="s">
        <v>195</v>
      </c>
      <c r="I104" s="136"/>
      <c r="J104" s="136" t="s">
        <v>19</v>
      </c>
      <c r="K104" s="137">
        <v>33</v>
      </c>
      <c r="L104" s="137" t="s">
        <v>369</v>
      </c>
      <c r="M104" s="138">
        <v>73.19</v>
      </c>
      <c r="N104" s="139">
        <v>-9.7199999999999989</v>
      </c>
      <c r="O104" s="86"/>
      <c r="P104" s="86"/>
      <c r="Q104" s="121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</row>
    <row r="105" spans="1:40" ht="24">
      <c r="A105" s="118"/>
      <c r="B105" s="86"/>
      <c r="C105" s="86"/>
      <c r="D105" s="86"/>
      <c r="E105" s="86"/>
      <c r="F105" s="86"/>
      <c r="G105" s="134">
        <v>8</v>
      </c>
      <c r="H105" s="135" t="s">
        <v>197</v>
      </c>
      <c r="I105" s="136"/>
      <c r="J105" s="136" t="s">
        <v>17</v>
      </c>
      <c r="K105" s="137">
        <v>25</v>
      </c>
      <c r="L105" s="137" t="s">
        <v>358</v>
      </c>
      <c r="M105" s="138">
        <v>75.88</v>
      </c>
      <c r="N105" s="139">
        <v>-7.0300000000000011</v>
      </c>
      <c r="O105" s="86"/>
      <c r="P105" s="86"/>
      <c r="Q105" s="121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</row>
    <row r="106" spans="1:40">
      <c r="A106" s="118"/>
      <c r="B106" s="86"/>
      <c r="C106" s="86"/>
      <c r="D106" s="86"/>
      <c r="E106" s="86"/>
      <c r="F106" s="86"/>
      <c r="G106" s="134">
        <v>9</v>
      </c>
      <c r="H106" s="135" t="s">
        <v>196</v>
      </c>
      <c r="I106" s="136"/>
      <c r="J106" s="136" t="s">
        <v>13</v>
      </c>
      <c r="K106" s="137">
        <v>7</v>
      </c>
      <c r="L106" s="137" t="s">
        <v>330</v>
      </c>
      <c r="M106" s="138">
        <v>76.25</v>
      </c>
      <c r="N106" s="139">
        <v>-6.6599999999999966</v>
      </c>
      <c r="O106" s="86"/>
      <c r="P106" s="86"/>
      <c r="Q106" s="121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</row>
    <row r="107" spans="1:40">
      <c r="A107" s="118"/>
      <c r="B107" s="86"/>
      <c r="C107" s="86"/>
      <c r="D107" s="86"/>
      <c r="E107" s="86"/>
      <c r="F107" s="86"/>
      <c r="G107" s="134">
        <v>10</v>
      </c>
      <c r="H107" s="135" t="s">
        <v>412</v>
      </c>
      <c r="I107" s="136"/>
      <c r="J107" s="136" t="s">
        <v>412</v>
      </c>
      <c r="K107" s="137" t="s">
        <v>412</v>
      </c>
      <c r="L107" s="137" t="s">
        <v>412</v>
      </c>
      <c r="M107" s="138" t="s">
        <v>412</v>
      </c>
      <c r="N107" s="139" t="s">
        <v>412</v>
      </c>
      <c r="O107" s="86"/>
      <c r="P107" s="86"/>
      <c r="Q107" s="121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5" t="s">
        <v>263</v>
      </c>
      <c r="C2" s="315"/>
      <c r="D2" s="315"/>
      <c r="E2" s="315"/>
      <c r="F2" s="315"/>
      <c r="G2" s="315"/>
      <c r="H2" s="315"/>
      <c r="I2" s="315"/>
      <c r="J2" s="315"/>
    </row>
    <row r="3" spans="2:10" ht="20.100000000000001" customHeight="1">
      <c r="B3" s="60" t="s">
        <v>30</v>
      </c>
      <c r="C3" s="60" t="s">
        <v>264</v>
      </c>
      <c r="D3" s="60" t="s">
        <v>265</v>
      </c>
      <c r="E3" s="60" t="s">
        <v>266</v>
      </c>
      <c r="F3" s="60" t="s">
        <v>267</v>
      </c>
      <c r="G3" s="60" t="s">
        <v>268</v>
      </c>
      <c r="H3" s="60" t="s">
        <v>269</v>
      </c>
      <c r="I3" s="60" t="s">
        <v>270</v>
      </c>
      <c r="J3" s="60" t="s">
        <v>271</v>
      </c>
    </row>
    <row r="4" spans="2:10">
      <c r="B4" s="59" t="s">
        <v>272</v>
      </c>
      <c r="C4" s="59" t="s">
        <v>227</v>
      </c>
      <c r="D4" s="59" t="s">
        <v>225</v>
      </c>
      <c r="E4" s="59" t="s">
        <v>273</v>
      </c>
      <c r="F4" s="59" t="s">
        <v>274</v>
      </c>
      <c r="G4" s="59" t="s">
        <v>275</v>
      </c>
      <c r="H4" s="59" t="s">
        <v>276</v>
      </c>
      <c r="I4" s="59">
        <v>2</v>
      </c>
      <c r="J4" s="63"/>
    </row>
    <row r="5" spans="2:10">
      <c r="B5" s="59" t="s">
        <v>277</v>
      </c>
      <c r="C5" s="59" t="s">
        <v>227</v>
      </c>
      <c r="D5" s="59" t="s">
        <v>225</v>
      </c>
      <c r="E5" s="59" t="s">
        <v>273</v>
      </c>
      <c r="F5" s="59" t="s">
        <v>274</v>
      </c>
      <c r="G5" s="59"/>
      <c r="H5" s="59"/>
      <c r="I5" s="59">
        <v>1</v>
      </c>
      <c r="J5" s="63"/>
    </row>
    <row r="6" spans="2:10">
      <c r="B6" s="59" t="s">
        <v>144</v>
      </c>
      <c r="C6" s="59" t="s">
        <v>28</v>
      </c>
      <c r="D6" s="59" t="s">
        <v>225</v>
      </c>
      <c r="E6" s="59" t="s">
        <v>457</v>
      </c>
      <c r="F6" s="59" t="s">
        <v>278</v>
      </c>
      <c r="G6" s="59" t="s">
        <v>458</v>
      </c>
      <c r="H6" s="59" t="s">
        <v>279</v>
      </c>
      <c r="I6" s="59">
        <v>2</v>
      </c>
      <c r="J6" s="63"/>
    </row>
    <row r="7" spans="2:10">
      <c r="B7" s="59" t="s">
        <v>145</v>
      </c>
      <c r="C7" s="59" t="s">
        <v>28</v>
      </c>
      <c r="D7" s="59" t="s">
        <v>225</v>
      </c>
      <c r="E7" s="59" t="s">
        <v>457</v>
      </c>
      <c r="F7" s="59" t="s">
        <v>278</v>
      </c>
      <c r="G7" s="59"/>
      <c r="H7" s="59"/>
      <c r="I7" s="59">
        <v>1</v>
      </c>
      <c r="J7" s="63"/>
    </row>
    <row r="8" spans="2:10">
      <c r="B8" s="59" t="s">
        <v>146</v>
      </c>
      <c r="C8" s="59" t="s">
        <v>29</v>
      </c>
      <c r="D8" s="59" t="s">
        <v>225</v>
      </c>
      <c r="E8" s="59" t="s">
        <v>459</v>
      </c>
      <c r="F8" s="59" t="s">
        <v>280</v>
      </c>
      <c r="G8" s="59" t="s">
        <v>460</v>
      </c>
      <c r="H8" s="59" t="s">
        <v>281</v>
      </c>
      <c r="I8" s="59">
        <v>2</v>
      </c>
      <c r="J8" s="63"/>
    </row>
    <row r="9" spans="2:10">
      <c r="B9" s="59" t="s">
        <v>147</v>
      </c>
      <c r="C9" s="59" t="s">
        <v>29</v>
      </c>
      <c r="D9" s="59" t="s">
        <v>225</v>
      </c>
      <c r="E9" s="59" t="s">
        <v>459</v>
      </c>
      <c r="F9" s="59" t="s">
        <v>280</v>
      </c>
      <c r="G9" s="59"/>
      <c r="H9" s="59"/>
      <c r="I9" s="59">
        <v>1</v>
      </c>
      <c r="J9" s="63"/>
    </row>
    <row r="10" spans="2:10">
      <c r="B10" s="59" t="s">
        <v>148</v>
      </c>
      <c r="C10" s="59" t="s">
        <v>160</v>
      </c>
      <c r="D10" s="59" t="s">
        <v>225</v>
      </c>
      <c r="E10" s="59" t="s">
        <v>461</v>
      </c>
      <c r="F10" s="59" t="s">
        <v>282</v>
      </c>
      <c r="G10" s="59" t="s">
        <v>462</v>
      </c>
      <c r="H10" s="59" t="s">
        <v>283</v>
      </c>
      <c r="I10" s="59">
        <v>2</v>
      </c>
      <c r="J10" s="63"/>
    </row>
    <row r="11" spans="2:10">
      <c r="B11" s="59" t="s">
        <v>149</v>
      </c>
      <c r="C11" s="59" t="s">
        <v>160</v>
      </c>
      <c r="D11" s="59" t="s">
        <v>225</v>
      </c>
      <c r="E11" s="59" t="s">
        <v>461</v>
      </c>
      <c r="F11" s="59" t="s">
        <v>282</v>
      </c>
      <c r="G11" s="59"/>
      <c r="H11" s="59"/>
      <c r="I11" s="59">
        <v>1</v>
      </c>
      <c r="J11" s="63"/>
    </row>
    <row r="12" spans="2:10">
      <c r="B12" s="59" t="s">
        <v>150</v>
      </c>
      <c r="C12" s="59" t="s">
        <v>413</v>
      </c>
      <c r="D12" s="59" t="s">
        <v>225</v>
      </c>
      <c r="E12" s="59" t="s">
        <v>463</v>
      </c>
      <c r="F12" s="59" t="s">
        <v>464</v>
      </c>
      <c r="G12" s="59" t="s">
        <v>465</v>
      </c>
      <c r="H12" s="59" t="s">
        <v>466</v>
      </c>
      <c r="I12" s="59">
        <v>2</v>
      </c>
      <c r="J12" s="63"/>
    </row>
    <row r="13" spans="2:10">
      <c r="B13" s="59" t="s">
        <v>284</v>
      </c>
      <c r="C13" s="59" t="s">
        <v>413</v>
      </c>
      <c r="D13" s="59" t="s">
        <v>225</v>
      </c>
      <c r="E13" s="59" t="s">
        <v>463</v>
      </c>
      <c r="F13" s="59" t="s">
        <v>464</v>
      </c>
      <c r="G13" s="59"/>
      <c r="H13" s="59"/>
      <c r="I13" s="59">
        <v>1</v>
      </c>
      <c r="J13" s="63"/>
    </row>
    <row r="14" spans="2:10">
      <c r="B14" s="59" t="s">
        <v>151</v>
      </c>
      <c r="C14" s="59" t="s">
        <v>161</v>
      </c>
      <c r="D14" s="59" t="s">
        <v>225</v>
      </c>
      <c r="E14" s="59" t="s">
        <v>467</v>
      </c>
      <c r="F14" s="59" t="s">
        <v>468</v>
      </c>
      <c r="G14" s="59" t="s">
        <v>469</v>
      </c>
      <c r="H14" s="59" t="s">
        <v>470</v>
      </c>
      <c r="I14" s="59">
        <v>2</v>
      </c>
      <c r="J14" s="63"/>
    </row>
    <row r="15" spans="2:10">
      <c r="B15" s="59" t="s">
        <v>152</v>
      </c>
      <c r="C15" s="59" t="s">
        <v>161</v>
      </c>
      <c r="D15" s="59" t="s">
        <v>225</v>
      </c>
      <c r="E15" s="59" t="s">
        <v>467</v>
      </c>
      <c r="F15" s="59" t="s">
        <v>468</v>
      </c>
      <c r="G15" s="59"/>
      <c r="H15" s="59"/>
      <c r="I15" s="59">
        <v>1</v>
      </c>
      <c r="J15" s="63"/>
    </row>
    <row r="16" spans="2:10">
      <c r="B16" s="59" t="s">
        <v>153</v>
      </c>
      <c r="C16" s="59" t="s">
        <v>414</v>
      </c>
      <c r="D16" s="59" t="s">
        <v>225</v>
      </c>
      <c r="E16" s="59" t="s">
        <v>285</v>
      </c>
      <c r="F16" s="59" t="s">
        <v>471</v>
      </c>
      <c r="G16" s="59" t="s">
        <v>286</v>
      </c>
      <c r="H16" s="59" t="s">
        <v>472</v>
      </c>
      <c r="I16" s="59">
        <v>2</v>
      </c>
      <c r="J16" s="63"/>
    </row>
    <row r="17" spans="2:10">
      <c r="B17" s="59" t="s">
        <v>287</v>
      </c>
      <c r="C17" s="59" t="s">
        <v>414</v>
      </c>
      <c r="D17" s="59" t="s">
        <v>225</v>
      </c>
      <c r="E17" s="59" t="s">
        <v>285</v>
      </c>
      <c r="F17" s="59" t="s">
        <v>471</v>
      </c>
      <c r="G17" s="59"/>
      <c r="H17" s="59"/>
      <c r="I17" s="59">
        <v>1</v>
      </c>
      <c r="J17" s="63"/>
    </row>
    <row r="18" spans="2:10">
      <c r="B18" s="59" t="s">
        <v>154</v>
      </c>
      <c r="C18" s="59" t="s">
        <v>162</v>
      </c>
      <c r="D18" s="59" t="s">
        <v>225</v>
      </c>
      <c r="E18" s="59" t="s">
        <v>473</v>
      </c>
      <c r="F18" s="59" t="s">
        <v>288</v>
      </c>
      <c r="G18" s="59" t="s">
        <v>474</v>
      </c>
      <c r="H18" s="59" t="s">
        <v>289</v>
      </c>
      <c r="I18" s="59">
        <v>2</v>
      </c>
      <c r="J18" s="63"/>
    </row>
    <row r="19" spans="2:10">
      <c r="B19" s="59" t="s">
        <v>155</v>
      </c>
      <c r="C19" s="59" t="s">
        <v>162</v>
      </c>
      <c r="D19" s="59" t="s">
        <v>225</v>
      </c>
      <c r="E19" s="59" t="s">
        <v>473</v>
      </c>
      <c r="F19" s="59" t="s">
        <v>288</v>
      </c>
      <c r="G19" s="59"/>
      <c r="H19" s="59"/>
      <c r="I19" s="59">
        <v>1</v>
      </c>
      <c r="J19" s="63"/>
    </row>
    <row r="20" spans="2:10">
      <c r="B20" s="59" t="s">
        <v>156</v>
      </c>
      <c r="C20" s="59" t="s">
        <v>143</v>
      </c>
      <c r="D20" s="59" t="s">
        <v>225</v>
      </c>
      <c r="E20" s="59" t="s">
        <v>475</v>
      </c>
      <c r="F20" s="59" t="s">
        <v>290</v>
      </c>
      <c r="G20" s="59" t="s">
        <v>476</v>
      </c>
      <c r="H20" s="59" t="s">
        <v>291</v>
      </c>
      <c r="I20" s="59">
        <v>2</v>
      </c>
      <c r="J20" s="63"/>
    </row>
    <row r="21" spans="2:10">
      <c r="B21" s="59" t="s">
        <v>157</v>
      </c>
      <c r="C21" s="59" t="s">
        <v>143</v>
      </c>
      <c r="D21" s="59" t="s">
        <v>225</v>
      </c>
      <c r="E21" s="59" t="s">
        <v>475</v>
      </c>
      <c r="F21" s="59" t="s">
        <v>290</v>
      </c>
      <c r="G21" s="59"/>
      <c r="H21" s="59"/>
      <c r="I21" s="59">
        <v>1</v>
      </c>
      <c r="J21" s="63"/>
    </row>
    <row r="22" spans="2:10">
      <c r="B22" s="59" t="s">
        <v>158</v>
      </c>
      <c r="C22" s="59" t="s">
        <v>163</v>
      </c>
      <c r="D22" s="59" t="s">
        <v>225</v>
      </c>
      <c r="E22" s="59" t="s">
        <v>292</v>
      </c>
      <c r="F22" s="59" t="s">
        <v>293</v>
      </c>
      <c r="G22" s="59" t="s">
        <v>294</v>
      </c>
      <c r="H22" s="59" t="s">
        <v>295</v>
      </c>
      <c r="I22" s="59">
        <v>2</v>
      </c>
      <c r="J22" s="63"/>
    </row>
    <row r="23" spans="2:10">
      <c r="B23" s="61" t="s">
        <v>159</v>
      </c>
      <c r="C23" s="61" t="s">
        <v>163</v>
      </c>
      <c r="D23" s="61" t="s">
        <v>225</v>
      </c>
      <c r="E23" s="61" t="s">
        <v>292</v>
      </c>
      <c r="F23" s="61" t="s">
        <v>293</v>
      </c>
      <c r="G23" s="61"/>
      <c r="H23" s="61"/>
      <c r="I23" s="61">
        <v>1</v>
      </c>
      <c r="J23" s="6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7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8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9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H82" sqref="H82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31</v>
      </c>
      <c r="C2" s="10">
        <v>2</v>
      </c>
    </row>
    <row r="3" spans="2:8">
      <c r="B3" s="12" t="s">
        <v>127</v>
      </c>
      <c r="C3" s="10">
        <v>2</v>
      </c>
    </row>
    <row r="4" spans="2:8">
      <c r="C4" s="13"/>
    </row>
    <row r="5" spans="2:8">
      <c r="B5" s="17" t="s">
        <v>30</v>
      </c>
      <c r="C5" s="316" t="s">
        <v>198</v>
      </c>
      <c r="D5" s="317"/>
      <c r="E5" s="31" t="s">
        <v>32</v>
      </c>
      <c r="F5" s="31" t="s">
        <v>33</v>
      </c>
      <c r="G5" s="31" t="s">
        <v>220</v>
      </c>
      <c r="H5" s="31" t="s">
        <v>221</v>
      </c>
    </row>
    <row r="6" spans="2:8">
      <c r="B6" s="18" t="s">
        <v>164</v>
      </c>
      <c r="C6" s="25" t="s">
        <v>198</v>
      </c>
      <c r="D6" s="19"/>
      <c r="E6" s="20" t="s">
        <v>165</v>
      </c>
      <c r="F6" s="20" t="s">
        <v>166</v>
      </c>
      <c r="G6" s="20"/>
      <c r="H6" s="20"/>
    </row>
    <row r="7" spans="2:8" ht="15" customHeight="1">
      <c r="B7" s="17" t="s">
        <v>30</v>
      </c>
      <c r="C7" s="322" t="s">
        <v>75</v>
      </c>
      <c r="D7" s="323"/>
      <c r="E7" s="23" t="s">
        <v>32</v>
      </c>
      <c r="F7" s="23" t="s">
        <v>33</v>
      </c>
      <c r="G7" s="23" t="s">
        <v>220</v>
      </c>
      <c r="H7" s="23" t="s">
        <v>221</v>
      </c>
    </row>
    <row r="8" spans="2:8" ht="30">
      <c r="B8" s="18" t="s">
        <v>84</v>
      </c>
      <c r="C8" s="15" t="s">
        <v>76</v>
      </c>
      <c r="D8" s="19"/>
      <c r="E8" s="20" t="s">
        <v>167</v>
      </c>
      <c r="F8" s="20" t="s">
        <v>68</v>
      </c>
      <c r="G8" s="20"/>
      <c r="H8" s="20"/>
    </row>
    <row r="9" spans="2:8" ht="30">
      <c r="B9" s="18" t="s">
        <v>98</v>
      </c>
      <c r="C9" s="15" t="s">
        <v>216</v>
      </c>
      <c r="D9" s="19"/>
      <c r="E9" s="20" t="s">
        <v>140</v>
      </c>
      <c r="F9" s="20" t="s">
        <v>141</v>
      </c>
      <c r="G9" s="20" t="s">
        <v>136</v>
      </c>
      <c r="H9" s="20" t="s">
        <v>137</v>
      </c>
    </row>
    <row r="10" spans="2:8" ht="30.75" customHeight="1">
      <c r="B10" s="18" t="s">
        <v>85</v>
      </c>
      <c r="C10" s="15" t="s">
        <v>27</v>
      </c>
      <c r="D10" s="19"/>
      <c r="E10" s="20" t="s">
        <v>168</v>
      </c>
      <c r="F10" s="20" t="s">
        <v>69</v>
      </c>
      <c r="G10" s="20"/>
      <c r="H10" s="20"/>
    </row>
    <row r="11" spans="2:8" ht="45">
      <c r="B11" s="18" t="s">
        <v>99</v>
      </c>
      <c r="C11" s="15" t="s">
        <v>217</v>
      </c>
      <c r="D11" s="19"/>
      <c r="E11" s="20" t="s">
        <v>138</v>
      </c>
      <c r="F11" s="20" t="s">
        <v>139</v>
      </c>
      <c r="G11" s="20" t="s">
        <v>136</v>
      </c>
      <c r="H11" s="20" t="s">
        <v>137</v>
      </c>
    </row>
    <row r="12" spans="2:8">
      <c r="B12" s="30" t="s">
        <v>30</v>
      </c>
      <c r="C12" s="322" t="s">
        <v>27</v>
      </c>
      <c r="D12" s="323"/>
      <c r="E12" s="23" t="s">
        <v>32</v>
      </c>
      <c r="F12" s="23" t="s">
        <v>33</v>
      </c>
      <c r="G12" s="23" t="s">
        <v>220</v>
      </c>
      <c r="H12" s="23" t="s">
        <v>221</v>
      </c>
    </row>
    <row r="13" spans="2:8">
      <c r="B13" s="318" t="s">
        <v>86</v>
      </c>
      <c r="C13" s="15" t="s">
        <v>194</v>
      </c>
      <c r="D13" s="11" t="s">
        <v>196</v>
      </c>
      <c r="E13" s="21" t="s">
        <v>102</v>
      </c>
      <c r="F13" s="21" t="s">
        <v>103</v>
      </c>
      <c r="G13" s="20"/>
      <c r="H13" s="20"/>
    </row>
    <row r="14" spans="2:8">
      <c r="B14" s="319"/>
      <c r="C14" s="326" t="s">
        <v>34</v>
      </c>
      <c r="D14" s="11" t="s">
        <v>12</v>
      </c>
      <c r="E14" s="21" t="s">
        <v>35</v>
      </c>
      <c r="F14" s="21" t="s">
        <v>36</v>
      </c>
      <c r="G14" s="20"/>
      <c r="H14" s="20"/>
    </row>
    <row r="15" spans="2:8">
      <c r="B15" s="319"/>
      <c r="C15" s="326"/>
      <c r="D15" s="11" t="s">
        <v>13</v>
      </c>
      <c r="E15" s="21" t="s">
        <v>37</v>
      </c>
      <c r="F15" s="21" t="s">
        <v>38</v>
      </c>
      <c r="G15" s="20"/>
      <c r="H15" s="20"/>
    </row>
    <row r="16" spans="2:8">
      <c r="B16" s="320"/>
      <c r="C16" s="326"/>
      <c r="D16" s="11" t="s">
        <v>14</v>
      </c>
      <c r="E16" s="21" t="s">
        <v>39</v>
      </c>
      <c r="F16" s="21" t="s">
        <v>40</v>
      </c>
      <c r="G16" s="20"/>
      <c r="H16" s="20"/>
    </row>
    <row r="17" spans="2:8">
      <c r="B17" s="318" t="s">
        <v>87</v>
      </c>
      <c r="C17" s="15" t="s">
        <v>194</v>
      </c>
      <c r="D17" s="11" t="s">
        <v>197</v>
      </c>
      <c r="E17" s="21" t="s">
        <v>104</v>
      </c>
      <c r="F17" s="21" t="s">
        <v>105</v>
      </c>
      <c r="G17" s="20"/>
      <c r="H17" s="20"/>
    </row>
    <row r="18" spans="2:8">
      <c r="B18" s="319"/>
      <c r="C18" s="321" t="s">
        <v>41</v>
      </c>
      <c r="D18" s="11" t="s">
        <v>15</v>
      </c>
      <c r="E18" s="21" t="s">
        <v>42</v>
      </c>
      <c r="F18" s="21" t="s">
        <v>43</v>
      </c>
      <c r="G18" s="20"/>
      <c r="H18" s="20"/>
    </row>
    <row r="19" spans="2:8">
      <c r="B19" s="319"/>
      <c r="C19" s="327"/>
      <c r="D19" s="19" t="s">
        <v>16</v>
      </c>
      <c r="E19" s="20" t="s">
        <v>44</v>
      </c>
      <c r="F19" s="20" t="s">
        <v>45</v>
      </c>
      <c r="G19" s="20"/>
      <c r="H19" s="20"/>
    </row>
    <row r="20" spans="2:8">
      <c r="B20" s="320"/>
      <c r="C20" s="327"/>
      <c r="D20" s="11" t="s">
        <v>17</v>
      </c>
      <c r="E20" s="21" t="s">
        <v>46</v>
      </c>
      <c r="F20" s="21" t="s">
        <v>47</v>
      </c>
      <c r="G20" s="20"/>
      <c r="H20" s="20"/>
    </row>
    <row r="21" spans="2:8">
      <c r="B21" s="318" t="s">
        <v>88</v>
      </c>
      <c r="C21" s="26" t="s">
        <v>194</v>
      </c>
      <c r="D21" s="11" t="s">
        <v>195</v>
      </c>
      <c r="E21" s="21" t="s">
        <v>106</v>
      </c>
      <c r="F21" s="21" t="s">
        <v>107</v>
      </c>
      <c r="G21" s="20"/>
      <c r="H21" s="20"/>
    </row>
    <row r="22" spans="2:8">
      <c r="B22" s="319"/>
      <c r="C22" s="321" t="s">
        <v>48</v>
      </c>
      <c r="D22" s="11" t="s">
        <v>18</v>
      </c>
      <c r="E22" s="21" t="s">
        <v>49</v>
      </c>
      <c r="F22" s="21" t="s">
        <v>50</v>
      </c>
      <c r="G22" s="20"/>
      <c r="H22" s="20"/>
    </row>
    <row r="23" spans="2:8">
      <c r="B23" s="319"/>
      <c r="C23" s="327"/>
      <c r="D23" s="19" t="s">
        <v>19</v>
      </c>
      <c r="E23" s="20" t="s">
        <v>51</v>
      </c>
      <c r="F23" s="20" t="s">
        <v>52</v>
      </c>
      <c r="G23" s="20"/>
      <c r="H23" s="20"/>
    </row>
    <row r="24" spans="2:8">
      <c r="B24" s="320"/>
      <c r="C24" s="327"/>
      <c r="D24" s="11" t="s">
        <v>20</v>
      </c>
      <c r="E24" s="21" t="s">
        <v>53</v>
      </c>
      <c r="F24" s="21" t="s">
        <v>54</v>
      </c>
      <c r="G24" s="20"/>
      <c r="H24" s="20"/>
    </row>
    <row r="25" spans="2:8" ht="15" customHeight="1">
      <c r="B25" s="318" t="s">
        <v>89</v>
      </c>
      <c r="C25" s="26" t="s">
        <v>194</v>
      </c>
      <c r="D25" s="11" t="s">
        <v>223</v>
      </c>
      <c r="E25" s="21" t="s">
        <v>108</v>
      </c>
      <c r="F25" s="21" t="s">
        <v>109</v>
      </c>
      <c r="G25" s="20"/>
      <c r="H25" s="20"/>
    </row>
    <row r="26" spans="2:8">
      <c r="B26" s="319"/>
      <c r="C26" s="326" t="s">
        <v>55</v>
      </c>
      <c r="D26" s="19" t="s">
        <v>21</v>
      </c>
      <c r="E26" s="20" t="s">
        <v>56</v>
      </c>
      <c r="F26" s="20" t="s">
        <v>57</v>
      </c>
      <c r="G26" s="20"/>
      <c r="H26" s="20"/>
    </row>
    <row r="27" spans="2:8">
      <c r="B27" s="319"/>
      <c r="C27" s="326"/>
      <c r="D27" s="19" t="s">
        <v>22</v>
      </c>
      <c r="E27" s="20" t="s">
        <v>58</v>
      </c>
      <c r="F27" s="20" t="s">
        <v>59</v>
      </c>
      <c r="G27" s="20"/>
      <c r="H27" s="20"/>
    </row>
    <row r="28" spans="2:8">
      <c r="B28" s="320"/>
      <c r="C28" s="326"/>
      <c r="D28" s="19" t="s">
        <v>23</v>
      </c>
      <c r="E28" s="20" t="s">
        <v>60</v>
      </c>
      <c r="F28" s="20" t="s">
        <v>61</v>
      </c>
      <c r="G28" s="20"/>
      <c r="H28" s="20"/>
    </row>
    <row r="29" spans="2:8">
      <c r="B29" s="318" t="s">
        <v>90</v>
      </c>
      <c r="C29" s="26" t="s">
        <v>194</v>
      </c>
      <c r="D29" s="11" t="s">
        <v>224</v>
      </c>
      <c r="E29" s="21" t="s">
        <v>110</v>
      </c>
      <c r="F29" s="21" t="s">
        <v>69</v>
      </c>
      <c r="G29" s="20"/>
      <c r="H29" s="20"/>
    </row>
    <row r="30" spans="2:8">
      <c r="B30" s="319"/>
      <c r="C30" s="326" t="s">
        <v>218</v>
      </c>
      <c r="D30" s="19" t="s">
        <v>24</v>
      </c>
      <c r="E30" s="20" t="s">
        <v>62</v>
      </c>
      <c r="F30" s="20" t="s">
        <v>63</v>
      </c>
      <c r="G30" s="20"/>
      <c r="H30" s="20"/>
    </row>
    <row r="31" spans="2:8">
      <c r="B31" s="319"/>
      <c r="C31" s="326"/>
      <c r="D31" s="11" t="s">
        <v>25</v>
      </c>
      <c r="E31" s="21" t="s">
        <v>64</v>
      </c>
      <c r="F31" s="21" t="s">
        <v>65</v>
      </c>
      <c r="G31" s="20"/>
      <c r="H31" s="20"/>
    </row>
    <row r="32" spans="2:8">
      <c r="B32" s="320"/>
      <c r="C32" s="326"/>
      <c r="D32" s="19" t="s">
        <v>26</v>
      </c>
      <c r="E32" s="20" t="s">
        <v>66</v>
      </c>
      <c r="F32" s="20" t="s">
        <v>67</v>
      </c>
      <c r="G32" s="20"/>
      <c r="H32" s="20"/>
    </row>
    <row r="33" spans="2:8">
      <c r="B33" s="30" t="s">
        <v>30</v>
      </c>
      <c r="C33" s="322" t="s">
        <v>77</v>
      </c>
      <c r="D33" s="323"/>
      <c r="E33" s="23" t="s">
        <v>32</v>
      </c>
      <c r="F33" s="23" t="s">
        <v>33</v>
      </c>
      <c r="G33" s="23" t="s">
        <v>220</v>
      </c>
      <c r="H33" s="23" t="s">
        <v>221</v>
      </c>
    </row>
    <row r="34" spans="2:8">
      <c r="B34" s="18" t="s">
        <v>91</v>
      </c>
      <c r="C34" s="15" t="s">
        <v>34</v>
      </c>
      <c r="D34" s="19" t="s">
        <v>78</v>
      </c>
      <c r="E34" s="20" t="s">
        <v>211</v>
      </c>
      <c r="F34" s="20" t="s">
        <v>79</v>
      </c>
      <c r="G34" s="20"/>
      <c r="H34" s="20"/>
    </row>
    <row r="35" spans="2:8">
      <c r="B35" s="18" t="s">
        <v>92</v>
      </c>
      <c r="C35" s="15" t="s">
        <v>41</v>
      </c>
      <c r="D35" s="19" t="s">
        <v>78</v>
      </c>
      <c r="E35" s="20" t="s">
        <v>212</v>
      </c>
      <c r="F35" s="20" t="s">
        <v>80</v>
      </c>
      <c r="G35" s="20"/>
      <c r="H35" s="20"/>
    </row>
    <row r="36" spans="2:8">
      <c r="B36" s="18" t="s">
        <v>95</v>
      </c>
      <c r="C36" s="15" t="s">
        <v>48</v>
      </c>
      <c r="D36" s="19" t="s">
        <v>78</v>
      </c>
      <c r="E36" s="20" t="s">
        <v>210</v>
      </c>
      <c r="F36" s="20" t="s">
        <v>81</v>
      </c>
      <c r="G36" s="20"/>
      <c r="H36" s="20"/>
    </row>
    <row r="37" spans="2:8">
      <c r="B37" s="18" t="s">
        <v>93</v>
      </c>
      <c r="C37" s="15" t="s">
        <v>55</v>
      </c>
      <c r="D37" s="19" t="s">
        <v>78</v>
      </c>
      <c r="E37" s="20" t="s">
        <v>213</v>
      </c>
      <c r="F37" s="20" t="s">
        <v>82</v>
      </c>
      <c r="G37" s="20"/>
      <c r="H37" s="20"/>
    </row>
    <row r="38" spans="2:8">
      <c r="B38" s="18" t="s">
        <v>94</v>
      </c>
      <c r="C38" s="15" t="s">
        <v>218</v>
      </c>
      <c r="D38" s="19" t="s">
        <v>78</v>
      </c>
      <c r="E38" s="20" t="s">
        <v>214</v>
      </c>
      <c r="F38" s="20" t="s">
        <v>83</v>
      </c>
      <c r="G38" s="20"/>
      <c r="H38" s="20"/>
    </row>
    <row r="39" spans="2:8">
      <c r="B39" s="30" t="s">
        <v>30</v>
      </c>
      <c r="C39" s="322" t="s">
        <v>215</v>
      </c>
      <c r="D39" s="323"/>
      <c r="E39" s="23" t="s">
        <v>32</v>
      </c>
      <c r="F39" s="23" t="s">
        <v>33</v>
      </c>
      <c r="G39" s="23" t="s">
        <v>220</v>
      </c>
      <c r="H39" s="23" t="s">
        <v>221</v>
      </c>
    </row>
    <row r="40" spans="2:8">
      <c r="B40" s="318" t="s">
        <v>126</v>
      </c>
      <c r="C40" s="321" t="s">
        <v>215</v>
      </c>
      <c r="D40" s="11" t="s">
        <v>12</v>
      </c>
      <c r="E40" s="21" t="s">
        <v>111</v>
      </c>
      <c r="F40" s="20"/>
      <c r="G40" s="21" t="s">
        <v>35</v>
      </c>
      <c r="H40" s="20"/>
    </row>
    <row r="41" spans="2:8">
      <c r="B41" s="319"/>
      <c r="C41" s="319"/>
      <c r="D41" s="11" t="s">
        <v>13</v>
      </c>
      <c r="E41" s="21" t="s">
        <v>112</v>
      </c>
      <c r="F41" s="20"/>
      <c r="G41" s="21" t="s">
        <v>37</v>
      </c>
      <c r="H41" s="20"/>
    </row>
    <row r="42" spans="2:8">
      <c r="B42" s="319"/>
      <c r="C42" s="319"/>
      <c r="D42" s="11" t="s">
        <v>14</v>
      </c>
      <c r="E42" s="21" t="s">
        <v>113</v>
      </c>
      <c r="F42" s="20"/>
      <c r="G42" s="21" t="s">
        <v>39</v>
      </c>
      <c r="H42" s="20"/>
    </row>
    <row r="43" spans="2:8">
      <c r="B43" s="319"/>
      <c r="C43" s="319"/>
      <c r="D43" s="11" t="s">
        <v>15</v>
      </c>
      <c r="E43" s="21" t="s">
        <v>114</v>
      </c>
      <c r="F43" s="20"/>
      <c r="G43" s="21" t="s">
        <v>42</v>
      </c>
      <c r="H43" s="20"/>
    </row>
    <row r="44" spans="2:8">
      <c r="B44" s="319"/>
      <c r="C44" s="319"/>
      <c r="D44" s="19" t="s">
        <v>16</v>
      </c>
      <c r="E44" s="20" t="s">
        <v>115</v>
      </c>
      <c r="F44" s="20"/>
      <c r="G44" s="20" t="s">
        <v>44</v>
      </c>
      <c r="H44" s="20"/>
    </row>
    <row r="45" spans="2:8">
      <c r="B45" s="319"/>
      <c r="C45" s="319"/>
      <c r="D45" s="11" t="s">
        <v>17</v>
      </c>
      <c r="E45" s="21" t="s">
        <v>116</v>
      </c>
      <c r="F45" s="20"/>
      <c r="G45" s="21" t="s">
        <v>46</v>
      </c>
      <c r="H45" s="20"/>
    </row>
    <row r="46" spans="2:8">
      <c r="B46" s="319"/>
      <c r="C46" s="319"/>
      <c r="D46" s="11" t="s">
        <v>18</v>
      </c>
      <c r="E46" s="21" t="s">
        <v>117</v>
      </c>
      <c r="F46" s="20"/>
      <c r="G46" s="21" t="s">
        <v>49</v>
      </c>
      <c r="H46" s="20"/>
    </row>
    <row r="47" spans="2:8">
      <c r="B47" s="319"/>
      <c r="C47" s="319"/>
      <c r="D47" s="19" t="s">
        <v>19</v>
      </c>
      <c r="E47" s="20" t="s">
        <v>118</v>
      </c>
      <c r="F47" s="20"/>
      <c r="G47" s="20" t="s">
        <v>51</v>
      </c>
      <c r="H47" s="20"/>
    </row>
    <row r="48" spans="2:8">
      <c r="B48" s="319"/>
      <c r="C48" s="319"/>
      <c r="D48" s="11" t="s">
        <v>20</v>
      </c>
      <c r="E48" s="21" t="s">
        <v>119</v>
      </c>
      <c r="F48" s="20"/>
      <c r="G48" s="21" t="s">
        <v>53</v>
      </c>
      <c r="H48" s="20"/>
    </row>
    <row r="49" spans="2:8">
      <c r="B49" s="319"/>
      <c r="C49" s="319"/>
      <c r="D49" s="19" t="s">
        <v>21</v>
      </c>
      <c r="E49" s="20" t="s">
        <v>120</v>
      </c>
      <c r="F49" s="20"/>
      <c r="G49" s="20" t="s">
        <v>56</v>
      </c>
      <c r="H49" s="20"/>
    </row>
    <row r="50" spans="2:8">
      <c r="B50" s="319"/>
      <c r="C50" s="319"/>
      <c r="D50" s="19" t="s">
        <v>22</v>
      </c>
      <c r="E50" s="20" t="s">
        <v>121</v>
      </c>
      <c r="F50" s="20"/>
      <c r="G50" s="20" t="s">
        <v>58</v>
      </c>
      <c r="H50" s="20"/>
    </row>
    <row r="51" spans="2:8">
      <c r="B51" s="319"/>
      <c r="C51" s="319"/>
      <c r="D51" s="19" t="s">
        <v>23</v>
      </c>
      <c r="E51" s="20" t="s">
        <v>122</v>
      </c>
      <c r="F51" s="20"/>
      <c r="G51" s="20" t="s">
        <v>60</v>
      </c>
      <c r="H51" s="20"/>
    </row>
    <row r="52" spans="2:8">
      <c r="B52" s="319"/>
      <c r="C52" s="319"/>
      <c r="D52" s="19" t="s">
        <v>24</v>
      </c>
      <c r="E52" s="20" t="s">
        <v>123</v>
      </c>
      <c r="F52" s="20"/>
      <c r="G52" s="20" t="s">
        <v>62</v>
      </c>
      <c r="H52" s="20"/>
    </row>
    <row r="53" spans="2:8">
      <c r="B53" s="319"/>
      <c r="C53" s="319"/>
      <c r="D53" s="11" t="s">
        <v>25</v>
      </c>
      <c r="E53" s="21" t="s">
        <v>124</v>
      </c>
      <c r="F53" s="20"/>
      <c r="G53" s="21" t="s">
        <v>64</v>
      </c>
      <c r="H53" s="20"/>
    </row>
    <row r="54" spans="2:8">
      <c r="B54" s="320"/>
      <c r="C54" s="320"/>
      <c r="D54" s="19" t="s">
        <v>26</v>
      </c>
      <c r="E54" s="20" t="s">
        <v>125</v>
      </c>
      <c r="F54" s="20"/>
      <c r="G54" s="20" t="s">
        <v>66</v>
      </c>
      <c r="H54" s="20"/>
    </row>
    <row r="55" spans="2:8">
      <c r="B55" s="318" t="s">
        <v>100</v>
      </c>
      <c r="C55" s="321" t="s">
        <v>215</v>
      </c>
      <c r="D55" s="11" t="s">
        <v>130</v>
      </c>
      <c r="E55" s="21" t="s">
        <v>131</v>
      </c>
      <c r="F55" s="21" t="s">
        <v>132</v>
      </c>
      <c r="G55" s="20"/>
      <c r="H55" s="20"/>
    </row>
    <row r="56" spans="2:8" ht="15" customHeight="1">
      <c r="B56" s="319"/>
      <c r="C56" s="319"/>
      <c r="D56" s="11" t="s">
        <v>12</v>
      </c>
      <c r="E56" s="21" t="s">
        <v>35</v>
      </c>
      <c r="F56" s="21" t="s">
        <v>36</v>
      </c>
      <c r="G56" s="20"/>
      <c r="H56" s="20"/>
    </row>
    <row r="57" spans="2:8">
      <c r="B57" s="319"/>
      <c r="C57" s="319"/>
      <c r="D57" s="11" t="s">
        <v>13</v>
      </c>
      <c r="E57" s="21" t="s">
        <v>37</v>
      </c>
      <c r="F57" s="21" t="s">
        <v>38</v>
      </c>
      <c r="G57" s="20"/>
      <c r="H57" s="20"/>
    </row>
    <row r="58" spans="2:8">
      <c r="B58" s="319"/>
      <c r="C58" s="319"/>
      <c r="D58" s="11" t="s">
        <v>14</v>
      </c>
      <c r="E58" s="21" t="s">
        <v>39</v>
      </c>
      <c r="F58" s="21" t="s">
        <v>40</v>
      </c>
      <c r="G58" s="20"/>
      <c r="H58" s="20"/>
    </row>
    <row r="59" spans="2:8">
      <c r="B59" s="319"/>
      <c r="C59" s="319"/>
      <c r="D59" s="11" t="s">
        <v>15</v>
      </c>
      <c r="E59" s="21" t="s">
        <v>42</v>
      </c>
      <c r="F59" s="21" t="s">
        <v>43</v>
      </c>
      <c r="G59" s="20"/>
      <c r="H59" s="20"/>
    </row>
    <row r="60" spans="2:8">
      <c r="B60" s="319"/>
      <c r="C60" s="319"/>
      <c r="D60" s="19" t="s">
        <v>16</v>
      </c>
      <c r="E60" s="20" t="s">
        <v>44</v>
      </c>
      <c r="F60" s="20" t="s">
        <v>45</v>
      </c>
      <c r="G60" s="20"/>
      <c r="H60" s="20"/>
    </row>
    <row r="61" spans="2:8">
      <c r="B61" s="319"/>
      <c r="C61" s="319"/>
      <c r="D61" s="11" t="s">
        <v>17</v>
      </c>
      <c r="E61" s="21" t="s">
        <v>46</v>
      </c>
      <c r="F61" s="21" t="s">
        <v>47</v>
      </c>
      <c r="G61" s="20"/>
      <c r="H61" s="20"/>
    </row>
    <row r="62" spans="2:8">
      <c r="B62" s="319"/>
      <c r="C62" s="319"/>
      <c r="D62" s="11" t="s">
        <v>18</v>
      </c>
      <c r="E62" s="21" t="s">
        <v>49</v>
      </c>
      <c r="F62" s="21" t="s">
        <v>50</v>
      </c>
      <c r="G62" s="20"/>
      <c r="H62" s="20"/>
    </row>
    <row r="63" spans="2:8">
      <c r="B63" s="319"/>
      <c r="C63" s="319"/>
      <c r="D63" s="19" t="s">
        <v>19</v>
      </c>
      <c r="E63" s="20" t="s">
        <v>51</v>
      </c>
      <c r="F63" s="20" t="s">
        <v>52</v>
      </c>
      <c r="G63" s="20"/>
      <c r="H63" s="20"/>
    </row>
    <row r="64" spans="2:8">
      <c r="B64" s="319"/>
      <c r="C64" s="319"/>
      <c r="D64" s="11" t="s">
        <v>20</v>
      </c>
      <c r="E64" s="21" t="s">
        <v>53</v>
      </c>
      <c r="F64" s="21" t="s">
        <v>54</v>
      </c>
      <c r="G64" s="20"/>
      <c r="H64" s="20"/>
    </row>
    <row r="65" spans="2:8">
      <c r="B65" s="319"/>
      <c r="C65" s="319"/>
      <c r="D65" s="19" t="s">
        <v>21</v>
      </c>
      <c r="E65" s="20" t="s">
        <v>56</v>
      </c>
      <c r="F65" s="20" t="s">
        <v>57</v>
      </c>
      <c r="G65" s="20"/>
      <c r="H65" s="20"/>
    </row>
    <row r="66" spans="2:8" ht="15" customHeight="1">
      <c r="B66" s="319"/>
      <c r="C66" s="319"/>
      <c r="D66" s="19" t="s">
        <v>22</v>
      </c>
      <c r="E66" s="20" t="s">
        <v>58</v>
      </c>
      <c r="F66" s="20" t="s">
        <v>59</v>
      </c>
      <c r="G66" s="20"/>
      <c r="H66" s="20"/>
    </row>
    <row r="67" spans="2:8">
      <c r="B67" s="319"/>
      <c r="C67" s="319"/>
      <c r="D67" s="19" t="s">
        <v>23</v>
      </c>
      <c r="E67" s="20" t="s">
        <v>60</v>
      </c>
      <c r="F67" s="20" t="s">
        <v>61</v>
      </c>
      <c r="G67" s="20"/>
      <c r="H67" s="20"/>
    </row>
    <row r="68" spans="2:8">
      <c r="B68" s="319"/>
      <c r="C68" s="319"/>
      <c r="D68" s="19" t="s">
        <v>24</v>
      </c>
      <c r="E68" s="20" t="s">
        <v>62</v>
      </c>
      <c r="F68" s="20" t="s">
        <v>63</v>
      </c>
      <c r="G68" s="20"/>
      <c r="H68" s="20"/>
    </row>
    <row r="69" spans="2:8">
      <c r="B69" s="319"/>
      <c r="C69" s="319"/>
      <c r="D69" s="11" t="s">
        <v>25</v>
      </c>
      <c r="E69" s="21" t="s">
        <v>64</v>
      </c>
      <c r="F69" s="21" t="s">
        <v>65</v>
      </c>
      <c r="G69" s="20"/>
      <c r="H69" s="20"/>
    </row>
    <row r="70" spans="2:8">
      <c r="B70" s="320"/>
      <c r="C70" s="320"/>
      <c r="D70" s="19" t="s">
        <v>26</v>
      </c>
      <c r="E70" s="20" t="s">
        <v>66</v>
      </c>
      <c r="F70" s="20" t="s">
        <v>67</v>
      </c>
      <c r="G70" s="20"/>
      <c r="H70" s="20"/>
    </row>
    <row r="71" spans="2:8" ht="15" customHeight="1">
      <c r="B71" s="30" t="s">
        <v>30</v>
      </c>
      <c r="C71" s="322" t="s">
        <v>70</v>
      </c>
      <c r="D71" s="324"/>
      <c r="E71" s="23" t="s">
        <v>32</v>
      </c>
      <c r="F71" s="23" t="s">
        <v>33</v>
      </c>
      <c r="G71" s="23" t="s">
        <v>220</v>
      </c>
      <c r="H71" s="23" t="s">
        <v>221</v>
      </c>
    </row>
    <row r="72" spans="2:8">
      <c r="B72" s="18" t="s">
        <v>101</v>
      </c>
      <c r="C72" s="24" t="s">
        <v>219</v>
      </c>
      <c r="D72" s="19" t="s">
        <v>78</v>
      </c>
      <c r="E72" s="20" t="s">
        <v>129</v>
      </c>
      <c r="F72" s="20" t="s">
        <v>128</v>
      </c>
      <c r="G72" s="20"/>
      <c r="H72" s="20"/>
    </row>
    <row r="73" spans="2:8" ht="15" customHeight="1">
      <c r="B73" s="17" t="s">
        <v>30</v>
      </c>
      <c r="C73" s="316" t="s">
        <v>11</v>
      </c>
      <c r="D73" s="325"/>
      <c r="E73" s="23" t="s">
        <v>32</v>
      </c>
      <c r="F73" s="23" t="s">
        <v>33</v>
      </c>
      <c r="G73" s="23" t="s">
        <v>220</v>
      </c>
      <c r="H73" s="23" t="s">
        <v>221</v>
      </c>
    </row>
    <row r="74" spans="2:8">
      <c r="B74" s="18" t="s">
        <v>96</v>
      </c>
      <c r="C74" s="24" t="s">
        <v>71</v>
      </c>
      <c r="D74" s="19" t="s">
        <v>78</v>
      </c>
      <c r="E74" s="20" t="s">
        <v>133</v>
      </c>
      <c r="F74" s="20" t="s">
        <v>73</v>
      </c>
      <c r="G74" s="20"/>
      <c r="H74" s="20"/>
    </row>
    <row r="75" spans="2:8" ht="30">
      <c r="B75" s="18" t="s">
        <v>97</v>
      </c>
      <c r="C75" s="24" t="s">
        <v>72</v>
      </c>
      <c r="D75" s="19" t="s">
        <v>78</v>
      </c>
      <c r="E75" s="20" t="s">
        <v>134</v>
      </c>
      <c r="F75" s="20" t="s">
        <v>74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A72" workbookViewId="0">
      <selection activeCell="E98" sqref="E98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169</v>
      </c>
      <c r="C2" s="27" t="s">
        <v>170</v>
      </c>
      <c r="D2" s="27" t="s">
        <v>222</v>
      </c>
      <c r="E2" s="27" t="s">
        <v>171</v>
      </c>
      <c r="F2" s="27" t="s">
        <v>174</v>
      </c>
      <c r="G2" s="27" t="s">
        <v>175</v>
      </c>
      <c r="H2" s="27" t="s">
        <v>172</v>
      </c>
      <c r="I2" s="27" t="s">
        <v>173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198</v>
      </c>
      <c r="E32" s="28" t="s">
        <v>164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160</v>
      </c>
      <c r="E35" s="28" t="s">
        <v>148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176</v>
      </c>
      <c r="E36" s="28" t="s">
        <v>150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161</v>
      </c>
      <c r="E37" s="28" t="s">
        <v>151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177</v>
      </c>
      <c r="E38" s="28" t="s">
        <v>153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162</v>
      </c>
      <c r="E39" s="28" t="s">
        <v>154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143</v>
      </c>
      <c r="E40" s="28" t="s">
        <v>156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163</v>
      </c>
      <c r="E41" s="28" t="s">
        <v>158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84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178</v>
      </c>
      <c r="E44" s="28" t="s">
        <v>98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85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178</v>
      </c>
      <c r="E46" s="28" t="s">
        <v>99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86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91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87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92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88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95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89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93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90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94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126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100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96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97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199</v>
      </c>
      <c r="E64" s="28" t="s">
        <v>145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181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200</v>
      </c>
      <c r="E66" s="28" t="s">
        <v>147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180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201</v>
      </c>
      <c r="E68" s="28" t="s">
        <v>149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179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202</v>
      </c>
      <c r="E70" s="28" t="s">
        <v>187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186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204</v>
      </c>
      <c r="E72" s="28" t="s">
        <v>189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188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203</v>
      </c>
      <c r="E74" s="28" t="s">
        <v>152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182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205</v>
      </c>
      <c r="E76" s="28" t="s">
        <v>190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191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206</v>
      </c>
      <c r="E78" s="28" t="s">
        <v>192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193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29" t="s">
        <v>207</v>
      </c>
      <c r="E80" s="28" t="s">
        <v>155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183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208</v>
      </c>
      <c r="E82" s="28" t="s">
        <v>157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184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209</v>
      </c>
      <c r="E84" s="28" t="s">
        <v>159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185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topLeftCell="A649"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272</v>
      </c>
    </row>
    <row r="31" spans="1:1">
      <c r="A31" t="s">
        <v>277</v>
      </c>
    </row>
    <row r="45" spans="1:10" ht="15.75" thickBot="1">
      <c r="A45" t="s">
        <v>484</v>
      </c>
      <c r="C45" s="153" t="s">
        <v>196</v>
      </c>
      <c r="D45" s="151">
        <v>85.93</v>
      </c>
      <c r="E45" s="151">
        <v>82.67</v>
      </c>
      <c r="F45" s="151">
        <v>89.46</v>
      </c>
      <c r="G45" s="151">
        <v>79.150000000000006</v>
      </c>
      <c r="H45" s="152">
        <v>3.2600000000000051</v>
      </c>
      <c r="I45" s="152">
        <v>-3.5299999999999869</v>
      </c>
      <c r="J45" s="152">
        <v>6.7800000000000011</v>
      </c>
    </row>
    <row r="46" spans="1:10" ht="15.75" thickBot="1">
      <c r="C46" s="154" t="s">
        <v>197</v>
      </c>
      <c r="D46" s="155">
        <v>81.56</v>
      </c>
      <c r="E46" s="155">
        <v>77.59</v>
      </c>
      <c r="F46" s="155">
        <v>88.6</v>
      </c>
      <c r="G46" s="155">
        <v>77.23</v>
      </c>
      <c r="H46" s="156">
        <v>3.9699999999999989</v>
      </c>
      <c r="I46" s="156">
        <v>-7.039999999999992</v>
      </c>
      <c r="J46" s="156">
        <v>4.3299999999999983</v>
      </c>
    </row>
    <row r="47" spans="1:10" ht="15.75" thickBot="1">
      <c r="C47" s="157" t="s">
        <v>195</v>
      </c>
      <c r="D47" s="158">
        <v>77.78</v>
      </c>
      <c r="E47" s="158">
        <v>73.56</v>
      </c>
      <c r="F47" s="158">
        <v>84.91</v>
      </c>
      <c r="G47" s="158">
        <v>75.44</v>
      </c>
      <c r="H47" s="159">
        <v>4.2199999999999989</v>
      </c>
      <c r="I47" s="159">
        <v>-7.1299999999999955</v>
      </c>
      <c r="J47" s="159">
        <v>2.3400000000000034</v>
      </c>
    </row>
    <row r="48" spans="1:10" ht="15.75" thickBot="1">
      <c r="C48" s="160" t="s">
        <v>223</v>
      </c>
      <c r="D48" s="161">
        <v>83.3</v>
      </c>
      <c r="E48" s="161">
        <v>78.540000000000006</v>
      </c>
      <c r="F48" s="161">
        <v>90.36</v>
      </c>
      <c r="G48" s="161">
        <v>80.28</v>
      </c>
      <c r="H48" s="162">
        <v>4.7599999999999909</v>
      </c>
      <c r="I48" s="162">
        <v>-7.0600000000000023</v>
      </c>
      <c r="J48" s="162">
        <v>3.019999999999996</v>
      </c>
    </row>
    <row r="49" spans="1:10" ht="15.75" thickBot="1">
      <c r="C49" s="163" t="s">
        <v>477</v>
      </c>
      <c r="D49" s="164">
        <v>86.19</v>
      </c>
      <c r="E49" s="164">
        <v>81.86</v>
      </c>
      <c r="F49" s="164">
        <v>92.63</v>
      </c>
      <c r="G49" s="164">
        <v>83.31</v>
      </c>
      <c r="H49" s="165">
        <v>4.3299999999999983</v>
      </c>
      <c r="I49" s="165">
        <v>-6.4399999999999977</v>
      </c>
      <c r="J49" s="165">
        <v>2.8799999999999955</v>
      </c>
    </row>
    <row r="50" spans="1:10">
      <c r="C50" t="s">
        <v>478</v>
      </c>
      <c r="D50" s="166">
        <v>82.91</v>
      </c>
      <c r="E50" s="166">
        <v>78.88</v>
      </c>
      <c r="F50" s="166">
        <v>89.03</v>
      </c>
      <c r="G50" s="166">
        <v>78.88</v>
      </c>
      <c r="H50" s="166">
        <v>4.0300000000000011</v>
      </c>
      <c r="I50" s="166">
        <v>-6.1200000000000045</v>
      </c>
      <c r="J50" s="166">
        <v>4.0300000000000011</v>
      </c>
    </row>
    <row r="51" spans="1:10">
      <c r="C51" t="s">
        <v>479</v>
      </c>
      <c r="D51" s="167">
        <v>4886</v>
      </c>
      <c r="E51" s="167">
        <v>4735</v>
      </c>
      <c r="F51" s="167"/>
      <c r="G51" s="167"/>
      <c r="H51" s="167"/>
      <c r="I51" s="167"/>
      <c r="J51" s="167"/>
    </row>
    <row r="52" spans="1:10">
      <c r="C52" t="s">
        <v>480</v>
      </c>
      <c r="D52" s="168">
        <v>78.88</v>
      </c>
      <c r="E52" s="168">
        <v>73.930000000000007</v>
      </c>
      <c r="F52" s="168"/>
      <c r="G52" s="168"/>
      <c r="H52" s="168"/>
      <c r="I52" s="168"/>
      <c r="J52" s="168"/>
    </row>
    <row r="53" spans="1:10">
      <c r="C53" t="s">
        <v>481</v>
      </c>
      <c r="D53" s="169">
        <v>4735</v>
      </c>
      <c r="E53" s="169">
        <v>4504</v>
      </c>
      <c r="F53" s="169"/>
      <c r="G53" s="169"/>
      <c r="H53" s="169"/>
      <c r="I53" s="169"/>
      <c r="J53" s="169"/>
    </row>
    <row r="54" spans="1:10" ht="33.75">
      <c r="C54" t="s">
        <v>194</v>
      </c>
      <c r="D54" s="184">
        <v>2016</v>
      </c>
      <c r="E54" s="184">
        <v>2015</v>
      </c>
      <c r="F54" s="184" t="s">
        <v>416</v>
      </c>
      <c r="G54" s="184" t="s">
        <v>417</v>
      </c>
      <c r="H54" s="184" t="s">
        <v>418</v>
      </c>
      <c r="I54" s="184" t="s">
        <v>419</v>
      </c>
      <c r="J54" s="184" t="s">
        <v>420</v>
      </c>
    </row>
    <row r="55" spans="1:10">
      <c r="C55" t="s">
        <v>482</v>
      </c>
      <c r="D55" s="166">
        <v>82.91</v>
      </c>
      <c r="E55" s="166">
        <v>82.91</v>
      </c>
      <c r="F55" s="166">
        <v>82.91</v>
      </c>
      <c r="G55" s="166">
        <v>82.91</v>
      </c>
      <c r="H55" s="166">
        <v>82.91</v>
      </c>
      <c r="I55" s="166">
        <v>82.91</v>
      </c>
      <c r="J55" s="166">
        <v>82.91</v>
      </c>
    </row>
    <row r="56" spans="1:10">
      <c r="C56" t="s">
        <v>483</v>
      </c>
      <c r="D56" s="170">
        <v>84.08</v>
      </c>
      <c r="E56" s="170">
        <v>79.319999999999993</v>
      </c>
      <c r="F56" s="170">
        <v>91.62</v>
      </c>
      <c r="G56" s="170">
        <v>82.28</v>
      </c>
      <c r="H56" s="171">
        <v>4.7600000000000051</v>
      </c>
      <c r="I56" s="171">
        <v>-7.5400000000000063</v>
      </c>
      <c r="J56" s="171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153" t="s">
        <v>196</v>
      </c>
      <c r="D105" s="151">
        <v>90.45</v>
      </c>
      <c r="E105" s="151">
        <v>86.08</v>
      </c>
      <c r="F105" s="151">
        <v>84.35</v>
      </c>
      <c r="G105" s="151">
        <v>87.74</v>
      </c>
      <c r="H105" s="151">
        <v>90.43</v>
      </c>
    </row>
    <row r="106" spans="1:8" ht="15.75" thickBot="1">
      <c r="C106" s="154" t="s">
        <v>197</v>
      </c>
      <c r="D106" s="155">
        <v>84.9</v>
      </c>
      <c r="E106" s="155">
        <v>80.59</v>
      </c>
      <c r="F106" s="155">
        <v>81</v>
      </c>
      <c r="G106" s="155">
        <v>84.36</v>
      </c>
      <c r="H106" s="155">
        <v>87.34</v>
      </c>
    </row>
    <row r="107" spans="1:8" ht="15.75" thickBot="1">
      <c r="C107" s="157" t="s">
        <v>195</v>
      </c>
      <c r="D107" s="158">
        <v>85.2</v>
      </c>
      <c r="E107" s="158">
        <v>77.400000000000006</v>
      </c>
      <c r="F107" s="158">
        <v>75.959999999999994</v>
      </c>
      <c r="G107" s="158">
        <v>79.81</v>
      </c>
      <c r="H107" s="158">
        <v>83.12</v>
      </c>
    </row>
    <row r="108" spans="1:8" ht="15.75" thickBot="1">
      <c r="C108" s="160" t="s">
        <v>223</v>
      </c>
      <c r="D108" s="161">
        <v>83.54</v>
      </c>
      <c r="E108" s="161">
        <v>81.03</v>
      </c>
      <c r="F108" s="161">
        <v>83.26</v>
      </c>
      <c r="G108" s="161">
        <v>88.56</v>
      </c>
      <c r="H108" s="161">
        <v>91.07</v>
      </c>
    </row>
    <row r="109" spans="1:8" ht="15.75" thickBot="1">
      <c r="C109" s="163" t="s">
        <v>477</v>
      </c>
      <c r="D109" s="164">
        <v>90.58</v>
      </c>
      <c r="E109" s="164">
        <v>85.89</v>
      </c>
      <c r="F109" s="164">
        <v>85.08</v>
      </c>
      <c r="G109" s="164">
        <v>88.42</v>
      </c>
      <c r="H109" s="164">
        <v>90.24</v>
      </c>
    </row>
    <row r="110" spans="1:8">
      <c r="C110" t="s">
        <v>478</v>
      </c>
      <c r="D110" s="166">
        <v>87.13</v>
      </c>
      <c r="E110" s="166">
        <v>82.26</v>
      </c>
      <c r="F110" s="166">
        <v>81.83</v>
      </c>
      <c r="G110" s="166">
        <v>85.57</v>
      </c>
      <c r="H110" s="166">
        <v>88.33</v>
      </c>
    </row>
    <row r="111" spans="1:8">
      <c r="C111" t="s">
        <v>479</v>
      </c>
      <c r="D111" s="167">
        <v>292</v>
      </c>
      <c r="E111" s="167">
        <v>1996</v>
      </c>
      <c r="F111" s="167">
        <v>1426</v>
      </c>
      <c r="G111" s="167">
        <v>736</v>
      </c>
      <c r="H111" s="167">
        <v>248</v>
      </c>
    </row>
    <row r="112" spans="1:8">
      <c r="C112" t="s">
        <v>480</v>
      </c>
      <c r="D112" s="168">
        <v>82.41</v>
      </c>
      <c r="E112" s="168">
        <v>77.44</v>
      </c>
      <c r="F112" s="168">
        <v>78.069999999999993</v>
      </c>
      <c r="G112" s="168">
        <v>82.57</v>
      </c>
      <c r="H112" s="168">
        <v>86.36</v>
      </c>
    </row>
    <row r="113" spans="1:8">
      <c r="C113" t="s">
        <v>481</v>
      </c>
      <c r="D113" s="169">
        <v>249</v>
      </c>
      <c r="E113" s="169">
        <v>1965</v>
      </c>
      <c r="F113" s="169">
        <v>1426</v>
      </c>
      <c r="G113" s="169">
        <v>733</v>
      </c>
      <c r="H113" s="169">
        <v>256</v>
      </c>
    </row>
    <row r="114" spans="1:8" ht="22.5">
      <c r="C114" t="s">
        <v>194</v>
      </c>
      <c r="D114" s="184" t="s">
        <v>228</v>
      </c>
      <c r="E114" s="184" t="s">
        <v>229</v>
      </c>
      <c r="F114" s="184" t="s">
        <v>230</v>
      </c>
      <c r="G114" s="184" t="s">
        <v>231</v>
      </c>
      <c r="H114" s="184" t="s">
        <v>232</v>
      </c>
    </row>
    <row r="115" spans="1:8">
      <c r="C115" t="s">
        <v>482</v>
      </c>
      <c r="D115" s="166">
        <v>82.91</v>
      </c>
      <c r="E115" s="166">
        <v>82.91</v>
      </c>
      <c r="F115" s="166">
        <v>82.91</v>
      </c>
      <c r="G115" s="166">
        <v>82.91</v>
      </c>
      <c r="H115" s="166">
        <v>82.91</v>
      </c>
    </row>
    <row r="116" spans="1:8">
      <c r="C116" t="s">
        <v>483</v>
      </c>
      <c r="D116" s="170">
        <v>87.33</v>
      </c>
      <c r="E116" s="170">
        <v>82.4</v>
      </c>
      <c r="F116" s="170">
        <v>83.7</v>
      </c>
      <c r="G116" s="170">
        <v>87.89</v>
      </c>
      <c r="H116" s="170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153" t="s">
        <v>196</v>
      </c>
      <c r="D165" s="151">
        <v>86.53</v>
      </c>
      <c r="E165" s="151">
        <v>86.24</v>
      </c>
    </row>
    <row r="166" spans="1:5" ht="15.75" thickBot="1">
      <c r="C166" s="154" t="s">
        <v>197</v>
      </c>
      <c r="D166" s="155">
        <v>82.52</v>
      </c>
      <c r="E166" s="155">
        <v>81.34</v>
      </c>
    </row>
    <row r="167" spans="1:5" ht="15.75" thickBot="1">
      <c r="C167" s="157" t="s">
        <v>195</v>
      </c>
      <c r="D167" s="158">
        <v>78.27</v>
      </c>
      <c r="E167" s="158">
        <v>78.02</v>
      </c>
    </row>
    <row r="168" spans="1:5" ht="15.75" thickBot="1">
      <c r="C168" s="160" t="s">
        <v>223</v>
      </c>
      <c r="D168" s="161">
        <v>83.68</v>
      </c>
      <c r="E168" s="161">
        <v>83.52</v>
      </c>
    </row>
    <row r="169" spans="1:5" ht="15.75" thickBot="1">
      <c r="C169" s="163" t="s">
        <v>477</v>
      </c>
      <c r="D169" s="164">
        <v>86.39</v>
      </c>
      <c r="E169" s="164">
        <v>86.83</v>
      </c>
    </row>
    <row r="170" spans="1:5">
      <c r="C170" t="s">
        <v>478</v>
      </c>
      <c r="D170" s="166">
        <v>83.48</v>
      </c>
      <c r="E170" s="166">
        <v>83.12</v>
      </c>
    </row>
    <row r="171" spans="1:5">
      <c r="C171" t="s">
        <v>479</v>
      </c>
      <c r="D171" s="167">
        <v>2476</v>
      </c>
      <c r="E171" s="167">
        <v>2191</v>
      </c>
    </row>
    <row r="172" spans="1:5">
      <c r="C172" t="s">
        <v>480</v>
      </c>
      <c r="D172" s="168">
        <v>79.62</v>
      </c>
      <c r="E172" s="168">
        <v>78.790000000000006</v>
      </c>
    </row>
    <row r="173" spans="1:5">
      <c r="C173" t="s">
        <v>481</v>
      </c>
      <c r="D173" s="169">
        <v>2382</v>
      </c>
      <c r="E173" s="169">
        <v>2218</v>
      </c>
    </row>
    <row r="174" spans="1:5">
      <c r="C174" t="s">
        <v>194</v>
      </c>
      <c r="D174" s="184" t="s">
        <v>233</v>
      </c>
      <c r="E174" s="184" t="s">
        <v>234</v>
      </c>
    </row>
    <row r="175" spans="1:5">
      <c r="C175" t="s">
        <v>482</v>
      </c>
      <c r="D175" s="166">
        <v>82.91</v>
      </c>
      <c r="E175" s="166">
        <v>82.91</v>
      </c>
    </row>
    <row r="176" spans="1:5">
      <c r="C176" t="s">
        <v>483</v>
      </c>
      <c r="D176" s="170">
        <v>85.32</v>
      </c>
      <c r="E176" s="170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153" t="s">
        <v>196</v>
      </c>
      <c r="D225" s="151">
        <v>76.19</v>
      </c>
      <c r="E225" s="151">
        <v>87.14</v>
      </c>
      <c r="F225" s="151">
        <v>86.86</v>
      </c>
      <c r="G225" s="151">
        <v>85.18</v>
      </c>
      <c r="H225" s="151">
        <v>87.05</v>
      </c>
    </row>
    <row r="226" spans="1:8" ht="15.75" thickBot="1">
      <c r="C226" s="154" t="s">
        <v>197</v>
      </c>
      <c r="D226" s="155">
        <v>78.209999999999994</v>
      </c>
      <c r="E226" s="155">
        <v>80.63</v>
      </c>
      <c r="F226" s="155">
        <v>81.92</v>
      </c>
      <c r="G226" s="155">
        <v>81.260000000000005</v>
      </c>
      <c r="H226" s="155">
        <v>85.26</v>
      </c>
    </row>
    <row r="227" spans="1:8" ht="15.75" thickBot="1">
      <c r="C227" s="157" t="s">
        <v>195</v>
      </c>
      <c r="D227" s="158">
        <v>80.489999999999995</v>
      </c>
      <c r="E227" s="158">
        <v>78.47</v>
      </c>
      <c r="F227" s="158">
        <v>78.739999999999995</v>
      </c>
      <c r="G227" s="158">
        <v>76.790000000000006</v>
      </c>
      <c r="H227" s="158">
        <v>79.03</v>
      </c>
    </row>
    <row r="228" spans="1:8" ht="15.75" thickBot="1">
      <c r="C228" s="160" t="s">
        <v>223</v>
      </c>
      <c r="D228" s="161">
        <v>84.38</v>
      </c>
      <c r="E228" s="161">
        <v>84.66</v>
      </c>
      <c r="F228" s="161">
        <v>83.78</v>
      </c>
      <c r="G228" s="161">
        <v>82.02</v>
      </c>
      <c r="H228" s="161">
        <v>86.82</v>
      </c>
    </row>
    <row r="229" spans="1:8" ht="15.75" thickBot="1">
      <c r="C229" s="163" t="s">
        <v>477</v>
      </c>
      <c r="D229" s="164">
        <v>78.33</v>
      </c>
      <c r="E229" s="164">
        <v>85.6</v>
      </c>
      <c r="F229" s="164">
        <v>86.75</v>
      </c>
      <c r="G229" s="164">
        <v>85.69</v>
      </c>
      <c r="H229" s="164">
        <v>89.35</v>
      </c>
    </row>
    <row r="230" spans="1:8">
      <c r="C230" t="s">
        <v>478</v>
      </c>
      <c r="D230" s="166">
        <v>79.010000000000005</v>
      </c>
      <c r="E230" s="166">
        <v>83.26</v>
      </c>
      <c r="F230" s="166">
        <v>83.59</v>
      </c>
      <c r="G230" s="166">
        <v>82.17</v>
      </c>
      <c r="H230" s="166">
        <v>85.4</v>
      </c>
    </row>
    <row r="231" spans="1:8">
      <c r="C231" t="s">
        <v>479</v>
      </c>
      <c r="D231" s="167">
        <v>12</v>
      </c>
      <c r="E231" s="167">
        <v>360</v>
      </c>
      <c r="F231" s="167">
        <v>2276</v>
      </c>
      <c r="G231" s="167">
        <v>1542</v>
      </c>
      <c r="H231" s="167">
        <v>500</v>
      </c>
    </row>
    <row r="232" spans="1:8">
      <c r="C232" t="s">
        <v>480</v>
      </c>
      <c r="D232" s="168">
        <v>68.069999999999993</v>
      </c>
      <c r="E232" s="168">
        <v>79.69</v>
      </c>
      <c r="F232" s="168">
        <v>79.13</v>
      </c>
      <c r="G232" s="168">
        <v>78.17</v>
      </c>
      <c r="H232" s="168">
        <v>82.9</v>
      </c>
    </row>
    <row r="233" spans="1:8">
      <c r="C233" t="s">
        <v>481</v>
      </c>
      <c r="D233" s="169">
        <v>14</v>
      </c>
      <c r="E233" s="169">
        <v>413</v>
      </c>
      <c r="F233" s="169">
        <v>2318</v>
      </c>
      <c r="G233" s="169">
        <v>1467</v>
      </c>
      <c r="H233" s="169">
        <v>425</v>
      </c>
    </row>
    <row r="234" spans="1:8" ht="45">
      <c r="C234" t="s">
        <v>194</v>
      </c>
      <c r="D234" s="184" t="s">
        <v>421</v>
      </c>
      <c r="E234" s="184" t="s">
        <v>422</v>
      </c>
      <c r="F234" s="184" t="s">
        <v>423</v>
      </c>
      <c r="G234" s="184" t="s">
        <v>424</v>
      </c>
      <c r="H234" s="184" t="s">
        <v>425</v>
      </c>
    </row>
    <row r="235" spans="1:8">
      <c r="C235" t="s">
        <v>482</v>
      </c>
      <c r="D235" s="166">
        <v>82.91</v>
      </c>
      <c r="E235" s="166">
        <v>82.91</v>
      </c>
      <c r="F235" s="166">
        <v>82.91</v>
      </c>
      <c r="G235" s="166">
        <v>82.91</v>
      </c>
      <c r="H235" s="166">
        <v>82.91</v>
      </c>
    </row>
    <row r="236" spans="1:8">
      <c r="C236" t="s">
        <v>483</v>
      </c>
      <c r="D236" s="170">
        <v>75</v>
      </c>
      <c r="E236" s="170">
        <v>86.11</v>
      </c>
      <c r="F236" s="170">
        <v>84.66</v>
      </c>
      <c r="G236" s="170">
        <v>82.38</v>
      </c>
      <c r="H236" s="170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153" t="s">
        <v>196</v>
      </c>
      <c r="D285" s="151">
        <v>93.53</v>
      </c>
      <c r="E285" s="151">
        <v>91.83</v>
      </c>
      <c r="F285" s="151">
        <v>88.97</v>
      </c>
      <c r="G285" s="151">
        <v>83.86</v>
      </c>
      <c r="H285" s="151">
        <v>84.1</v>
      </c>
    </row>
    <row r="286" spans="1:8" ht="15.75" thickBot="1">
      <c r="C286" s="154" t="s">
        <v>197</v>
      </c>
      <c r="D286" s="155">
        <v>93.66</v>
      </c>
      <c r="E286" s="155">
        <v>89.43</v>
      </c>
      <c r="F286" s="155">
        <v>85.92</v>
      </c>
      <c r="G286" s="155">
        <v>81.99</v>
      </c>
      <c r="H286" s="155">
        <v>79.41</v>
      </c>
    </row>
    <row r="287" spans="1:8" ht="15.75" thickBot="1">
      <c r="C287" s="157" t="s">
        <v>195</v>
      </c>
      <c r="D287" s="158">
        <v>87.16</v>
      </c>
      <c r="E287" s="158">
        <v>83.33</v>
      </c>
      <c r="F287" s="158">
        <v>81.790000000000006</v>
      </c>
      <c r="G287" s="158">
        <v>75.37</v>
      </c>
      <c r="H287" s="158">
        <v>74.319999999999993</v>
      </c>
    </row>
    <row r="288" spans="1:8" ht="15.75" thickBot="1">
      <c r="C288" s="160" t="s">
        <v>223</v>
      </c>
      <c r="D288" s="161">
        <v>94.93</v>
      </c>
      <c r="E288" s="161">
        <v>92.27</v>
      </c>
      <c r="F288" s="161">
        <v>89.09</v>
      </c>
      <c r="G288" s="161">
        <v>82.97</v>
      </c>
      <c r="H288" s="161">
        <v>81.58</v>
      </c>
    </row>
    <row r="289" spans="1:8" ht="15.75" thickBot="1">
      <c r="C289" s="163" t="s">
        <v>477</v>
      </c>
      <c r="D289" s="164">
        <v>94.86</v>
      </c>
      <c r="E289" s="164">
        <v>92.88</v>
      </c>
      <c r="F289" s="164">
        <v>90.23</v>
      </c>
      <c r="G289" s="164">
        <v>86.42</v>
      </c>
      <c r="H289" s="164">
        <v>83.34</v>
      </c>
    </row>
    <row r="290" spans="1:8">
      <c r="C290" t="s">
        <v>478</v>
      </c>
      <c r="D290" s="166">
        <v>92.75</v>
      </c>
      <c r="E290" s="166">
        <v>89.82</v>
      </c>
      <c r="F290" s="166">
        <v>87.04</v>
      </c>
      <c r="G290" s="166">
        <v>82.03</v>
      </c>
      <c r="H290" s="166">
        <v>80.510000000000005</v>
      </c>
    </row>
    <row r="291" spans="1:8">
      <c r="C291" t="s">
        <v>479</v>
      </c>
      <c r="D291" s="167">
        <v>74</v>
      </c>
      <c r="E291" s="167">
        <v>139</v>
      </c>
      <c r="F291" s="167">
        <v>979</v>
      </c>
      <c r="G291" s="167">
        <v>794</v>
      </c>
      <c r="H291" s="167">
        <v>386</v>
      </c>
    </row>
    <row r="292" spans="1:8">
      <c r="C292" t="s">
        <v>480</v>
      </c>
      <c r="D292" s="168">
        <v>91.91</v>
      </c>
      <c r="E292" s="168">
        <v>88.05</v>
      </c>
      <c r="F292" s="168">
        <v>86.33</v>
      </c>
      <c r="G292" s="168">
        <v>77.510000000000005</v>
      </c>
      <c r="H292" s="168">
        <v>73.2</v>
      </c>
    </row>
    <row r="293" spans="1:8">
      <c r="C293" t="s">
        <v>481</v>
      </c>
      <c r="D293" s="169">
        <v>65</v>
      </c>
      <c r="E293" s="169">
        <v>121</v>
      </c>
      <c r="F293" s="169">
        <v>895</v>
      </c>
      <c r="G293" s="169">
        <v>768</v>
      </c>
      <c r="H293" s="169">
        <v>265</v>
      </c>
    </row>
    <row r="294" spans="1:8" ht="112.5">
      <c r="C294" t="s">
        <v>194</v>
      </c>
      <c r="D294" s="185" t="s">
        <v>426</v>
      </c>
      <c r="E294" s="185" t="s">
        <v>427</v>
      </c>
      <c r="F294" s="185" t="s">
        <v>428</v>
      </c>
      <c r="G294" s="185" t="s">
        <v>429</v>
      </c>
      <c r="H294" s="185" t="s">
        <v>430</v>
      </c>
    </row>
    <row r="295" spans="1:8">
      <c r="C295" t="s">
        <v>482</v>
      </c>
      <c r="D295" s="166">
        <v>82.91</v>
      </c>
      <c r="E295" s="166">
        <v>82.91</v>
      </c>
      <c r="F295" s="166">
        <v>82.91</v>
      </c>
      <c r="G295" s="166">
        <v>82.91</v>
      </c>
      <c r="H295" s="166">
        <v>82.91</v>
      </c>
    </row>
    <row r="296" spans="1:8">
      <c r="C296" t="s">
        <v>483</v>
      </c>
      <c r="D296" s="170">
        <v>98.65</v>
      </c>
      <c r="E296" s="170">
        <v>94.24</v>
      </c>
      <c r="F296" s="170">
        <v>89.27</v>
      </c>
      <c r="G296" s="170">
        <v>85.34</v>
      </c>
      <c r="H296" s="170">
        <v>81.61</v>
      </c>
    </row>
    <row r="301" spans="1:8">
      <c r="A301" t="s">
        <v>189</v>
      </c>
    </row>
    <row r="315" spans="1:8" ht="15.75" thickBot="1">
      <c r="A315" t="s">
        <v>188</v>
      </c>
      <c r="C315" s="153" t="s">
        <v>196</v>
      </c>
      <c r="D315" s="151">
        <v>78.73</v>
      </c>
      <c r="E315" s="151">
        <v>86.35</v>
      </c>
      <c r="F315" s="151">
        <v>87.52</v>
      </c>
      <c r="G315" s="151">
        <v>90.4</v>
      </c>
      <c r="H315" s="151">
        <v>79.88</v>
      </c>
    </row>
    <row r="316" spans="1:8" ht="15.75" thickBot="1">
      <c r="C316" s="154" t="s">
        <v>197</v>
      </c>
      <c r="D316" s="155">
        <v>74.709999999999994</v>
      </c>
      <c r="E316" s="155">
        <v>79.209999999999994</v>
      </c>
      <c r="F316" s="155">
        <v>81.94</v>
      </c>
      <c r="G316" s="155">
        <v>82.09</v>
      </c>
      <c r="H316" s="155">
        <v>80.540000000000006</v>
      </c>
    </row>
    <row r="317" spans="1:8" ht="15.75" thickBot="1">
      <c r="C317" s="157" t="s">
        <v>195</v>
      </c>
      <c r="D317" s="158">
        <v>69.97</v>
      </c>
      <c r="E317" s="158">
        <v>77.64</v>
      </c>
      <c r="F317" s="158">
        <v>79.180000000000007</v>
      </c>
      <c r="G317" s="158">
        <v>83.27</v>
      </c>
      <c r="H317" s="158">
        <v>72.260000000000005</v>
      </c>
    </row>
    <row r="318" spans="1:8" ht="15.75" thickBot="1">
      <c r="C318" s="160" t="s">
        <v>223</v>
      </c>
      <c r="D318" s="161">
        <v>76.73</v>
      </c>
      <c r="E318" s="161">
        <v>80.61</v>
      </c>
      <c r="F318" s="161">
        <v>83.49</v>
      </c>
      <c r="G318" s="161">
        <v>80.66</v>
      </c>
      <c r="H318" s="161">
        <v>76.23</v>
      </c>
    </row>
    <row r="319" spans="1:8" ht="15.75" thickBot="1">
      <c r="C319" s="163" t="s">
        <v>477</v>
      </c>
      <c r="D319" s="164">
        <v>79.400000000000006</v>
      </c>
      <c r="E319" s="164">
        <v>84.13</v>
      </c>
      <c r="F319" s="164">
        <v>86.8</v>
      </c>
      <c r="G319" s="164">
        <v>89.26</v>
      </c>
      <c r="H319" s="164">
        <v>80.28</v>
      </c>
    </row>
    <row r="320" spans="1:8">
      <c r="C320" t="s">
        <v>478</v>
      </c>
      <c r="D320" s="166">
        <v>75.88</v>
      </c>
      <c r="E320" s="166">
        <v>81.69</v>
      </c>
      <c r="F320" s="166">
        <v>83.78</v>
      </c>
      <c r="G320" s="166">
        <v>85.39</v>
      </c>
      <c r="H320" s="166">
        <v>77.95</v>
      </c>
    </row>
    <row r="321" spans="1:8">
      <c r="C321" t="s">
        <v>479</v>
      </c>
      <c r="D321" s="167">
        <v>426</v>
      </c>
      <c r="E321" s="167">
        <v>536</v>
      </c>
      <c r="F321" s="167">
        <v>877</v>
      </c>
      <c r="G321" s="167">
        <v>396</v>
      </c>
      <c r="H321" s="167">
        <v>42</v>
      </c>
    </row>
    <row r="322" spans="1:8">
      <c r="C322" t="s">
        <v>480</v>
      </c>
      <c r="D322" s="168">
        <v>71.02</v>
      </c>
      <c r="E322" s="168">
        <v>74.760000000000005</v>
      </c>
      <c r="F322" s="168">
        <v>80.2</v>
      </c>
      <c r="G322" s="168">
        <v>80.39</v>
      </c>
      <c r="H322" s="168" t="s">
        <v>249</v>
      </c>
    </row>
    <row r="323" spans="1:8">
      <c r="C323" t="s">
        <v>481</v>
      </c>
      <c r="D323" s="169">
        <v>519</v>
      </c>
      <c r="E323" s="169">
        <v>572</v>
      </c>
      <c r="F323" s="169">
        <v>937</v>
      </c>
      <c r="G323" s="169">
        <v>444</v>
      </c>
      <c r="H323" s="169" t="s">
        <v>247</v>
      </c>
    </row>
    <row r="324" spans="1:8" ht="90">
      <c r="C324" t="s">
        <v>194</v>
      </c>
      <c r="D324" s="185" t="s">
        <v>431</v>
      </c>
      <c r="E324" s="185" t="s">
        <v>432</v>
      </c>
      <c r="F324" s="185" t="s">
        <v>433</v>
      </c>
      <c r="G324" s="185" t="s">
        <v>434</v>
      </c>
      <c r="H324" s="185" t="s">
        <v>435</v>
      </c>
    </row>
    <row r="325" spans="1:8">
      <c r="C325" t="s">
        <v>482</v>
      </c>
      <c r="D325" s="166">
        <v>82.91</v>
      </c>
      <c r="E325" s="166">
        <v>82.91</v>
      </c>
      <c r="F325" s="166">
        <v>82.91</v>
      </c>
      <c r="G325" s="166">
        <v>82.91</v>
      </c>
      <c r="H325" s="166">
        <v>82.91</v>
      </c>
    </row>
    <row r="326" spans="1:8">
      <c r="C326" t="s">
        <v>483</v>
      </c>
      <c r="D326" s="170">
        <v>80</v>
      </c>
      <c r="E326" s="170">
        <v>81.459999999999994</v>
      </c>
      <c r="F326" s="170">
        <v>82.78</v>
      </c>
      <c r="G326" s="170">
        <v>82.83</v>
      </c>
      <c r="H326" s="170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153" t="s">
        <v>196</v>
      </c>
      <c r="D375" s="151">
        <v>91.75</v>
      </c>
      <c r="E375" s="151">
        <v>87.14</v>
      </c>
      <c r="F375" s="151">
        <v>84.41</v>
      </c>
      <c r="G375" s="151">
        <v>79.94</v>
      </c>
      <c r="H375" s="151">
        <v>87.42</v>
      </c>
      <c r="I375" s="151">
        <v>88.24</v>
      </c>
    </row>
    <row r="376" spans="1:9" ht="15.75" thickBot="1">
      <c r="C376" s="154" t="s">
        <v>197</v>
      </c>
      <c r="D376" s="155">
        <v>87.01</v>
      </c>
      <c r="E376" s="155">
        <v>82.15</v>
      </c>
      <c r="F376" s="155">
        <v>78.97</v>
      </c>
      <c r="G376" s="155">
        <v>76.930000000000007</v>
      </c>
      <c r="H376" s="155">
        <v>83.93</v>
      </c>
      <c r="I376" s="155">
        <v>84.79</v>
      </c>
    </row>
    <row r="377" spans="1:9" ht="15.75" thickBot="1">
      <c r="C377" s="157" t="s">
        <v>195</v>
      </c>
      <c r="D377" s="158">
        <v>87.17</v>
      </c>
      <c r="E377" s="158">
        <v>79.760000000000005</v>
      </c>
      <c r="F377" s="158">
        <v>74.66</v>
      </c>
      <c r="G377" s="158">
        <v>72.42</v>
      </c>
      <c r="H377" s="158">
        <v>77.63</v>
      </c>
      <c r="I377" s="158">
        <v>80.38</v>
      </c>
    </row>
    <row r="378" spans="1:9" ht="15.75" thickBot="1">
      <c r="C378" s="160" t="s">
        <v>223</v>
      </c>
      <c r="D378" s="161">
        <v>86.67</v>
      </c>
      <c r="E378" s="161">
        <v>82.73</v>
      </c>
      <c r="F378" s="161">
        <v>79.88</v>
      </c>
      <c r="G378" s="161">
        <v>80.069999999999993</v>
      </c>
      <c r="H378" s="161">
        <v>86.61</v>
      </c>
      <c r="I378" s="161">
        <v>88.62</v>
      </c>
    </row>
    <row r="379" spans="1:9" ht="15.75" thickBot="1">
      <c r="C379" s="163" t="s">
        <v>477</v>
      </c>
      <c r="D379" s="164">
        <v>91.77</v>
      </c>
      <c r="E379" s="164">
        <v>87.67</v>
      </c>
      <c r="F379" s="164">
        <v>83.75</v>
      </c>
      <c r="G379" s="164">
        <v>81.36</v>
      </c>
      <c r="H379" s="164">
        <v>88.32</v>
      </c>
      <c r="I379" s="164">
        <v>88.26</v>
      </c>
    </row>
    <row r="380" spans="1:9">
      <c r="C380" t="s">
        <v>478</v>
      </c>
      <c r="D380" s="166">
        <v>89.02</v>
      </c>
      <c r="E380" s="166">
        <v>83.93</v>
      </c>
      <c r="F380" s="166">
        <v>80.37</v>
      </c>
      <c r="G380" s="166">
        <v>77.959999999999994</v>
      </c>
      <c r="H380" s="166">
        <v>84.65</v>
      </c>
      <c r="I380" s="166">
        <v>85.91</v>
      </c>
    </row>
    <row r="381" spans="1:9">
      <c r="C381" t="s">
        <v>479</v>
      </c>
      <c r="D381" s="167">
        <v>425</v>
      </c>
      <c r="E381" s="167">
        <v>1125</v>
      </c>
      <c r="F381" s="167">
        <v>1198</v>
      </c>
      <c r="G381" s="167">
        <v>412</v>
      </c>
      <c r="H381" s="167">
        <v>791</v>
      </c>
      <c r="I381" s="167">
        <v>719</v>
      </c>
    </row>
    <row r="382" spans="1:9">
      <c r="C382" t="s">
        <v>480</v>
      </c>
      <c r="D382" s="168">
        <v>83.99</v>
      </c>
      <c r="E382" s="168">
        <v>78.19</v>
      </c>
      <c r="F382" s="168">
        <v>76.42</v>
      </c>
      <c r="G382" s="168">
        <v>76.36</v>
      </c>
      <c r="H382" s="168">
        <v>80.75</v>
      </c>
      <c r="I382" s="168">
        <v>84.02</v>
      </c>
    </row>
    <row r="383" spans="1:9">
      <c r="C383" t="s">
        <v>481</v>
      </c>
      <c r="D383" s="169">
        <v>305</v>
      </c>
      <c r="E383" s="169">
        <v>1135</v>
      </c>
      <c r="F383" s="169">
        <v>1202</v>
      </c>
      <c r="G383" s="169">
        <v>481</v>
      </c>
      <c r="H383" s="169">
        <v>715</v>
      </c>
      <c r="I383" s="169">
        <v>773</v>
      </c>
    </row>
    <row r="384" spans="1:9" ht="22.5">
      <c r="C384" t="s">
        <v>194</v>
      </c>
      <c r="D384" s="184" t="s">
        <v>436</v>
      </c>
      <c r="E384" s="184" t="s">
        <v>437</v>
      </c>
      <c r="F384" s="184" t="s">
        <v>438</v>
      </c>
      <c r="G384" s="184" t="s">
        <v>439</v>
      </c>
      <c r="H384" s="184" t="s">
        <v>440</v>
      </c>
      <c r="I384" s="184" t="s">
        <v>441</v>
      </c>
    </row>
    <row r="385" spans="1:9">
      <c r="C385" t="s">
        <v>482</v>
      </c>
      <c r="D385" s="166">
        <v>82.91</v>
      </c>
      <c r="E385" s="166">
        <v>82.91</v>
      </c>
      <c r="F385" s="166">
        <v>82.91</v>
      </c>
      <c r="G385" s="166">
        <v>82.91</v>
      </c>
      <c r="H385" s="166">
        <v>82.91</v>
      </c>
      <c r="I385" s="166">
        <v>82.91</v>
      </c>
    </row>
    <row r="386" spans="1:9">
      <c r="C386" t="s">
        <v>483</v>
      </c>
      <c r="D386" s="170">
        <v>90.59</v>
      </c>
      <c r="E386" s="170">
        <v>84.53</v>
      </c>
      <c r="F386" s="170">
        <v>80.75</v>
      </c>
      <c r="G386" s="170">
        <v>79.08</v>
      </c>
      <c r="H386" s="170">
        <v>86.71</v>
      </c>
      <c r="I386" s="170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153" t="s">
        <v>196</v>
      </c>
      <c r="D435" s="151">
        <v>70.28</v>
      </c>
      <c r="E435" s="151">
        <v>93.52</v>
      </c>
      <c r="F435" s="151">
        <v>81.7</v>
      </c>
      <c r="G435" s="151">
        <v>85.8</v>
      </c>
      <c r="H435" s="151">
        <v>86.78</v>
      </c>
      <c r="I435" s="151">
        <v>83.81</v>
      </c>
      <c r="J435" s="151">
        <v>96.24</v>
      </c>
    </row>
    <row r="436" spans="1:10" ht="15.75" thickBot="1">
      <c r="C436" s="154" t="s">
        <v>197</v>
      </c>
      <c r="D436" s="155">
        <v>62.23</v>
      </c>
      <c r="E436" s="155">
        <v>94.29</v>
      </c>
      <c r="F436" s="155">
        <v>80.44</v>
      </c>
      <c r="G436" s="155">
        <v>83.68</v>
      </c>
      <c r="H436" s="155">
        <v>81.459999999999994</v>
      </c>
      <c r="I436" s="155">
        <v>84.28</v>
      </c>
      <c r="J436" s="155">
        <v>91.48</v>
      </c>
    </row>
    <row r="437" spans="1:10" ht="15.75" thickBot="1">
      <c r="C437" s="157" t="s">
        <v>195</v>
      </c>
      <c r="D437" s="158">
        <v>67.959999999999994</v>
      </c>
      <c r="E437" s="158">
        <v>91.07</v>
      </c>
      <c r="F437" s="158">
        <v>74.040000000000006</v>
      </c>
      <c r="G437" s="158">
        <v>74.45</v>
      </c>
      <c r="H437" s="158">
        <v>78.72</v>
      </c>
      <c r="I437" s="158">
        <v>76.58</v>
      </c>
      <c r="J437" s="158">
        <v>81.349999999999994</v>
      </c>
    </row>
    <row r="438" spans="1:10" ht="15.75" thickBot="1">
      <c r="C438" s="160" t="s">
        <v>223</v>
      </c>
      <c r="D438" s="161">
        <v>72.989999999999995</v>
      </c>
      <c r="E438" s="161">
        <v>99.04</v>
      </c>
      <c r="F438" s="161">
        <v>80</v>
      </c>
      <c r="G438" s="161">
        <v>84.75</v>
      </c>
      <c r="H438" s="161">
        <v>83.95</v>
      </c>
      <c r="I438" s="161">
        <v>89.61</v>
      </c>
      <c r="J438" s="161">
        <v>93.45</v>
      </c>
    </row>
    <row r="439" spans="1:10" ht="15.75" thickBot="1">
      <c r="C439" s="163" t="s">
        <v>477</v>
      </c>
      <c r="D439" s="164">
        <v>60.71</v>
      </c>
      <c r="E439" s="164">
        <v>98.57</v>
      </c>
      <c r="F439" s="164">
        <v>79.77</v>
      </c>
      <c r="G439" s="164">
        <v>87.66</v>
      </c>
      <c r="H439" s="164">
        <v>86.3</v>
      </c>
      <c r="I439" s="164">
        <v>90.11</v>
      </c>
      <c r="J439" s="164">
        <v>93.76</v>
      </c>
    </row>
    <row r="440" spans="1:10">
      <c r="C440" t="s">
        <v>478</v>
      </c>
      <c r="D440" s="166">
        <v>66.8</v>
      </c>
      <c r="E440" s="166">
        <v>94.93</v>
      </c>
      <c r="F440" s="166">
        <v>79.16</v>
      </c>
      <c r="G440" s="166">
        <v>83.16</v>
      </c>
      <c r="H440" s="166">
        <v>83.39</v>
      </c>
      <c r="I440" s="166">
        <v>84.44</v>
      </c>
      <c r="J440" s="166">
        <v>91.35</v>
      </c>
    </row>
    <row r="441" spans="1:10">
      <c r="C441" t="s">
        <v>479</v>
      </c>
      <c r="D441" s="167">
        <v>8</v>
      </c>
      <c r="E441" s="167">
        <v>14</v>
      </c>
      <c r="F441" s="167">
        <v>41</v>
      </c>
      <c r="G441" s="167">
        <v>199</v>
      </c>
      <c r="H441" s="167">
        <v>2612</v>
      </c>
      <c r="I441" s="167">
        <v>95</v>
      </c>
      <c r="J441" s="167">
        <v>21</v>
      </c>
    </row>
    <row r="442" spans="1:10">
      <c r="C442" t="s">
        <v>480</v>
      </c>
      <c r="D442" s="168">
        <v>71.709999999999994</v>
      </c>
      <c r="E442" s="168">
        <v>94.66</v>
      </c>
      <c r="F442" s="168">
        <v>78.58</v>
      </c>
      <c r="G442" s="168">
        <v>74.38</v>
      </c>
      <c r="H442" s="168">
        <v>80.41</v>
      </c>
      <c r="I442" s="168">
        <v>84.16</v>
      </c>
      <c r="J442" s="168" t="s">
        <v>249</v>
      </c>
    </row>
    <row r="443" spans="1:10">
      <c r="C443" t="s">
        <v>481</v>
      </c>
      <c r="D443" s="169">
        <v>22</v>
      </c>
      <c r="E443" s="169">
        <v>10</v>
      </c>
      <c r="F443" s="169">
        <v>47</v>
      </c>
      <c r="G443" s="169">
        <v>187</v>
      </c>
      <c r="H443" s="169">
        <v>2535</v>
      </c>
      <c r="I443" s="169">
        <v>89</v>
      </c>
      <c r="J443" s="169" t="s">
        <v>247</v>
      </c>
    </row>
    <row r="444" spans="1:10" ht="33.75">
      <c r="C444" t="s">
        <v>194</v>
      </c>
      <c r="D444" s="184" t="s">
        <v>442</v>
      </c>
      <c r="E444" s="184" t="s">
        <v>443</v>
      </c>
      <c r="F444" s="184" t="s">
        <v>444</v>
      </c>
      <c r="G444" s="184" t="s">
        <v>445</v>
      </c>
      <c r="H444" s="184" t="s">
        <v>446</v>
      </c>
      <c r="I444" s="184" t="s">
        <v>447</v>
      </c>
      <c r="J444" s="184" t="s">
        <v>448</v>
      </c>
    </row>
    <row r="445" spans="1:10">
      <c r="C445" t="s">
        <v>482</v>
      </c>
      <c r="D445" s="166">
        <v>82.91</v>
      </c>
      <c r="E445" s="166">
        <v>82.91</v>
      </c>
      <c r="F445" s="166">
        <v>82.91</v>
      </c>
      <c r="G445" s="166">
        <v>82.91</v>
      </c>
      <c r="H445" s="166">
        <v>82.91</v>
      </c>
      <c r="I445" s="166">
        <v>82.91</v>
      </c>
      <c r="J445" s="166">
        <v>82.91</v>
      </c>
    </row>
    <row r="446" spans="1:10">
      <c r="C446" t="s">
        <v>483</v>
      </c>
      <c r="D446" s="170">
        <v>75</v>
      </c>
      <c r="E446" s="170">
        <v>100</v>
      </c>
      <c r="F446" s="170">
        <v>75.61</v>
      </c>
      <c r="G446" s="170">
        <v>86.36</v>
      </c>
      <c r="H446" s="170">
        <v>83.41</v>
      </c>
      <c r="I446" s="170">
        <v>91.58</v>
      </c>
      <c r="J446" s="170">
        <v>100</v>
      </c>
    </row>
    <row r="451" spans="1:1">
      <c r="A451" t="s">
        <v>192</v>
      </c>
    </row>
    <row r="465" spans="1:10" ht="15.75" thickBot="1">
      <c r="A465" t="s">
        <v>193</v>
      </c>
      <c r="C465" s="153" t="s">
        <v>196</v>
      </c>
      <c r="D465" s="151">
        <v>90.49</v>
      </c>
      <c r="E465" s="151">
        <v>78.42</v>
      </c>
      <c r="F465" s="151">
        <v>89.17</v>
      </c>
      <c r="G465" s="151">
        <v>84.63</v>
      </c>
      <c r="H465" s="151">
        <v>81.78</v>
      </c>
      <c r="I465" s="151" t="s">
        <v>249</v>
      </c>
      <c r="J465" s="151">
        <v>97.14</v>
      </c>
    </row>
    <row r="466" spans="1:10" ht="15.75" thickBot="1">
      <c r="C466" s="154" t="s">
        <v>197</v>
      </c>
      <c r="D466" s="155">
        <v>90.16</v>
      </c>
      <c r="E466" s="155">
        <v>79.81</v>
      </c>
      <c r="F466" s="155">
        <v>87.3</v>
      </c>
      <c r="G466" s="155">
        <v>79.87</v>
      </c>
      <c r="H466" s="155">
        <v>83.85</v>
      </c>
      <c r="I466" s="155" t="s">
        <v>249</v>
      </c>
      <c r="J466" s="155">
        <v>95.38</v>
      </c>
    </row>
    <row r="467" spans="1:10" ht="15.75" thickBot="1">
      <c r="C467" s="157" t="s">
        <v>195</v>
      </c>
      <c r="D467" s="158">
        <v>80.63</v>
      </c>
      <c r="E467" s="158">
        <v>70.56</v>
      </c>
      <c r="F467" s="158">
        <v>81.760000000000005</v>
      </c>
      <c r="G467" s="158">
        <v>76.849999999999994</v>
      </c>
      <c r="H467" s="158">
        <v>73.540000000000006</v>
      </c>
      <c r="I467" s="158" t="s">
        <v>249</v>
      </c>
      <c r="J467" s="158">
        <v>85</v>
      </c>
    </row>
    <row r="468" spans="1:10" ht="15.75" thickBot="1">
      <c r="C468" s="160" t="s">
        <v>223</v>
      </c>
      <c r="D468" s="161">
        <v>88.73</v>
      </c>
      <c r="E468" s="161">
        <v>76.319999999999993</v>
      </c>
      <c r="F468" s="161">
        <v>90.11</v>
      </c>
      <c r="G468" s="161">
        <v>80.97</v>
      </c>
      <c r="H468" s="161">
        <v>81.84</v>
      </c>
      <c r="I468" s="161" t="s">
        <v>249</v>
      </c>
      <c r="J468" s="161">
        <v>96.25</v>
      </c>
    </row>
    <row r="469" spans="1:10" ht="15.75" thickBot="1">
      <c r="C469" s="163" t="s">
        <v>477</v>
      </c>
      <c r="D469" s="164">
        <v>92.57</v>
      </c>
      <c r="E469" s="164">
        <v>79.37</v>
      </c>
      <c r="F469" s="164">
        <v>91.39</v>
      </c>
      <c r="G469" s="164">
        <v>85.14</v>
      </c>
      <c r="H469" s="164">
        <v>86.85</v>
      </c>
      <c r="I469" s="164" t="s">
        <v>249</v>
      </c>
      <c r="J469" s="164">
        <v>91</v>
      </c>
    </row>
    <row r="470" spans="1:10">
      <c r="C470" t="s">
        <v>478</v>
      </c>
      <c r="D470" s="166">
        <v>88.51</v>
      </c>
      <c r="E470" s="166">
        <v>77.03</v>
      </c>
      <c r="F470" s="166">
        <v>87.77</v>
      </c>
      <c r="G470" s="166">
        <v>81.510000000000005</v>
      </c>
      <c r="H470" s="166">
        <v>81.52</v>
      </c>
      <c r="I470" s="166" t="s">
        <v>249</v>
      </c>
      <c r="J470" s="166">
        <v>93.1</v>
      </c>
    </row>
    <row r="471" spans="1:10">
      <c r="C471" t="s">
        <v>479</v>
      </c>
      <c r="D471" s="167">
        <v>170</v>
      </c>
      <c r="E471" s="167">
        <v>102</v>
      </c>
      <c r="F471" s="167">
        <v>60</v>
      </c>
      <c r="G471" s="167">
        <v>1478</v>
      </c>
      <c r="H471" s="167">
        <v>73</v>
      </c>
      <c r="I471" s="167">
        <v>3</v>
      </c>
      <c r="J471" s="167">
        <v>10</v>
      </c>
    </row>
    <row r="472" spans="1:10">
      <c r="C472" t="s">
        <v>480</v>
      </c>
      <c r="D472" s="168">
        <v>87.49</v>
      </c>
      <c r="E472" s="168">
        <v>80.099999999999994</v>
      </c>
      <c r="F472" s="168">
        <v>77.22</v>
      </c>
      <c r="G472" s="168">
        <v>75.45</v>
      </c>
      <c r="H472" s="168">
        <v>82.2</v>
      </c>
      <c r="I472" s="168" t="s">
        <v>249</v>
      </c>
      <c r="J472" s="168">
        <v>91.82</v>
      </c>
    </row>
    <row r="473" spans="1:10">
      <c r="C473" t="s">
        <v>481</v>
      </c>
      <c r="D473" s="169">
        <v>159</v>
      </c>
      <c r="E473" s="169">
        <v>99</v>
      </c>
      <c r="F473" s="169">
        <v>55</v>
      </c>
      <c r="G473" s="169">
        <v>1432</v>
      </c>
      <c r="H473" s="169">
        <v>77</v>
      </c>
      <c r="I473" s="169">
        <v>5</v>
      </c>
      <c r="J473" s="169">
        <v>11</v>
      </c>
    </row>
    <row r="474" spans="1:10" ht="33.75">
      <c r="C474" t="s">
        <v>194</v>
      </c>
      <c r="D474" s="184" t="s">
        <v>449</v>
      </c>
      <c r="E474" s="184" t="s">
        <v>450</v>
      </c>
      <c r="F474" s="184" t="s">
        <v>451</v>
      </c>
      <c r="G474" s="184" t="s">
        <v>452</v>
      </c>
      <c r="H474" s="184" t="s">
        <v>453</v>
      </c>
      <c r="I474" s="184" t="s">
        <v>454</v>
      </c>
      <c r="J474" s="184" t="s">
        <v>455</v>
      </c>
    </row>
    <row r="475" spans="1:10">
      <c r="C475" t="s">
        <v>482</v>
      </c>
      <c r="D475" s="166">
        <v>82.91</v>
      </c>
      <c r="E475" s="166">
        <v>82.91</v>
      </c>
      <c r="F475" s="166">
        <v>82.91</v>
      </c>
      <c r="G475" s="166">
        <v>82.91</v>
      </c>
      <c r="H475" s="166">
        <v>82.91</v>
      </c>
      <c r="I475" s="166">
        <v>82.91</v>
      </c>
      <c r="J475" s="166">
        <v>82.91</v>
      </c>
    </row>
    <row r="476" spans="1:10">
      <c r="C476" t="s">
        <v>483</v>
      </c>
      <c r="D476" s="170">
        <v>91.12</v>
      </c>
      <c r="E476" s="170">
        <v>81.37</v>
      </c>
      <c r="F476" s="170">
        <v>91.53</v>
      </c>
      <c r="G476" s="170">
        <v>83.23</v>
      </c>
      <c r="H476" s="170">
        <v>87.67</v>
      </c>
      <c r="I476" s="170" t="s">
        <v>249</v>
      </c>
      <c r="J476" s="170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153" t="s">
        <v>196</v>
      </c>
      <c r="D525" s="151">
        <v>92.06</v>
      </c>
      <c r="E525" s="151">
        <v>82.99</v>
      </c>
      <c r="F525" s="151">
        <v>73.010000000000005</v>
      </c>
      <c r="G525" s="151">
        <v>58.22</v>
      </c>
    </row>
    <row r="526" spans="1:7" ht="15.75" thickBot="1">
      <c r="C526" s="154" t="s">
        <v>197</v>
      </c>
      <c r="D526" s="155">
        <v>87.65</v>
      </c>
      <c r="E526" s="155">
        <v>78.34</v>
      </c>
      <c r="F526" s="155">
        <v>69.09</v>
      </c>
      <c r="G526" s="155">
        <v>54.71</v>
      </c>
    </row>
    <row r="527" spans="1:7" ht="15.75" thickBot="1">
      <c r="C527" s="157" t="s">
        <v>195</v>
      </c>
      <c r="D527" s="158">
        <v>83.2</v>
      </c>
      <c r="E527" s="158">
        <v>74.31</v>
      </c>
      <c r="F527" s="158">
        <v>66.7</v>
      </c>
      <c r="G527" s="158">
        <v>56.94</v>
      </c>
    </row>
    <row r="528" spans="1:7" ht="15.75" thickBot="1">
      <c r="C528" s="160" t="s">
        <v>223</v>
      </c>
      <c r="D528" s="161">
        <v>87.6</v>
      </c>
      <c r="E528" s="161">
        <v>81.8</v>
      </c>
      <c r="F528" s="161">
        <v>71.7</v>
      </c>
      <c r="G528" s="161">
        <v>66.19</v>
      </c>
    </row>
    <row r="529" spans="1:7" ht="15.75" thickBot="1">
      <c r="C529" s="163" t="s">
        <v>477</v>
      </c>
      <c r="D529" s="164">
        <v>90.98</v>
      </c>
      <c r="E529" s="164">
        <v>84.03</v>
      </c>
      <c r="F529" s="164">
        <v>75.88</v>
      </c>
      <c r="G529" s="164">
        <v>65.92</v>
      </c>
    </row>
    <row r="530" spans="1:7">
      <c r="C530" t="s">
        <v>478</v>
      </c>
      <c r="D530" s="166">
        <v>88.39</v>
      </c>
      <c r="E530" s="166">
        <v>80.150000000000006</v>
      </c>
      <c r="F530" s="166">
        <v>71.099999999999994</v>
      </c>
      <c r="G530" s="166">
        <v>59.77</v>
      </c>
    </row>
    <row r="531" spans="1:7">
      <c r="C531" t="s">
        <v>479</v>
      </c>
      <c r="D531" s="167">
        <v>2444</v>
      </c>
      <c r="E531" s="167">
        <v>1088</v>
      </c>
      <c r="F531" s="167">
        <v>501</v>
      </c>
      <c r="G531" s="167">
        <v>116</v>
      </c>
    </row>
    <row r="532" spans="1:7">
      <c r="C532" t="s">
        <v>480</v>
      </c>
      <c r="D532" s="168">
        <v>84.86</v>
      </c>
      <c r="E532" s="168">
        <v>74.510000000000005</v>
      </c>
      <c r="F532" s="168">
        <v>66.599999999999994</v>
      </c>
      <c r="G532" s="168">
        <v>55.18</v>
      </c>
    </row>
    <row r="533" spans="1:7">
      <c r="C533" t="s">
        <v>481</v>
      </c>
      <c r="D533" s="169">
        <v>2773</v>
      </c>
      <c r="E533" s="169">
        <v>1087</v>
      </c>
      <c r="F533" s="169">
        <v>595</v>
      </c>
      <c r="G533" s="169">
        <v>110</v>
      </c>
    </row>
    <row r="534" spans="1:7">
      <c r="C534" t="s">
        <v>194</v>
      </c>
      <c r="D534" s="184" t="s">
        <v>235</v>
      </c>
      <c r="E534" s="184" t="s">
        <v>236</v>
      </c>
      <c r="F534" s="184" t="s">
        <v>237</v>
      </c>
      <c r="G534" s="184" t="s">
        <v>238</v>
      </c>
    </row>
    <row r="535" spans="1:7">
      <c r="C535" t="s">
        <v>482</v>
      </c>
      <c r="D535" s="166">
        <v>82.91</v>
      </c>
      <c r="E535" s="166">
        <v>82.91</v>
      </c>
      <c r="F535" s="166">
        <v>82.91</v>
      </c>
      <c r="G535" s="166">
        <v>82.91</v>
      </c>
    </row>
    <row r="536" spans="1:7">
      <c r="C536" t="s">
        <v>483</v>
      </c>
      <c r="D536" s="170">
        <v>89.51</v>
      </c>
      <c r="E536" s="170">
        <v>82.26</v>
      </c>
      <c r="F536" s="170">
        <v>70.599999999999994</v>
      </c>
      <c r="G536" s="170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153" t="s">
        <v>196</v>
      </c>
      <c r="D585" s="151">
        <v>88.46</v>
      </c>
      <c r="E585" s="151">
        <v>81.81</v>
      </c>
      <c r="F585" s="151">
        <v>69.47</v>
      </c>
      <c r="G585" s="151">
        <v>90.75</v>
      </c>
      <c r="H585" s="151">
        <v>71.900000000000006</v>
      </c>
    </row>
    <row r="586" spans="1:8" ht="15.75" thickBot="1">
      <c r="C586" s="154" t="s">
        <v>197</v>
      </c>
      <c r="D586" s="155">
        <v>84.45</v>
      </c>
      <c r="E586" s="155">
        <v>75.67</v>
      </c>
      <c r="F586" s="155">
        <v>62.34</v>
      </c>
      <c r="G586" s="155">
        <v>87.24</v>
      </c>
      <c r="H586" s="155">
        <v>66.099999999999994</v>
      </c>
    </row>
    <row r="587" spans="1:8" ht="15.75" thickBot="1">
      <c r="C587" s="157" t="s">
        <v>195</v>
      </c>
      <c r="D587" s="158">
        <v>79.25</v>
      </c>
      <c r="E587" s="158">
        <v>73.47</v>
      </c>
      <c r="F587" s="158">
        <v>59.43</v>
      </c>
      <c r="G587" s="158">
        <v>82.97</v>
      </c>
      <c r="H587" s="158">
        <v>62.41</v>
      </c>
    </row>
    <row r="588" spans="1:8" ht="15.75" thickBot="1">
      <c r="C588" s="160" t="s">
        <v>223</v>
      </c>
      <c r="D588" s="161">
        <v>84.85</v>
      </c>
      <c r="E588" s="161">
        <v>75.930000000000007</v>
      </c>
      <c r="F588" s="161">
        <v>67.13</v>
      </c>
      <c r="G588" s="161">
        <v>89.76</v>
      </c>
      <c r="H588" s="161">
        <v>66.989999999999995</v>
      </c>
    </row>
    <row r="589" spans="1:8" ht="15.75" thickBot="1">
      <c r="C589" s="163" t="s">
        <v>477</v>
      </c>
      <c r="D589" s="164">
        <v>88.44</v>
      </c>
      <c r="E589" s="164">
        <v>81.05</v>
      </c>
      <c r="F589" s="164">
        <v>68.94</v>
      </c>
      <c r="G589" s="164">
        <v>91.63</v>
      </c>
      <c r="H589" s="164">
        <v>70.739999999999995</v>
      </c>
    </row>
    <row r="590" spans="1:8">
      <c r="C590" t="s">
        <v>478</v>
      </c>
      <c r="D590" s="166">
        <v>85.13</v>
      </c>
      <c r="E590" s="166">
        <v>77.69</v>
      </c>
      <c r="F590" s="166">
        <v>65.31</v>
      </c>
      <c r="G590" s="166">
        <v>88.38</v>
      </c>
      <c r="H590" s="166">
        <v>67.58</v>
      </c>
    </row>
    <row r="591" spans="1:8">
      <c r="C591" t="s">
        <v>479</v>
      </c>
      <c r="D591" s="167">
        <v>680</v>
      </c>
      <c r="E591" s="167">
        <v>940</v>
      </c>
      <c r="F591" s="167">
        <v>101</v>
      </c>
      <c r="G591" s="167">
        <v>1993</v>
      </c>
      <c r="H591" s="167">
        <v>218</v>
      </c>
    </row>
    <row r="592" spans="1:8">
      <c r="C592" t="s">
        <v>480</v>
      </c>
      <c r="D592" s="168">
        <v>80.739999999999995</v>
      </c>
      <c r="E592" s="168">
        <v>74.11</v>
      </c>
      <c r="F592" s="168">
        <v>60.51</v>
      </c>
      <c r="G592" s="168">
        <v>85.59</v>
      </c>
      <c r="H592" s="168">
        <v>59.82</v>
      </c>
    </row>
    <row r="593" spans="1:8">
      <c r="C593" t="s">
        <v>481</v>
      </c>
      <c r="D593" s="169">
        <v>764</v>
      </c>
      <c r="E593" s="169">
        <v>1235</v>
      </c>
      <c r="F593" s="169">
        <v>132</v>
      </c>
      <c r="G593" s="169">
        <v>2149</v>
      </c>
      <c r="H593" s="169">
        <v>297</v>
      </c>
    </row>
    <row r="594" spans="1:8" ht="67.5">
      <c r="C594" t="s">
        <v>194</v>
      </c>
      <c r="D594" s="184" t="s">
        <v>239</v>
      </c>
      <c r="E594" s="184" t="s">
        <v>240</v>
      </c>
      <c r="F594" s="184" t="s">
        <v>241</v>
      </c>
      <c r="G594" s="184" t="s">
        <v>242</v>
      </c>
      <c r="H594" s="184" t="s">
        <v>243</v>
      </c>
    </row>
    <row r="595" spans="1:8">
      <c r="C595" t="s">
        <v>482</v>
      </c>
      <c r="D595" s="166">
        <v>82.91</v>
      </c>
      <c r="E595" s="166">
        <v>82.91</v>
      </c>
      <c r="F595" s="166">
        <v>82.91</v>
      </c>
      <c r="G595" s="166">
        <v>82.91</v>
      </c>
      <c r="H595" s="166">
        <v>82.91</v>
      </c>
    </row>
    <row r="596" spans="1:8">
      <c r="C596" t="s">
        <v>483</v>
      </c>
      <c r="D596" s="170">
        <v>87.3</v>
      </c>
      <c r="E596" s="170">
        <v>77.290000000000006</v>
      </c>
      <c r="F596" s="170">
        <v>65.349999999999994</v>
      </c>
      <c r="G596" s="170">
        <v>91.62</v>
      </c>
      <c r="H596" s="170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153" t="s">
        <v>196</v>
      </c>
      <c r="D645" s="151">
        <v>93.66</v>
      </c>
      <c r="E645" s="151">
        <v>88.03</v>
      </c>
      <c r="F645" s="151">
        <v>82.62</v>
      </c>
      <c r="G645" s="151">
        <v>65.010000000000005</v>
      </c>
    </row>
    <row r="646" spans="1:7" ht="15.75" thickBot="1">
      <c r="C646" s="154" t="s">
        <v>197</v>
      </c>
      <c r="D646" s="155">
        <v>89.83</v>
      </c>
      <c r="E646" s="155">
        <v>83.54</v>
      </c>
      <c r="F646" s="155">
        <v>77.73</v>
      </c>
      <c r="G646" s="155">
        <v>61.02</v>
      </c>
    </row>
    <row r="647" spans="1:7" ht="15.75" thickBot="1">
      <c r="C647" s="157" t="s">
        <v>195</v>
      </c>
      <c r="D647" s="158">
        <v>85.29</v>
      </c>
      <c r="E647" s="158">
        <v>79.36</v>
      </c>
      <c r="F647" s="158">
        <v>73.209999999999994</v>
      </c>
      <c r="G647" s="158">
        <v>61.49</v>
      </c>
    </row>
    <row r="648" spans="1:7" ht="15.75" thickBot="1">
      <c r="C648" s="160" t="s">
        <v>223</v>
      </c>
      <c r="D648" s="161">
        <v>89.45</v>
      </c>
      <c r="E648" s="161">
        <v>84.49</v>
      </c>
      <c r="F648" s="161">
        <v>80.319999999999993</v>
      </c>
      <c r="G648" s="161">
        <v>67.36</v>
      </c>
    </row>
    <row r="649" spans="1:7" ht="15.75" thickBot="1">
      <c r="C649" s="163" t="s">
        <v>477</v>
      </c>
      <c r="D649" s="164">
        <v>93.27</v>
      </c>
      <c r="E649" s="164">
        <v>88.22</v>
      </c>
      <c r="F649" s="164">
        <v>84</v>
      </c>
      <c r="G649" s="164">
        <v>70.72</v>
      </c>
    </row>
    <row r="650" spans="1:7">
      <c r="C650" t="s">
        <v>478</v>
      </c>
      <c r="D650" s="166">
        <v>90.42</v>
      </c>
      <c r="E650" s="166">
        <v>84.77</v>
      </c>
      <c r="F650" s="166">
        <v>79.48</v>
      </c>
      <c r="G650" s="166">
        <v>64.67</v>
      </c>
    </row>
    <row r="651" spans="1:7">
      <c r="C651" t="s">
        <v>479</v>
      </c>
      <c r="D651" s="167">
        <v>789</v>
      </c>
      <c r="E651" s="167">
        <v>283</v>
      </c>
      <c r="F651" s="167">
        <v>450</v>
      </c>
      <c r="G651" s="167">
        <v>317</v>
      </c>
    </row>
    <row r="652" spans="1:7">
      <c r="C652" t="s">
        <v>480</v>
      </c>
      <c r="D652" s="168" t="s">
        <v>249</v>
      </c>
      <c r="E652" s="168" t="s">
        <v>249</v>
      </c>
      <c r="F652" s="168" t="s">
        <v>249</v>
      </c>
      <c r="G652" s="168" t="s">
        <v>249</v>
      </c>
    </row>
    <row r="653" spans="1:7">
      <c r="C653" t="s">
        <v>481</v>
      </c>
      <c r="D653" s="169" t="s">
        <v>247</v>
      </c>
      <c r="E653" s="169" t="s">
        <v>247</v>
      </c>
      <c r="F653" s="169" t="s">
        <v>247</v>
      </c>
      <c r="G653" s="169" t="s">
        <v>247</v>
      </c>
    </row>
    <row r="654" spans="1:7">
      <c r="C654" t="s">
        <v>194</v>
      </c>
      <c r="D654" s="184" t="s">
        <v>456</v>
      </c>
      <c r="E654" s="184" t="s">
        <v>236</v>
      </c>
      <c r="F654" s="184" t="s">
        <v>237</v>
      </c>
      <c r="G654" s="184" t="s">
        <v>238</v>
      </c>
    </row>
    <row r="655" spans="1:7">
      <c r="C655" t="s">
        <v>482</v>
      </c>
      <c r="D655" s="166">
        <v>82.91</v>
      </c>
      <c r="E655" s="166">
        <v>82.91</v>
      </c>
      <c r="F655" s="166">
        <v>82.91</v>
      </c>
      <c r="G655" s="166">
        <v>82.91</v>
      </c>
    </row>
    <row r="656" spans="1:7">
      <c r="C656" t="s">
        <v>483</v>
      </c>
      <c r="D656" s="170">
        <v>93.54</v>
      </c>
      <c r="E656" s="170">
        <v>87.99</v>
      </c>
      <c r="F656" s="170">
        <v>81.739999999999995</v>
      </c>
      <c r="G656" s="170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abSelected="1" topLeftCell="A436" workbookViewId="0">
      <selection activeCell="A400" sqref="A400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3" customWidth="1"/>
    <col min="14" max="19" width="10.140625" style="172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80" t="s">
        <v>313</v>
      </c>
      <c r="AA15" s="81">
        <v>2007</v>
      </c>
      <c r="AB15" s="81">
        <v>2008</v>
      </c>
      <c r="AC15" s="81">
        <v>2009</v>
      </c>
      <c r="AD15" s="81">
        <v>2010</v>
      </c>
      <c r="AE15" s="81">
        <v>2011</v>
      </c>
      <c r="AF15" s="81">
        <v>2012</v>
      </c>
      <c r="AG15" s="81">
        <v>2013</v>
      </c>
      <c r="AH15" s="81">
        <v>2014</v>
      </c>
      <c r="AI15" s="81">
        <v>2015</v>
      </c>
      <c r="AJ15" s="81">
        <v>2016</v>
      </c>
    </row>
    <row r="16" spans="1:36" ht="15.75" thickBot="1">
      <c r="Z16" s="88" t="s">
        <v>317</v>
      </c>
      <c r="AA16" s="89">
        <v>376</v>
      </c>
      <c r="AB16" s="89">
        <v>387</v>
      </c>
      <c r="AC16" s="89">
        <v>532</v>
      </c>
      <c r="AD16" s="89">
        <v>581</v>
      </c>
      <c r="AE16" s="89">
        <v>676</v>
      </c>
      <c r="AF16" s="89">
        <v>704</v>
      </c>
      <c r="AG16" s="89">
        <v>711</v>
      </c>
      <c r="AH16" s="89">
        <v>669</v>
      </c>
      <c r="AI16" s="89">
        <v>664</v>
      </c>
      <c r="AJ16" s="89">
        <v>669</v>
      </c>
    </row>
    <row r="17" spans="1:36" ht="15.75" thickBot="1">
      <c r="Z17" s="88" t="s">
        <v>244</v>
      </c>
      <c r="AA17" s="89">
        <v>336</v>
      </c>
      <c r="AB17" s="89">
        <v>364</v>
      </c>
      <c r="AC17" s="89">
        <v>491</v>
      </c>
      <c r="AD17" s="89">
        <v>448</v>
      </c>
      <c r="AE17" s="89">
        <v>560</v>
      </c>
      <c r="AF17" s="89">
        <v>594</v>
      </c>
      <c r="AG17" s="89">
        <v>610</v>
      </c>
      <c r="AH17" s="89">
        <v>580</v>
      </c>
      <c r="AI17" s="89">
        <v>600</v>
      </c>
      <c r="AJ17" s="89">
        <v>546</v>
      </c>
    </row>
    <row r="18" spans="1:36" ht="15.75" thickBot="1">
      <c r="Z18" s="88" t="s">
        <v>321</v>
      </c>
      <c r="AA18" s="93">
        <v>0.9</v>
      </c>
      <c r="AB18" s="93">
        <v>0.94099999999999995</v>
      </c>
      <c r="AC18" s="93">
        <v>0.92</v>
      </c>
      <c r="AD18" s="93">
        <v>0.77</v>
      </c>
      <c r="AE18" s="93">
        <v>0.83</v>
      </c>
      <c r="AF18" s="93">
        <v>0.84</v>
      </c>
      <c r="AG18" s="93">
        <v>0.86</v>
      </c>
      <c r="AH18" s="93">
        <v>0.87</v>
      </c>
      <c r="AI18" s="93">
        <v>0.90361445783132532</v>
      </c>
      <c r="AJ18" s="93">
        <v>0.81614349775784756</v>
      </c>
    </row>
    <row r="19" spans="1:36" ht="29.25" thickBot="1">
      <c r="Z19" s="88" t="s">
        <v>323</v>
      </c>
      <c r="AA19" s="95">
        <v>1.6400000000000001E-2</v>
      </c>
      <c r="AB19" s="95">
        <v>1.2500000000000001E-2</v>
      </c>
      <c r="AC19" s="95">
        <v>1.23E-2</v>
      </c>
      <c r="AD19" s="95">
        <v>2.2200000000000001E-2</v>
      </c>
      <c r="AE19" s="95">
        <v>1.72E-2</v>
      </c>
      <c r="AF19" s="95">
        <v>1.5900000000000001E-2</v>
      </c>
      <c r="AG19" s="95">
        <v>1.4999999999999999E-2</v>
      </c>
      <c r="AH19" s="95">
        <v>1.4800000000000001E-2</v>
      </c>
      <c r="AI19" s="95">
        <v>1.24E-2</v>
      </c>
      <c r="AJ19" s="95">
        <v>0</v>
      </c>
    </row>
    <row r="20" spans="1:36" ht="15.75" thickBot="1">
      <c r="Z20" s="88" t="s">
        <v>326</v>
      </c>
      <c r="AA20" s="96">
        <v>41081</v>
      </c>
      <c r="AB20" s="96">
        <v>41078</v>
      </c>
      <c r="AC20" s="96">
        <v>41076</v>
      </c>
      <c r="AD20" s="96">
        <v>41088</v>
      </c>
      <c r="AE20" s="96">
        <v>41112</v>
      </c>
      <c r="AF20" s="96">
        <v>41117</v>
      </c>
      <c r="AG20" s="96">
        <v>41484</v>
      </c>
      <c r="AH20" s="96">
        <v>41827</v>
      </c>
      <c r="AI20" s="96">
        <v>42193</v>
      </c>
      <c r="AJ20" s="96">
        <v>42559</v>
      </c>
    </row>
    <row r="21" spans="1:36" ht="15.75" thickBot="1">
      <c r="Z21" s="88" t="s">
        <v>328</v>
      </c>
      <c r="AA21" s="89" t="s">
        <v>329</v>
      </c>
      <c r="AB21" s="89" t="s">
        <v>329</v>
      </c>
      <c r="AC21" s="89" t="s">
        <v>329</v>
      </c>
      <c r="AD21" s="89" t="s">
        <v>329</v>
      </c>
      <c r="AE21" s="89" t="s">
        <v>329</v>
      </c>
      <c r="AF21" s="89" t="s">
        <v>329</v>
      </c>
      <c r="AG21" s="89" t="s">
        <v>329</v>
      </c>
      <c r="AH21" s="89" t="s">
        <v>329</v>
      </c>
      <c r="AI21" s="89" t="s">
        <v>329</v>
      </c>
      <c r="AJ21" s="89" t="s">
        <v>329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485</v>
      </c>
    </row>
    <row r="160" spans="1:1">
      <c r="A160" t="s">
        <v>486</v>
      </c>
    </row>
    <row r="187" spans="1:1">
      <c r="A187" t="s">
        <v>487</v>
      </c>
    </row>
    <row r="213" spans="1:1">
      <c r="A213" t="s">
        <v>488</v>
      </c>
    </row>
    <row r="240" spans="1:1">
      <c r="A240" t="s">
        <v>489</v>
      </c>
    </row>
    <row r="266" spans="1:11" ht="15.75" thickBot="1"/>
    <row r="267" spans="1:11" ht="29.25" thickBot="1">
      <c r="A267" t="s">
        <v>91</v>
      </c>
      <c r="D267" s="68" t="s">
        <v>302</v>
      </c>
      <c r="E267" s="69"/>
      <c r="F267" s="69" t="s">
        <v>303</v>
      </c>
      <c r="G267" s="69" t="s">
        <v>304</v>
      </c>
      <c r="H267" s="70">
        <v>2016</v>
      </c>
      <c r="I267" s="70">
        <v>2015</v>
      </c>
      <c r="J267" s="70" t="s">
        <v>298</v>
      </c>
      <c r="K267" s="70" t="s">
        <v>299</v>
      </c>
    </row>
    <row r="268" spans="1:11">
      <c r="D268" s="305" t="s">
        <v>12</v>
      </c>
      <c r="E268" s="307" t="s">
        <v>315</v>
      </c>
      <c r="F268" s="82">
        <v>1</v>
      </c>
      <c r="G268" s="83" t="s">
        <v>316</v>
      </c>
      <c r="H268" s="84">
        <v>85.48</v>
      </c>
      <c r="I268" s="84">
        <v>81.28</v>
      </c>
      <c r="J268" s="84">
        <v>87</v>
      </c>
      <c r="K268" s="84">
        <v>73.260000000000005</v>
      </c>
    </row>
    <row r="269" spans="1:11" ht="15.75" thickBot="1">
      <c r="D269" s="305"/>
      <c r="E269" s="308"/>
      <c r="F269" s="90">
        <v>2</v>
      </c>
      <c r="G269" s="91" t="s">
        <v>318</v>
      </c>
      <c r="H269" s="84">
        <v>84.05</v>
      </c>
      <c r="I269" s="84">
        <v>81.319999999999993</v>
      </c>
      <c r="J269" s="84">
        <v>85.72</v>
      </c>
      <c r="K269" s="84">
        <v>73.92</v>
      </c>
    </row>
    <row r="270" spans="1:11">
      <c r="D270" s="305"/>
      <c r="E270" s="307" t="s">
        <v>319</v>
      </c>
      <c r="F270" s="82">
        <v>3</v>
      </c>
      <c r="G270" s="83" t="s">
        <v>320</v>
      </c>
      <c r="H270" s="92">
        <v>87.08</v>
      </c>
      <c r="I270" s="92">
        <v>84.81</v>
      </c>
      <c r="J270" s="92">
        <v>90.53</v>
      </c>
      <c r="K270" s="92">
        <v>81.55</v>
      </c>
    </row>
    <row r="271" spans="1:11" ht="15.75" thickBot="1">
      <c r="D271" s="306"/>
      <c r="E271" s="308"/>
      <c r="F271" s="90">
        <v>4</v>
      </c>
      <c r="G271" s="91" t="s">
        <v>322</v>
      </c>
      <c r="H271" s="94">
        <v>89.51</v>
      </c>
      <c r="I271" s="94">
        <v>86.68</v>
      </c>
      <c r="J271" s="94">
        <v>92.63</v>
      </c>
      <c r="K271" s="94">
        <v>85.01</v>
      </c>
    </row>
    <row r="272" spans="1:11">
      <c r="D272" s="305" t="s">
        <v>13</v>
      </c>
      <c r="E272" s="307" t="s">
        <v>324</v>
      </c>
      <c r="F272" s="82">
        <v>5</v>
      </c>
      <c r="G272" s="83" t="s">
        <v>325</v>
      </c>
      <c r="H272" s="92">
        <v>89.01</v>
      </c>
      <c r="I272" s="92">
        <v>86.33</v>
      </c>
      <c r="J272" s="92">
        <v>92.02</v>
      </c>
      <c r="K272" s="92">
        <v>82.79</v>
      </c>
    </row>
    <row r="273" spans="4:11">
      <c r="D273" s="305"/>
      <c r="E273" s="307"/>
      <c r="F273" s="82">
        <v>6</v>
      </c>
      <c r="G273" s="83" t="s">
        <v>327</v>
      </c>
      <c r="H273" s="84">
        <v>84.34</v>
      </c>
      <c r="I273" s="84">
        <v>80.52</v>
      </c>
      <c r="J273" s="84">
        <v>89.81</v>
      </c>
      <c r="K273" s="84">
        <v>77.66</v>
      </c>
    </row>
    <row r="274" spans="4:11" ht="15.75" thickBot="1">
      <c r="D274" s="305"/>
      <c r="E274" s="308"/>
      <c r="F274" s="90">
        <v>7</v>
      </c>
      <c r="G274" s="91" t="s">
        <v>330</v>
      </c>
      <c r="H274" s="94">
        <v>76.25</v>
      </c>
      <c r="I274" s="94">
        <v>72.42</v>
      </c>
      <c r="J274" s="94">
        <v>81.66</v>
      </c>
      <c r="K274" s="94">
        <v>69.28</v>
      </c>
    </row>
    <row r="275" spans="4:11" ht="28.5">
      <c r="D275" s="305"/>
      <c r="E275" s="307" t="s">
        <v>331</v>
      </c>
      <c r="F275" s="82">
        <v>8</v>
      </c>
      <c r="G275" s="83" t="s">
        <v>332</v>
      </c>
      <c r="H275" s="92">
        <v>87.18</v>
      </c>
      <c r="I275" s="92">
        <v>82.59</v>
      </c>
      <c r="J275" s="92">
        <v>90.81</v>
      </c>
      <c r="K275" s="92">
        <v>83.23</v>
      </c>
    </row>
    <row r="276" spans="4:11" ht="15.75" thickBot="1">
      <c r="D276" s="305"/>
      <c r="E276" s="308"/>
      <c r="F276" s="90">
        <v>9</v>
      </c>
      <c r="G276" s="91" t="s">
        <v>333</v>
      </c>
      <c r="H276" s="94">
        <v>89.17</v>
      </c>
      <c r="I276" s="94">
        <v>86.38</v>
      </c>
      <c r="J276" s="94">
        <v>93.8</v>
      </c>
      <c r="K276" s="94">
        <v>86.01</v>
      </c>
    </row>
    <row r="277" spans="4:11" ht="15.75" thickBot="1">
      <c r="D277" s="306"/>
      <c r="E277" s="186" t="s">
        <v>334</v>
      </c>
      <c r="F277" s="90">
        <v>10</v>
      </c>
      <c r="G277" s="91" t="s">
        <v>335</v>
      </c>
      <c r="H277" s="92">
        <v>88.56</v>
      </c>
      <c r="I277" s="92">
        <v>85.59</v>
      </c>
      <c r="J277" s="92">
        <v>88.81</v>
      </c>
      <c r="K277" s="92">
        <v>78.319999999999993</v>
      </c>
    </row>
    <row r="278" spans="4:11">
      <c r="D278" s="305" t="s">
        <v>14</v>
      </c>
      <c r="E278" s="307" t="s">
        <v>336</v>
      </c>
      <c r="F278" s="82">
        <v>11</v>
      </c>
      <c r="G278" s="83" t="s">
        <v>337</v>
      </c>
      <c r="H278" s="92">
        <v>82.4</v>
      </c>
      <c r="I278" s="92">
        <v>79.239999999999995</v>
      </c>
      <c r="J278" s="92">
        <v>87.46</v>
      </c>
      <c r="K278" s="92">
        <v>74.48</v>
      </c>
    </row>
    <row r="279" spans="4:11">
      <c r="D279" s="305"/>
      <c r="E279" s="307"/>
      <c r="F279" s="82">
        <v>12</v>
      </c>
      <c r="G279" s="83" t="s">
        <v>338</v>
      </c>
      <c r="H279" s="84">
        <v>82.42</v>
      </c>
      <c r="I279" s="84">
        <v>78.900000000000006</v>
      </c>
      <c r="J279" s="84">
        <v>86.41</v>
      </c>
      <c r="K279" s="84">
        <v>74.459999999999994</v>
      </c>
    </row>
    <row r="280" spans="4:11" ht="15.75" thickBot="1">
      <c r="D280" s="305"/>
      <c r="E280" s="308"/>
      <c r="F280" s="90">
        <v>13</v>
      </c>
      <c r="G280" s="91" t="s">
        <v>339</v>
      </c>
      <c r="H280" s="94">
        <v>85.31</v>
      </c>
      <c r="I280" s="94">
        <v>81.11</v>
      </c>
      <c r="J280" s="94">
        <v>91.27</v>
      </c>
      <c r="K280" s="94">
        <v>81.56</v>
      </c>
    </row>
    <row r="281" spans="4:11" ht="15.75" thickBot="1">
      <c r="D281" s="306"/>
      <c r="E281" s="186" t="s">
        <v>340</v>
      </c>
      <c r="F281" s="90">
        <v>14</v>
      </c>
      <c r="G281" s="91" t="s">
        <v>341</v>
      </c>
      <c r="H281" s="97">
        <v>92.33</v>
      </c>
      <c r="I281" s="97">
        <v>90.16</v>
      </c>
      <c r="J281" s="97">
        <v>94.49</v>
      </c>
      <c r="K281" s="97">
        <v>86.62</v>
      </c>
    </row>
    <row r="292" spans="1:11" ht="15.75" thickBot="1"/>
    <row r="293" spans="1:11" ht="29.25" thickBot="1">
      <c r="A293" t="s">
        <v>92</v>
      </c>
      <c r="D293" s="68" t="s">
        <v>302</v>
      </c>
      <c r="E293" s="69"/>
      <c r="F293" s="69" t="s">
        <v>303</v>
      </c>
      <c r="G293" s="69" t="s">
        <v>304</v>
      </c>
      <c r="H293" s="70">
        <v>2016</v>
      </c>
      <c r="I293" s="70">
        <v>2015</v>
      </c>
      <c r="J293" s="70" t="s">
        <v>298</v>
      </c>
      <c r="K293" s="70" t="s">
        <v>299</v>
      </c>
    </row>
    <row r="294" spans="1:11">
      <c r="D294" s="281" t="s">
        <v>15</v>
      </c>
      <c r="E294" s="298" t="s">
        <v>343</v>
      </c>
      <c r="F294" s="98">
        <v>15</v>
      </c>
      <c r="G294" s="99" t="s">
        <v>344</v>
      </c>
      <c r="H294" s="100">
        <v>79.709999999999994</v>
      </c>
      <c r="I294" s="100">
        <v>78.09</v>
      </c>
      <c r="J294" s="100">
        <v>90.38</v>
      </c>
      <c r="K294" s="100">
        <v>75.58</v>
      </c>
    </row>
    <row r="295" spans="1:11" ht="15.75" thickBot="1">
      <c r="D295" s="282"/>
      <c r="E295" s="285"/>
      <c r="F295" s="101">
        <v>16</v>
      </c>
      <c r="G295" s="91" t="s">
        <v>345</v>
      </c>
      <c r="H295" s="102">
        <v>83.11</v>
      </c>
      <c r="I295" s="102">
        <v>79.209999999999994</v>
      </c>
      <c r="J295" s="102">
        <v>90.31</v>
      </c>
      <c r="K295" s="102">
        <v>80.12</v>
      </c>
    </row>
    <row r="296" spans="1:11">
      <c r="D296" s="282"/>
      <c r="E296" s="284" t="s">
        <v>346</v>
      </c>
      <c r="F296" s="103">
        <v>17</v>
      </c>
      <c r="G296" s="83" t="s">
        <v>347</v>
      </c>
      <c r="H296" s="100">
        <v>79.77</v>
      </c>
      <c r="I296" s="100">
        <v>75.95</v>
      </c>
      <c r="J296" s="100">
        <v>86.87</v>
      </c>
      <c r="K296" s="100">
        <v>72.39</v>
      </c>
    </row>
    <row r="297" spans="1:11" ht="15.75" thickBot="1">
      <c r="D297" s="283"/>
      <c r="E297" s="285"/>
      <c r="F297" s="101">
        <v>18</v>
      </c>
      <c r="G297" s="91" t="s">
        <v>348</v>
      </c>
      <c r="H297" s="102">
        <v>85.53</v>
      </c>
      <c r="I297" s="102">
        <v>81.819999999999993</v>
      </c>
      <c r="J297" s="102">
        <v>90.24</v>
      </c>
      <c r="K297" s="102">
        <v>80.569999999999993</v>
      </c>
    </row>
    <row r="298" spans="1:11" ht="28.5">
      <c r="D298" s="281" t="s">
        <v>16</v>
      </c>
      <c r="E298" s="284" t="s">
        <v>349</v>
      </c>
      <c r="F298" s="103">
        <v>19</v>
      </c>
      <c r="G298" s="83" t="s">
        <v>350</v>
      </c>
      <c r="H298" s="100">
        <v>83.52</v>
      </c>
      <c r="I298" s="100">
        <v>80.23</v>
      </c>
      <c r="J298" s="100">
        <v>89.1</v>
      </c>
      <c r="K298" s="100">
        <v>75.97</v>
      </c>
    </row>
    <row r="299" spans="1:11" ht="29.25" thickBot="1">
      <c r="D299" s="283"/>
      <c r="E299" s="285"/>
      <c r="F299" s="101">
        <v>20</v>
      </c>
      <c r="G299" s="91" t="s">
        <v>351</v>
      </c>
      <c r="H299" s="102">
        <v>79.17</v>
      </c>
      <c r="I299" s="102">
        <v>74.58</v>
      </c>
      <c r="J299" s="102">
        <v>85.39</v>
      </c>
      <c r="K299" s="102">
        <v>69.849999999999994</v>
      </c>
    </row>
    <row r="300" spans="1:11">
      <c r="D300" s="281" t="s">
        <v>17</v>
      </c>
      <c r="E300" s="284" t="s">
        <v>352</v>
      </c>
      <c r="F300" s="103">
        <v>21</v>
      </c>
      <c r="G300" s="83" t="s">
        <v>353</v>
      </c>
      <c r="H300" s="100">
        <v>91.17</v>
      </c>
      <c r="I300" s="100">
        <v>87.92</v>
      </c>
      <c r="J300" s="100">
        <v>93.89</v>
      </c>
      <c r="K300" s="100">
        <v>87.06</v>
      </c>
    </row>
    <row r="301" spans="1:11">
      <c r="D301" s="282"/>
      <c r="E301" s="284"/>
      <c r="F301" s="103">
        <v>22</v>
      </c>
      <c r="G301" s="83" t="s">
        <v>354</v>
      </c>
      <c r="H301" s="104">
        <v>69.52</v>
      </c>
      <c r="I301" s="104">
        <v>62.9</v>
      </c>
      <c r="J301" s="104">
        <v>84.39</v>
      </c>
      <c r="K301" s="104">
        <v>75.239999999999995</v>
      </c>
    </row>
    <row r="302" spans="1:11" ht="15.75" thickBot="1">
      <c r="D302" s="282"/>
      <c r="E302" s="285"/>
      <c r="F302" s="101">
        <v>23</v>
      </c>
      <c r="G302" s="91" t="s">
        <v>355</v>
      </c>
      <c r="H302" s="102">
        <v>80.98</v>
      </c>
      <c r="I302" s="102">
        <v>79.680000000000007</v>
      </c>
      <c r="J302" s="102">
        <v>91.12</v>
      </c>
      <c r="K302" s="102">
        <v>79.72</v>
      </c>
    </row>
    <row r="303" spans="1:11">
      <c r="D303" s="282"/>
      <c r="E303" s="284" t="s">
        <v>356</v>
      </c>
      <c r="F303" s="103">
        <v>24</v>
      </c>
      <c r="G303" s="83" t="s">
        <v>357</v>
      </c>
      <c r="H303" s="100">
        <v>84.76</v>
      </c>
      <c r="I303" s="100">
        <v>80.78</v>
      </c>
      <c r="J303" s="100">
        <v>89.06</v>
      </c>
      <c r="K303" s="100">
        <v>84.38</v>
      </c>
    </row>
    <row r="304" spans="1:11">
      <c r="D304" s="282"/>
      <c r="E304" s="284"/>
      <c r="F304" s="103">
        <v>25</v>
      </c>
      <c r="G304" s="83" t="s">
        <v>358</v>
      </c>
      <c r="H304" s="104">
        <v>75.88</v>
      </c>
      <c r="I304" s="104">
        <v>70.78</v>
      </c>
      <c r="J304" s="104">
        <v>82.86</v>
      </c>
      <c r="K304" s="104">
        <v>71.58</v>
      </c>
    </row>
    <row r="305" spans="1:11">
      <c r="D305" s="282"/>
      <c r="E305" s="284"/>
      <c r="F305" s="103">
        <v>26</v>
      </c>
      <c r="G305" s="83" t="s">
        <v>359</v>
      </c>
      <c r="H305" s="104">
        <v>85.43</v>
      </c>
      <c r="I305" s="104">
        <v>82.23</v>
      </c>
      <c r="J305" s="104">
        <v>89.55</v>
      </c>
      <c r="K305" s="104">
        <v>78.52</v>
      </c>
    </row>
    <row r="306" spans="1:11" ht="15.75" thickBot="1">
      <c r="D306" s="283"/>
      <c r="E306" s="285"/>
      <c r="F306" s="101">
        <v>27</v>
      </c>
      <c r="G306" s="91" t="s">
        <v>360</v>
      </c>
      <c r="H306" s="105">
        <v>81.680000000000007</v>
      </c>
      <c r="I306" s="105">
        <v>74.459999999999994</v>
      </c>
      <c r="J306" s="105">
        <v>88.64</v>
      </c>
      <c r="K306" s="105">
        <v>72.95</v>
      </c>
    </row>
    <row r="319" spans="1:11" ht="15.75" thickBot="1"/>
    <row r="320" spans="1:11" ht="29.25" thickBot="1">
      <c r="A320" t="s">
        <v>95</v>
      </c>
      <c r="D320" s="68" t="s">
        <v>302</v>
      </c>
      <c r="E320" s="69"/>
      <c r="F320" s="69" t="s">
        <v>303</v>
      </c>
      <c r="G320" s="69" t="s">
        <v>304</v>
      </c>
      <c r="H320" s="70">
        <v>2016</v>
      </c>
      <c r="I320" s="70">
        <v>2015</v>
      </c>
      <c r="J320" s="70" t="s">
        <v>298</v>
      </c>
      <c r="K320" s="70" t="s">
        <v>299</v>
      </c>
    </row>
    <row r="321" spans="4:11">
      <c r="D321" s="273" t="s">
        <v>18</v>
      </c>
      <c r="E321" s="289" t="s">
        <v>362</v>
      </c>
      <c r="F321" s="106">
        <v>28</v>
      </c>
      <c r="G321" s="107" t="s">
        <v>363</v>
      </c>
      <c r="H321" s="100">
        <v>63.94</v>
      </c>
      <c r="I321" s="100">
        <v>58.53</v>
      </c>
      <c r="J321" s="100">
        <v>63.86</v>
      </c>
      <c r="K321" s="100">
        <v>53.61</v>
      </c>
    </row>
    <row r="322" spans="4:11" ht="15.75" thickBot="1">
      <c r="D322" s="273"/>
      <c r="E322" s="276"/>
      <c r="F322" s="103">
        <v>29</v>
      </c>
      <c r="G322" s="83" t="s">
        <v>364</v>
      </c>
      <c r="H322" s="102">
        <v>45.85</v>
      </c>
      <c r="I322" s="102">
        <v>40.159999999999997</v>
      </c>
      <c r="J322" s="102">
        <v>60.32</v>
      </c>
      <c r="K322" s="102">
        <v>46.37</v>
      </c>
    </row>
    <row r="323" spans="4:11">
      <c r="D323" s="273"/>
      <c r="E323" s="275" t="s">
        <v>365</v>
      </c>
      <c r="F323" s="98">
        <v>30</v>
      </c>
      <c r="G323" s="99" t="s">
        <v>366</v>
      </c>
      <c r="H323" s="100">
        <v>72.17</v>
      </c>
      <c r="I323" s="100">
        <v>65.27</v>
      </c>
      <c r="J323" s="100">
        <v>87.32</v>
      </c>
      <c r="K323" s="100">
        <v>68.23</v>
      </c>
    </row>
    <row r="324" spans="4:11" ht="15.75" thickBot="1">
      <c r="D324" s="274"/>
      <c r="E324" s="290"/>
      <c r="F324" s="101">
        <v>31</v>
      </c>
      <c r="G324" s="91" t="s">
        <v>367</v>
      </c>
      <c r="H324" s="102">
        <v>92.08</v>
      </c>
      <c r="I324" s="102">
        <v>89.27</v>
      </c>
      <c r="J324" s="102">
        <v>96.07</v>
      </c>
      <c r="K324" s="102">
        <v>90.73</v>
      </c>
    </row>
    <row r="325" spans="4:11">
      <c r="D325" s="294" t="s">
        <v>19</v>
      </c>
      <c r="E325" s="294"/>
      <c r="F325" s="103">
        <v>32</v>
      </c>
      <c r="G325" s="83" t="s">
        <v>368</v>
      </c>
      <c r="H325" s="100">
        <v>58.81</v>
      </c>
      <c r="I325" s="100">
        <v>53.37</v>
      </c>
      <c r="J325" s="100">
        <v>74.13</v>
      </c>
      <c r="K325" s="100">
        <v>60.01</v>
      </c>
    </row>
    <row r="326" spans="4:11">
      <c r="D326" s="295"/>
      <c r="E326" s="295"/>
      <c r="F326" s="103">
        <v>33</v>
      </c>
      <c r="G326" s="83" t="s">
        <v>369</v>
      </c>
      <c r="H326" s="104">
        <v>73.19</v>
      </c>
      <c r="I326" s="104">
        <v>68.22</v>
      </c>
      <c r="J326" s="104">
        <v>77.489999999999995</v>
      </c>
      <c r="K326" s="104">
        <v>64.290000000000006</v>
      </c>
    </row>
    <row r="327" spans="4:11" ht="15.75" thickBot="1">
      <c r="D327" s="296"/>
      <c r="E327" s="296"/>
      <c r="F327" s="101">
        <v>34</v>
      </c>
      <c r="G327" s="91" t="s">
        <v>370</v>
      </c>
      <c r="H327" s="102">
        <v>71.930000000000007</v>
      </c>
      <c r="I327" s="102">
        <v>65.42</v>
      </c>
      <c r="J327" s="102">
        <v>81.13</v>
      </c>
      <c r="K327" s="102">
        <v>68.75</v>
      </c>
    </row>
    <row r="328" spans="4:11">
      <c r="D328" s="272" t="s">
        <v>20</v>
      </c>
      <c r="E328" s="275" t="s">
        <v>371</v>
      </c>
      <c r="F328" s="98">
        <v>35</v>
      </c>
      <c r="G328" s="99" t="s">
        <v>372</v>
      </c>
      <c r="H328" s="100">
        <v>85.43</v>
      </c>
      <c r="I328" s="100">
        <v>82.03</v>
      </c>
      <c r="J328" s="100">
        <v>94.36</v>
      </c>
      <c r="K328" s="100">
        <v>88.94</v>
      </c>
    </row>
    <row r="329" spans="4:11">
      <c r="D329" s="273"/>
      <c r="E329" s="276"/>
      <c r="F329" s="103">
        <v>36</v>
      </c>
      <c r="G329" s="83" t="s">
        <v>373</v>
      </c>
      <c r="H329" s="104">
        <v>96.52</v>
      </c>
      <c r="I329" s="104">
        <v>94.93</v>
      </c>
      <c r="J329" s="104">
        <v>97.91</v>
      </c>
      <c r="K329" s="104">
        <v>94.99</v>
      </c>
    </row>
    <row r="330" spans="4:11">
      <c r="D330" s="273"/>
      <c r="E330" s="276"/>
      <c r="F330" s="103">
        <v>37</v>
      </c>
      <c r="G330" s="83" t="s">
        <v>374</v>
      </c>
      <c r="H330" s="104">
        <v>94.97</v>
      </c>
      <c r="I330" s="104">
        <v>93.2</v>
      </c>
      <c r="J330" s="104">
        <v>97.37</v>
      </c>
      <c r="K330" s="104">
        <v>94.39</v>
      </c>
    </row>
    <row r="331" spans="4:11" ht="15.75" thickBot="1">
      <c r="D331" s="273"/>
      <c r="E331" s="276"/>
      <c r="F331" s="103">
        <v>38</v>
      </c>
      <c r="G331" s="91" t="s">
        <v>375</v>
      </c>
      <c r="H331" s="102">
        <v>93.83</v>
      </c>
      <c r="I331" s="102">
        <v>91.3</v>
      </c>
      <c r="J331" s="102">
        <v>96.74</v>
      </c>
      <c r="K331" s="102">
        <v>92.77</v>
      </c>
    </row>
    <row r="332" spans="4:11" ht="29.25" thickBot="1">
      <c r="D332" s="274"/>
      <c r="E332" s="108" t="s">
        <v>376</v>
      </c>
      <c r="F332" s="109">
        <v>39</v>
      </c>
      <c r="G332" s="91" t="s">
        <v>377</v>
      </c>
      <c r="H332" s="110">
        <v>84.65</v>
      </c>
      <c r="I332" s="110">
        <v>81.040000000000006</v>
      </c>
      <c r="J332" s="110">
        <v>92.19</v>
      </c>
      <c r="K332" s="110">
        <v>82.14</v>
      </c>
    </row>
    <row r="346" spans="1:11" ht="15.75" thickBot="1"/>
    <row r="347" spans="1:11" ht="29.25" thickBot="1">
      <c r="A347" t="s">
        <v>93</v>
      </c>
      <c r="D347" s="68" t="s">
        <v>302</v>
      </c>
      <c r="E347" s="69"/>
      <c r="F347" s="69" t="s">
        <v>303</v>
      </c>
      <c r="G347" s="69" t="s">
        <v>304</v>
      </c>
      <c r="H347" s="70">
        <v>2016</v>
      </c>
      <c r="I347" s="70">
        <v>2015</v>
      </c>
      <c r="J347" s="70" t="s">
        <v>298</v>
      </c>
      <c r="K347" s="70" t="s">
        <v>299</v>
      </c>
    </row>
    <row r="348" spans="1:11">
      <c r="D348" s="250" t="s">
        <v>21</v>
      </c>
      <c r="E348" s="251"/>
      <c r="F348" s="111">
        <v>40</v>
      </c>
      <c r="G348" s="99" t="s">
        <v>379</v>
      </c>
      <c r="H348" s="100">
        <v>83.95</v>
      </c>
      <c r="I348" s="100">
        <v>80.67</v>
      </c>
      <c r="J348" s="100">
        <v>88.08</v>
      </c>
      <c r="K348" s="100">
        <v>77.91</v>
      </c>
    </row>
    <row r="349" spans="1:11" ht="15.75" thickBot="1">
      <c r="D349" s="254"/>
      <c r="E349" s="255"/>
      <c r="F349" s="90">
        <v>41</v>
      </c>
      <c r="G349" s="91" t="s">
        <v>380</v>
      </c>
      <c r="H349" s="102">
        <v>77.3</v>
      </c>
      <c r="I349" s="102">
        <v>71.92</v>
      </c>
      <c r="J349" s="102">
        <v>86.97</v>
      </c>
      <c r="K349" s="102">
        <v>75.81</v>
      </c>
    </row>
    <row r="350" spans="1:11">
      <c r="D350" s="250" t="s">
        <v>22</v>
      </c>
      <c r="E350" s="251"/>
      <c r="F350" s="111">
        <v>42</v>
      </c>
      <c r="G350" s="99" t="s">
        <v>381</v>
      </c>
      <c r="H350" s="100">
        <v>90.85</v>
      </c>
      <c r="I350" s="100">
        <v>87.71</v>
      </c>
      <c r="J350" s="100">
        <v>93.18</v>
      </c>
      <c r="K350" s="100">
        <v>87.14</v>
      </c>
    </row>
    <row r="351" spans="1:11" ht="15.75" thickBot="1">
      <c r="D351" s="254"/>
      <c r="E351" s="255"/>
      <c r="F351" s="90">
        <v>43</v>
      </c>
      <c r="G351" s="91" t="s">
        <v>382</v>
      </c>
      <c r="H351" s="102">
        <v>77.12</v>
      </c>
      <c r="I351" s="102">
        <v>71.23</v>
      </c>
      <c r="J351" s="102">
        <v>89.07</v>
      </c>
      <c r="K351" s="102">
        <v>73.77</v>
      </c>
    </row>
    <row r="352" spans="1:11">
      <c r="D352" s="250" t="s">
        <v>23</v>
      </c>
      <c r="E352" s="251"/>
      <c r="F352" s="111">
        <v>44</v>
      </c>
      <c r="G352" s="99" t="s">
        <v>383</v>
      </c>
      <c r="H352" s="100">
        <v>86.83</v>
      </c>
      <c r="I352" s="100">
        <v>82.92</v>
      </c>
      <c r="J352" s="100">
        <v>89.26</v>
      </c>
      <c r="K352" s="100">
        <v>80.959999999999994</v>
      </c>
    </row>
    <row r="353" spans="4:11">
      <c r="D353" s="252"/>
      <c r="E353" s="253"/>
      <c r="F353" s="82">
        <v>45</v>
      </c>
      <c r="G353" s="83" t="s">
        <v>384</v>
      </c>
      <c r="H353" s="104">
        <v>89.37</v>
      </c>
      <c r="I353" s="104">
        <v>85.1</v>
      </c>
      <c r="J353" s="104">
        <v>94.14</v>
      </c>
      <c r="K353" s="104">
        <v>86.83</v>
      </c>
    </row>
    <row r="354" spans="4:11">
      <c r="D354" s="252"/>
      <c r="E354" s="253"/>
      <c r="F354" s="82">
        <v>46</v>
      </c>
      <c r="G354" s="83" t="s">
        <v>385</v>
      </c>
      <c r="H354" s="104">
        <v>79.180000000000007</v>
      </c>
      <c r="I354" s="104">
        <v>71.760000000000005</v>
      </c>
      <c r="J354" s="104">
        <v>91.3</v>
      </c>
      <c r="K354" s="104">
        <v>79.239999999999995</v>
      </c>
    </row>
    <row r="355" spans="4:11" ht="15.75" thickBot="1">
      <c r="D355" s="254"/>
      <c r="E355" s="255"/>
      <c r="F355" s="90">
        <v>47</v>
      </c>
      <c r="G355" s="91" t="s">
        <v>386</v>
      </c>
      <c r="H355" s="102">
        <v>81.77</v>
      </c>
      <c r="I355" s="102">
        <v>76.97</v>
      </c>
      <c r="J355" s="102">
        <v>90.91</v>
      </c>
      <c r="K355" s="102">
        <v>80.56</v>
      </c>
    </row>
    <row r="372" spans="1:11" ht="15.75" thickBot="1"/>
    <row r="373" spans="1:11" ht="29.25" thickBot="1">
      <c r="A373" t="s">
        <v>94</v>
      </c>
      <c r="D373" s="68" t="s">
        <v>302</v>
      </c>
      <c r="E373" s="69"/>
      <c r="F373" s="69" t="s">
        <v>303</v>
      </c>
      <c r="G373" s="69" t="s">
        <v>304</v>
      </c>
      <c r="H373" s="70">
        <v>2016</v>
      </c>
      <c r="I373" s="70">
        <v>2015</v>
      </c>
      <c r="J373" s="70" t="s">
        <v>298</v>
      </c>
      <c r="K373" s="70" t="s">
        <v>299</v>
      </c>
    </row>
    <row r="374" spans="1:11">
      <c r="D374" s="247" t="s">
        <v>24</v>
      </c>
      <c r="E374" s="247"/>
      <c r="F374" s="112">
        <v>48</v>
      </c>
      <c r="G374" s="113" t="s">
        <v>388</v>
      </c>
      <c r="H374" s="104">
        <v>89.81</v>
      </c>
      <c r="I374" s="104">
        <v>86.4</v>
      </c>
      <c r="J374" s="104">
        <v>94.33</v>
      </c>
      <c r="K374" s="104">
        <v>87.83</v>
      </c>
    </row>
    <row r="375" spans="1:11">
      <c r="D375" s="247"/>
      <c r="E375" s="247"/>
      <c r="F375" s="112">
        <v>49</v>
      </c>
      <c r="G375" s="113" t="s">
        <v>389</v>
      </c>
      <c r="H375" s="104">
        <v>88.17</v>
      </c>
      <c r="I375" s="104">
        <v>83.83</v>
      </c>
      <c r="J375" s="104">
        <v>93.57</v>
      </c>
      <c r="K375" s="104">
        <v>84.51</v>
      </c>
    </row>
    <row r="376" spans="1:11" ht="15.75" thickBot="1">
      <c r="D376" s="248"/>
      <c r="E376" s="248"/>
      <c r="F376" s="114">
        <v>50</v>
      </c>
      <c r="G376" s="115" t="s">
        <v>390</v>
      </c>
      <c r="H376" s="102">
        <v>83.84</v>
      </c>
      <c r="I376" s="102">
        <v>80.12</v>
      </c>
      <c r="J376" s="102">
        <v>91.57</v>
      </c>
      <c r="K376" s="102">
        <v>80.680000000000007</v>
      </c>
    </row>
    <row r="377" spans="1:11">
      <c r="D377" s="233" t="s">
        <v>25</v>
      </c>
      <c r="E377" s="236" t="s">
        <v>391</v>
      </c>
      <c r="F377" s="116">
        <v>51</v>
      </c>
      <c r="G377" s="117" t="s">
        <v>392</v>
      </c>
      <c r="H377" s="100">
        <v>90.49</v>
      </c>
      <c r="I377" s="100">
        <v>86.01</v>
      </c>
      <c r="J377" s="100">
        <v>95.77</v>
      </c>
      <c r="K377" s="100">
        <v>88.53</v>
      </c>
    </row>
    <row r="378" spans="1:11" ht="15.75" thickBot="1">
      <c r="D378" s="234"/>
      <c r="E378" s="237"/>
      <c r="F378" s="114">
        <v>52</v>
      </c>
      <c r="G378" s="115" t="s">
        <v>393</v>
      </c>
      <c r="H378" s="102">
        <v>84.02</v>
      </c>
      <c r="I378" s="102">
        <v>78.760000000000005</v>
      </c>
      <c r="J378" s="102">
        <v>92.87</v>
      </c>
      <c r="K378" s="102">
        <v>83.38</v>
      </c>
    </row>
    <row r="379" spans="1:11">
      <c r="D379" s="234"/>
      <c r="E379" s="236" t="s">
        <v>394</v>
      </c>
      <c r="F379" s="116">
        <v>53</v>
      </c>
      <c r="G379" s="117" t="s">
        <v>395</v>
      </c>
      <c r="H379" s="100">
        <v>93.54</v>
      </c>
      <c r="I379" s="100">
        <v>90.86</v>
      </c>
      <c r="J379" s="100">
        <v>96.24</v>
      </c>
      <c r="K379" s="100">
        <v>90.59</v>
      </c>
    </row>
    <row r="380" spans="1:11" ht="29.25" thickBot="1">
      <c r="D380" s="235"/>
      <c r="E380" s="238"/>
      <c r="F380" s="112">
        <v>54</v>
      </c>
      <c r="G380" s="113" t="s">
        <v>396</v>
      </c>
      <c r="H380" s="102">
        <v>85.06</v>
      </c>
      <c r="I380" s="102">
        <v>80.09</v>
      </c>
      <c r="J380" s="102">
        <v>91.76</v>
      </c>
      <c r="K380" s="102">
        <v>82.18</v>
      </c>
    </row>
    <row r="381" spans="1:11">
      <c r="D381" s="246" t="s">
        <v>26</v>
      </c>
      <c r="E381" s="246"/>
      <c r="F381" s="116">
        <v>55</v>
      </c>
      <c r="G381" s="117" t="s">
        <v>397</v>
      </c>
      <c r="H381" s="100">
        <v>81.8</v>
      </c>
      <c r="I381" s="100">
        <v>76.98</v>
      </c>
      <c r="J381" s="100">
        <v>90.42</v>
      </c>
      <c r="K381" s="100">
        <v>78.38</v>
      </c>
    </row>
    <row r="382" spans="1:11">
      <c r="D382" s="247"/>
      <c r="E382" s="247"/>
      <c r="F382" s="112">
        <v>56</v>
      </c>
      <c r="G382" s="113" t="s">
        <v>398</v>
      </c>
      <c r="H382" s="104">
        <v>81.81</v>
      </c>
      <c r="I382" s="104">
        <v>76.680000000000007</v>
      </c>
      <c r="J382" s="104">
        <v>88.99</v>
      </c>
      <c r="K382" s="104">
        <v>75.88</v>
      </c>
    </row>
    <row r="383" spans="1:11" ht="15.75" thickBot="1">
      <c r="D383" s="248"/>
      <c r="E383" s="248"/>
      <c r="F383" s="114">
        <v>57</v>
      </c>
      <c r="G383" s="115" t="s">
        <v>399</v>
      </c>
      <c r="H383" s="102">
        <v>83.31</v>
      </c>
      <c r="I383" s="102">
        <v>78.87</v>
      </c>
      <c r="J383" s="102">
        <v>90.81</v>
      </c>
      <c r="K383" s="102">
        <v>81.12</v>
      </c>
    </row>
    <row r="400" spans="1:19" ht="56.25" customHeight="1">
      <c r="A400" t="s">
        <v>126</v>
      </c>
      <c r="M400" s="13" t="s">
        <v>297</v>
      </c>
      <c r="N400" s="172">
        <v>2016</v>
      </c>
      <c r="O400" s="172">
        <v>2015</v>
      </c>
      <c r="P400" s="172" t="s">
        <v>298</v>
      </c>
      <c r="Q400" s="172" t="s">
        <v>299</v>
      </c>
      <c r="R400" s="172" t="s">
        <v>300</v>
      </c>
      <c r="S400" s="172" t="s">
        <v>301</v>
      </c>
    </row>
    <row r="401" spans="1:19" ht="20.100000000000001" customHeight="1">
      <c r="A401" t="s">
        <v>100</v>
      </c>
      <c r="L401" s="328">
        <v>86</v>
      </c>
      <c r="M401" s="13" t="s">
        <v>12</v>
      </c>
      <c r="N401" s="172">
        <v>87</v>
      </c>
      <c r="O401" s="172">
        <v>84</v>
      </c>
      <c r="P401" s="172">
        <v>89</v>
      </c>
      <c r="Q401" s="172">
        <v>78</v>
      </c>
      <c r="R401" s="172">
        <v>-2</v>
      </c>
      <c r="S401" s="172">
        <v>9</v>
      </c>
    </row>
    <row r="402" spans="1:19" ht="20.100000000000001" customHeight="1">
      <c r="L402" s="328"/>
      <c r="M402" s="13" t="s">
        <v>13</v>
      </c>
      <c r="N402" s="172">
        <v>86</v>
      </c>
      <c r="O402" s="172">
        <v>82</v>
      </c>
      <c r="P402" s="172">
        <v>89</v>
      </c>
      <c r="Q402" s="172">
        <v>80</v>
      </c>
      <c r="R402" s="172">
        <v>-3</v>
      </c>
      <c r="S402" s="172">
        <v>6</v>
      </c>
    </row>
    <row r="403" spans="1:19" ht="20.100000000000001" customHeight="1" thickBot="1">
      <c r="L403" s="328"/>
      <c r="M403" s="173" t="s">
        <v>14</v>
      </c>
      <c r="N403" s="174">
        <v>86</v>
      </c>
      <c r="O403" s="174">
        <v>82</v>
      </c>
      <c r="P403" s="174">
        <v>90</v>
      </c>
      <c r="Q403" s="174">
        <v>79</v>
      </c>
      <c r="R403" s="174">
        <v>-4</v>
      </c>
      <c r="S403" s="174">
        <v>7</v>
      </c>
    </row>
    <row r="404" spans="1:19" ht="20.100000000000001" customHeight="1">
      <c r="L404" s="328">
        <v>82</v>
      </c>
      <c r="M404" s="13" t="s">
        <v>15</v>
      </c>
      <c r="N404" s="172">
        <v>82</v>
      </c>
      <c r="O404" s="172">
        <v>79</v>
      </c>
      <c r="P404" s="172">
        <v>89</v>
      </c>
      <c r="Q404" s="172">
        <v>77</v>
      </c>
      <c r="R404" s="172">
        <v>-7</v>
      </c>
      <c r="S404" s="172">
        <v>5</v>
      </c>
    </row>
    <row r="405" spans="1:19" ht="20.100000000000001" customHeight="1">
      <c r="L405" s="328"/>
      <c r="M405" s="13" t="s">
        <v>16</v>
      </c>
      <c r="N405" s="172">
        <v>81</v>
      </c>
      <c r="O405" s="172">
        <v>77</v>
      </c>
      <c r="P405" s="172">
        <v>87</v>
      </c>
      <c r="Q405" s="172">
        <v>73</v>
      </c>
      <c r="R405" s="172">
        <v>-6</v>
      </c>
      <c r="S405" s="172">
        <v>8</v>
      </c>
    </row>
    <row r="406" spans="1:19" ht="20.100000000000001" customHeight="1" thickBot="1">
      <c r="L406" s="328"/>
      <c r="M406" s="175" t="s">
        <v>17</v>
      </c>
      <c r="N406" s="176">
        <v>81</v>
      </c>
      <c r="O406" s="176">
        <v>77</v>
      </c>
      <c r="P406" s="176">
        <v>89</v>
      </c>
      <c r="Q406" s="176">
        <v>78</v>
      </c>
      <c r="R406" s="176">
        <v>-8</v>
      </c>
      <c r="S406" s="176">
        <v>3</v>
      </c>
    </row>
    <row r="407" spans="1:19" ht="20.100000000000001" customHeight="1">
      <c r="L407" s="328">
        <v>78</v>
      </c>
      <c r="M407" s="13" t="s">
        <v>18</v>
      </c>
      <c r="N407" s="172">
        <v>69</v>
      </c>
      <c r="O407" s="172">
        <v>63</v>
      </c>
      <c r="P407" s="172">
        <v>77</v>
      </c>
      <c r="Q407" s="172">
        <v>65</v>
      </c>
      <c r="R407" s="172">
        <v>-8</v>
      </c>
      <c r="S407" s="172">
        <v>4</v>
      </c>
    </row>
    <row r="408" spans="1:19" ht="20.100000000000001" customHeight="1">
      <c r="L408" s="328"/>
      <c r="M408" s="13" t="s">
        <v>19</v>
      </c>
      <c r="N408" s="172">
        <v>68</v>
      </c>
      <c r="O408" s="172">
        <v>62</v>
      </c>
      <c r="P408" s="172">
        <v>78</v>
      </c>
      <c r="Q408" s="172">
        <v>64</v>
      </c>
      <c r="R408" s="172">
        <v>-10</v>
      </c>
      <c r="S408" s="172">
        <v>4</v>
      </c>
    </row>
    <row r="409" spans="1:19" ht="20.100000000000001" customHeight="1" thickBot="1">
      <c r="L409" s="328"/>
      <c r="M409" s="177" t="s">
        <v>20</v>
      </c>
      <c r="N409" s="178">
        <v>91</v>
      </c>
      <c r="O409" s="178">
        <v>89</v>
      </c>
      <c r="P409" s="178">
        <v>96</v>
      </c>
      <c r="Q409" s="178">
        <v>91</v>
      </c>
      <c r="R409" s="178">
        <v>-5</v>
      </c>
      <c r="S409" s="178">
        <v>0</v>
      </c>
    </row>
    <row r="410" spans="1:19" ht="20.100000000000001" customHeight="1">
      <c r="L410" s="328">
        <v>83</v>
      </c>
      <c r="M410" s="13" t="s">
        <v>21</v>
      </c>
      <c r="N410" s="172">
        <v>81</v>
      </c>
      <c r="O410" s="172">
        <v>76</v>
      </c>
      <c r="P410" s="172">
        <v>88</v>
      </c>
      <c r="Q410" s="172">
        <v>77</v>
      </c>
      <c r="R410" s="172">
        <v>-7</v>
      </c>
      <c r="S410" s="172">
        <v>4</v>
      </c>
    </row>
    <row r="411" spans="1:19" ht="20.100000000000001" customHeight="1">
      <c r="L411" s="328"/>
      <c r="M411" s="13" t="s">
        <v>22</v>
      </c>
      <c r="N411" s="172">
        <v>84</v>
      </c>
      <c r="O411" s="172">
        <v>79</v>
      </c>
      <c r="P411" s="172">
        <v>91</v>
      </c>
      <c r="Q411" s="172">
        <v>80</v>
      </c>
      <c r="R411" s="172">
        <v>-7</v>
      </c>
      <c r="S411" s="172">
        <v>4</v>
      </c>
    </row>
    <row r="412" spans="1:19" ht="20.100000000000001" customHeight="1" thickBot="1">
      <c r="L412" s="328"/>
      <c r="M412" s="179" t="s">
        <v>23</v>
      </c>
      <c r="N412" s="180">
        <v>84</v>
      </c>
      <c r="O412" s="180">
        <v>79</v>
      </c>
      <c r="P412" s="180">
        <v>91</v>
      </c>
      <c r="Q412" s="180">
        <v>82</v>
      </c>
      <c r="R412" s="180">
        <v>-7</v>
      </c>
      <c r="S412" s="180">
        <v>2</v>
      </c>
    </row>
    <row r="413" spans="1:19" ht="20.100000000000001" customHeight="1">
      <c r="L413" s="328">
        <v>86</v>
      </c>
      <c r="M413" s="13" t="s">
        <v>24</v>
      </c>
      <c r="N413" s="172">
        <v>87</v>
      </c>
      <c r="O413" s="172">
        <v>83</v>
      </c>
      <c r="P413" s="172">
        <v>93</v>
      </c>
      <c r="Q413" s="172">
        <v>84</v>
      </c>
      <c r="R413" s="172">
        <v>-6</v>
      </c>
      <c r="S413" s="172">
        <v>3</v>
      </c>
    </row>
    <row r="414" spans="1:19" ht="20.100000000000001" customHeight="1">
      <c r="L414" s="328"/>
      <c r="M414" s="13" t="s">
        <v>25</v>
      </c>
      <c r="N414" s="172">
        <v>88</v>
      </c>
      <c r="O414" s="172">
        <v>84</v>
      </c>
      <c r="P414" s="172">
        <v>94</v>
      </c>
      <c r="Q414" s="172">
        <v>86</v>
      </c>
      <c r="R414" s="172">
        <v>-6</v>
      </c>
      <c r="S414" s="172">
        <v>2</v>
      </c>
    </row>
    <row r="415" spans="1:19" ht="20.100000000000001" customHeight="1" thickBot="1">
      <c r="L415" s="328"/>
      <c r="M415" s="181" t="s">
        <v>26</v>
      </c>
      <c r="N415" s="182">
        <v>82</v>
      </c>
      <c r="O415" s="182">
        <v>78</v>
      </c>
      <c r="P415" s="182">
        <v>90</v>
      </c>
      <c r="Q415" s="182">
        <v>78</v>
      </c>
      <c r="R415" s="182">
        <v>-8</v>
      </c>
      <c r="S415" s="182">
        <v>4</v>
      </c>
    </row>
    <row r="442" spans="1:9">
      <c r="A442" t="s">
        <v>490</v>
      </c>
      <c r="F442" s="112">
        <v>59</v>
      </c>
      <c r="G442" s="113" t="s">
        <v>401</v>
      </c>
      <c r="H442" s="104">
        <v>85.1</v>
      </c>
      <c r="I442" s="104">
        <v>87.45</v>
      </c>
    </row>
    <row r="443" spans="1:9" ht="28.5">
      <c r="F443" s="112">
        <v>60</v>
      </c>
      <c r="G443" s="113" t="s">
        <v>402</v>
      </c>
      <c r="H443" s="104">
        <v>85.09</v>
      </c>
      <c r="I443" s="104">
        <v>79.87</v>
      </c>
    </row>
    <row r="444" spans="1:9" ht="28.5">
      <c r="F444" s="112">
        <v>61</v>
      </c>
      <c r="G444" s="113" t="s">
        <v>403</v>
      </c>
      <c r="H444" s="104">
        <v>54.8</v>
      </c>
      <c r="I444" s="104">
        <v>51.23</v>
      </c>
    </row>
    <row r="445" spans="1:9" ht="28.5">
      <c r="F445" s="112">
        <v>62</v>
      </c>
      <c r="G445" s="113" t="s">
        <v>404</v>
      </c>
      <c r="H445" s="104">
        <v>92.57</v>
      </c>
      <c r="I445" s="104">
        <v>89.81</v>
      </c>
    </row>
    <row r="446" spans="1:9">
      <c r="F446" s="112">
        <v>63</v>
      </c>
      <c r="G446" s="113" t="s">
        <v>405</v>
      </c>
      <c r="H446" s="104">
        <v>93.13</v>
      </c>
      <c r="I446" s="104">
        <v>90.92</v>
      </c>
    </row>
    <row r="447" spans="1:9" ht="28.5">
      <c r="F447" s="112">
        <v>64</v>
      </c>
      <c r="G447" s="113" t="s">
        <v>406</v>
      </c>
      <c r="H447" s="104">
        <v>85.46</v>
      </c>
      <c r="I447" s="104" t="s">
        <v>247</v>
      </c>
    </row>
    <row r="448" spans="1:9" ht="29.25" thickBot="1">
      <c r="F448" s="114">
        <v>65</v>
      </c>
      <c r="G448" s="115" t="s">
        <v>407</v>
      </c>
      <c r="H448" s="102">
        <v>80.86</v>
      </c>
      <c r="I448" s="104" t="s">
        <v>247</v>
      </c>
    </row>
    <row r="468" spans="1:9">
      <c r="A468" t="s">
        <v>96</v>
      </c>
      <c r="C468" s="135" t="s">
        <v>195</v>
      </c>
      <c r="D468" s="136"/>
      <c r="E468" s="136" t="s">
        <v>20</v>
      </c>
      <c r="F468" s="137">
        <v>36</v>
      </c>
      <c r="G468" s="137" t="s">
        <v>373</v>
      </c>
      <c r="H468" s="138">
        <v>96.52</v>
      </c>
      <c r="I468" s="139">
        <v>13.61</v>
      </c>
    </row>
    <row r="469" spans="1:9">
      <c r="C469" s="140" t="s">
        <v>195</v>
      </c>
      <c r="D469" s="141"/>
      <c r="E469" s="141" t="s">
        <v>20</v>
      </c>
      <c r="F469" s="142">
        <v>37</v>
      </c>
      <c r="G469" s="142" t="s">
        <v>374</v>
      </c>
      <c r="H469" s="87">
        <v>94.97</v>
      </c>
      <c r="I469" s="143">
        <v>12.060000000000002</v>
      </c>
    </row>
    <row r="470" spans="1:9">
      <c r="C470" s="140" t="s">
        <v>195</v>
      </c>
      <c r="D470" s="141"/>
      <c r="E470" s="141" t="s">
        <v>20</v>
      </c>
      <c r="F470" s="142">
        <v>38</v>
      </c>
      <c r="G470" s="142" t="s">
        <v>375</v>
      </c>
      <c r="H470" s="87">
        <v>93.83</v>
      </c>
      <c r="I470" s="143">
        <v>10.920000000000002</v>
      </c>
    </row>
    <row r="471" spans="1:9">
      <c r="C471" s="140" t="s">
        <v>196</v>
      </c>
      <c r="D471" s="141"/>
      <c r="E471" s="141" t="s">
        <v>14</v>
      </c>
      <c r="F471" s="142">
        <v>14</v>
      </c>
      <c r="G471" s="142" t="s">
        <v>341</v>
      </c>
      <c r="H471" s="87">
        <v>92.33</v>
      </c>
      <c r="I471" s="143">
        <v>9.4200000000000017</v>
      </c>
    </row>
    <row r="472" spans="1:9">
      <c r="C472" s="140" t="s">
        <v>195</v>
      </c>
      <c r="D472" s="141"/>
      <c r="E472" s="141" t="s">
        <v>18</v>
      </c>
      <c r="F472" s="142">
        <v>31</v>
      </c>
      <c r="G472" s="142" t="s">
        <v>367</v>
      </c>
      <c r="H472" s="87">
        <v>92.08</v>
      </c>
      <c r="I472" s="143">
        <v>9.1700000000000017</v>
      </c>
    </row>
    <row r="473" spans="1:9" ht="24">
      <c r="C473" s="140" t="s">
        <v>197</v>
      </c>
      <c r="D473" s="141"/>
      <c r="E473" s="141" t="s">
        <v>17</v>
      </c>
      <c r="F473" s="142">
        <v>21</v>
      </c>
      <c r="G473" s="142" t="s">
        <v>353</v>
      </c>
      <c r="H473" s="87">
        <v>91.17</v>
      </c>
      <c r="I473" s="143">
        <v>8.2600000000000051</v>
      </c>
    </row>
    <row r="474" spans="1:9">
      <c r="C474" s="140" t="s">
        <v>196</v>
      </c>
      <c r="D474" s="141"/>
      <c r="E474" s="141" t="s">
        <v>12</v>
      </c>
      <c r="F474" s="142">
        <v>4</v>
      </c>
      <c r="G474" s="142" t="s">
        <v>322</v>
      </c>
      <c r="H474" s="87">
        <v>89.51</v>
      </c>
      <c r="I474" s="143">
        <v>6.6000000000000085</v>
      </c>
    </row>
    <row r="475" spans="1:9">
      <c r="C475" s="140" t="s">
        <v>196</v>
      </c>
      <c r="D475" s="141"/>
      <c r="E475" s="141" t="s">
        <v>13</v>
      </c>
      <c r="F475" s="142">
        <v>9</v>
      </c>
      <c r="G475" s="142" t="s">
        <v>333</v>
      </c>
      <c r="H475" s="87">
        <v>89.17</v>
      </c>
      <c r="I475" s="143">
        <v>6.2600000000000051</v>
      </c>
    </row>
    <row r="476" spans="1:9">
      <c r="C476" s="140" t="s">
        <v>196</v>
      </c>
      <c r="D476" s="141"/>
      <c r="E476" s="141" t="s">
        <v>13</v>
      </c>
      <c r="F476" s="142">
        <v>5</v>
      </c>
      <c r="G476" s="142" t="s">
        <v>325</v>
      </c>
      <c r="H476" s="87">
        <v>89.01</v>
      </c>
      <c r="I476" s="143">
        <v>6.1000000000000085</v>
      </c>
    </row>
    <row r="477" spans="1:9">
      <c r="C477" s="140" t="s">
        <v>196</v>
      </c>
      <c r="D477" s="141"/>
      <c r="E477" s="141" t="s">
        <v>13</v>
      </c>
      <c r="F477" s="142">
        <v>10</v>
      </c>
      <c r="G477" s="142" t="s">
        <v>335</v>
      </c>
      <c r="H477" s="87">
        <v>88.56</v>
      </c>
      <c r="I477" s="143">
        <v>5.6500000000000057</v>
      </c>
    </row>
    <row r="495" spans="1:9">
      <c r="A495" t="s">
        <v>97</v>
      </c>
      <c r="C495" s="135" t="s">
        <v>195</v>
      </c>
      <c r="D495" s="136"/>
      <c r="E495" s="136" t="s">
        <v>18</v>
      </c>
      <c r="F495" s="137">
        <v>29</v>
      </c>
      <c r="G495" s="137" t="s">
        <v>364</v>
      </c>
      <c r="H495" s="138">
        <v>45.85</v>
      </c>
      <c r="I495" s="139">
        <v>-37.059999999999995</v>
      </c>
    </row>
    <row r="496" spans="1:9" ht="24">
      <c r="C496" s="135" t="s">
        <v>195</v>
      </c>
      <c r="D496" s="136"/>
      <c r="E496" s="136" t="s">
        <v>19</v>
      </c>
      <c r="F496" s="137">
        <v>32</v>
      </c>
      <c r="G496" s="137" t="s">
        <v>368</v>
      </c>
      <c r="H496" s="138">
        <v>58.81</v>
      </c>
      <c r="I496" s="139">
        <v>-24.099999999999994</v>
      </c>
    </row>
    <row r="497" spans="3:9">
      <c r="C497" s="135" t="s">
        <v>195</v>
      </c>
      <c r="D497" s="136"/>
      <c r="E497" s="136" t="s">
        <v>18</v>
      </c>
      <c r="F497" s="137">
        <v>28</v>
      </c>
      <c r="G497" s="137" t="s">
        <v>363</v>
      </c>
      <c r="H497" s="138">
        <v>63.94</v>
      </c>
      <c r="I497" s="139">
        <v>-18.97</v>
      </c>
    </row>
    <row r="498" spans="3:9" ht="24">
      <c r="C498" s="135" t="s">
        <v>197</v>
      </c>
      <c r="D498" s="136"/>
      <c r="E498" s="136" t="s">
        <v>17</v>
      </c>
      <c r="F498" s="137">
        <v>22</v>
      </c>
      <c r="G498" s="137" t="s">
        <v>354</v>
      </c>
      <c r="H498" s="138">
        <v>69.52</v>
      </c>
      <c r="I498" s="139">
        <v>-13.39</v>
      </c>
    </row>
    <row r="499" spans="3:9" ht="24">
      <c r="C499" s="135" t="s">
        <v>195</v>
      </c>
      <c r="D499" s="136"/>
      <c r="E499" s="136" t="s">
        <v>19</v>
      </c>
      <c r="F499" s="137">
        <v>34</v>
      </c>
      <c r="G499" s="137" t="s">
        <v>370</v>
      </c>
      <c r="H499" s="138">
        <v>71.930000000000007</v>
      </c>
      <c r="I499" s="139">
        <v>-10.97999999999999</v>
      </c>
    </row>
    <row r="500" spans="3:9">
      <c r="C500" s="135" t="s">
        <v>195</v>
      </c>
      <c r="D500" s="136"/>
      <c r="E500" s="136" t="s">
        <v>18</v>
      </c>
      <c r="F500" s="137">
        <v>30</v>
      </c>
      <c r="G500" s="137" t="s">
        <v>366</v>
      </c>
      <c r="H500" s="138">
        <v>72.17</v>
      </c>
      <c r="I500" s="139">
        <v>-10.739999999999995</v>
      </c>
    </row>
    <row r="501" spans="3:9" ht="24">
      <c r="C501" s="135" t="s">
        <v>195</v>
      </c>
      <c r="D501" s="136"/>
      <c r="E501" s="136" t="s">
        <v>19</v>
      </c>
      <c r="F501" s="137">
        <v>33</v>
      </c>
      <c r="G501" s="137" t="s">
        <v>369</v>
      </c>
      <c r="H501" s="138">
        <v>73.19</v>
      </c>
      <c r="I501" s="139">
        <v>-9.7199999999999989</v>
      </c>
    </row>
    <row r="502" spans="3:9" ht="24">
      <c r="C502" s="135" t="s">
        <v>197</v>
      </c>
      <c r="D502" s="136"/>
      <c r="E502" s="136" t="s">
        <v>17</v>
      </c>
      <c r="F502" s="137">
        <v>25</v>
      </c>
      <c r="G502" s="137" t="s">
        <v>358</v>
      </c>
      <c r="H502" s="138">
        <v>75.88</v>
      </c>
      <c r="I502" s="139">
        <v>-7.0300000000000011</v>
      </c>
    </row>
    <row r="503" spans="3:9">
      <c r="C503" s="135" t="s">
        <v>196</v>
      </c>
      <c r="D503" s="136"/>
      <c r="E503" s="136" t="s">
        <v>13</v>
      </c>
      <c r="F503" s="137">
        <v>7</v>
      </c>
      <c r="G503" s="137" t="s">
        <v>330</v>
      </c>
      <c r="H503" s="138">
        <v>76.25</v>
      </c>
      <c r="I503" s="139">
        <v>-6.6599999999999966</v>
      </c>
    </row>
    <row r="504" spans="3:9">
      <c r="C504" s="135" t="s">
        <v>412</v>
      </c>
      <c r="D504" s="136"/>
      <c r="E504" s="136" t="s">
        <v>412</v>
      </c>
      <c r="F504" s="137" t="s">
        <v>412</v>
      </c>
      <c r="G504" s="137" t="s">
        <v>412</v>
      </c>
      <c r="H504" s="138" t="s">
        <v>412</v>
      </c>
      <c r="I504" s="139" t="s">
        <v>412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2017-04-24T14:32:36Z</dcterms:modified>
</cp:coreProperties>
</file>