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IveI9ZrJznjzR3GD8r0B1ArvB1fohJ8rbTt3IkuPO4UEt2dlrd/6Pp8L03ipgsEdJLYGp/lyMASo1KBj1t0tTA==" workbookSaltValue="QhgODjL7J+EIPHY521C4gA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481" r:id="rId7"/>
    <sheet name="Gráficos Indicadores" sheetId="2491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<sst xmlns="http://schemas.openxmlformats.org/spreadsheetml/2006/main" count="1532" uniqueCount="490">
  <si>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</si>
  <si>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</si>
  <si>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</si>
  <si>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</si>
  <si>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</si>
  <si>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</si>
  <si>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</si>
  <si>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</si>
  <si>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</si>
  <si>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</si>
  <si>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</si>
  <si>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</si>
  <si>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</si>
  <si>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</si>
  <si>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</si>
  <si>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</si>
  <si>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</si>
  <si>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</si>
  <si>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</si>
  <si>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</si>
  <si>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</si>
  <si>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</si>
  <si>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</si>
  <si>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</si>
  <si>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</si>
  <si>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</si>
  <si>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</si>
  <si>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</si>
  <si>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</si>
  <si>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</si>
  <si>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</si>
  <si>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</si>
  <si>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</si>
  <si>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</si>
  <si>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</si>
  <si>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</si>
  <si>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</si>
  <si>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</si>
  <si>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</si>
  <si>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</si>
  <si>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</si>
  <si>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</si>
  <si>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</si>
  <si>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</si>
  <si>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</si>
  <si>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</si>
  <si>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</si>
  <si>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</si>
  <si>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</si>
  <si>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</si>
  <si>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</si>
  <si>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</si>
  <si>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</si>
  <si>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</si>
  <si>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</si>
  <si>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</si>
  <si>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</si>
  <si>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</si>
  <si>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</si>
  <si>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</si>
  <si>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</si>
  <si>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</si>
  <si>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</si>
  <si>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</si>
  <si>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</si>
  <si>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</si>
  <si>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</si>
  <si>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</si>
  <si>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</si>
  <si>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</si>
  <si>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</si>
  <si>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</si>
  <si>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</si>
  <si>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</si>
  <si>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</si>
  <si>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</si>
  <si>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</si>
  <si>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</si>
  <si>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</si>
  <si>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</si>
  <si>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</si>
  <si>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</si>
  <si>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</si>
  <si>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</si>
  <si>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</si>
  <si>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</si>
  <si>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</si>
  <si>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</si>
  <si>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</si>
  <si>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</si>
  <si>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</si>
  <si>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</si>
  <si>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</si>
  <si>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</si>
  <si>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</si>
  <si>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</si>
  <si>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</si>
  <si>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</si>
  <si>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</si>
  <si>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</si>
  <si>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</si>
  <si>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</si>
  <si>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</si>
  <si>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</si>
  <si>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</si>
  <si>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</si>
  <si>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</si>
  <si>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</si>
  <si>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</si>
  <si>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</si>
  <si>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</si>
  <si>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</si>
  <si>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</si>
  <si>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</si>
  <si>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</si>
  <si>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</si>
  <si>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</si>
  <si>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</si>
  <si>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</si>
  <si>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</si>
  <si>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</si>
  <si>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</si>
  <si>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</si>
  <si>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</si>
  <si>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</si>
  <si>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</si>
  <si>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</si>
  <si>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</si>
  <si>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</si>
  <si>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</si>
  <si>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</si>
  <si>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</si>
  <si>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</si>
  <si>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</si>
  <si>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</si>
  <si>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</si>
  <si>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</si>
  <si>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</si>
  <si>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</si>
  <si>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</si>
  <si>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</si>
  <si>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</si>
  <si>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</si>
  <si>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</si>
  <si>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</si>
  <si>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</si>
  <si>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</si>
  <si>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</si>
  <si>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</si>
  <si>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</si>
  <si>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</si>
  <si>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</si>
  <si>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</si>
  <si>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</si>
  <si>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</si>
  <si>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</si>
  <si>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</si>
  <si>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</si>
  <si>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</si>
  <si>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</si>
  <si>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</si>
  <si>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</si>
  <si>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</si>
  <si>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</si>
  <si>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</si>
  <si>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</si>
  <si>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</si>
  <si>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</si>
  <si>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</si>
  <si>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</si>
  <si>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</si>
  <si>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</si>
  <si>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</si>
  <si>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</si>
  <si>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CONFIANZA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</si>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</sst>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1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6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19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19" borderId="13" xfId="6" applyNumberFormat="1" applyFont="1" applyFill="1" applyBorder="1" applyAlignment="1">
      <alignment horizontal="center" vertical="center" wrapText="1"/>
    </xf>
    <xf numFmtId="164" fontId="14" fillId="19" borderId="13" xfId="0" applyNumberFormat="1" applyFont="1" applyFill="1" applyBorder="1" applyAlignment="1">
      <alignment horizontal="center" vertical="center" wrapText="1"/>
    </xf>
    <xf numFmtId="0" fontId="14" fillId="16" borderId="22" xfId="0" applyFont="1" applyFill="1" applyBorder="1" applyAlignment="1">
      <alignment horizontal="center" vertical="center" wrapText="1"/>
    </xf>
    <xf numFmtId="0" fontId="30" fillId="27" borderId="22" xfId="0" applyFont="1" applyFill="1" applyBorder="1" applyAlignment="1">
      <alignment horizontal="center" vertical="center" wrapText="1"/>
    </xf>
    <xf numFmtId="0" fontId="30" fillId="28" borderId="22" xfId="0" applyFont="1" applyFill="1" applyBorder="1" applyAlignment="1">
      <alignment horizontal="center" vertical="center" wrapText="1"/>
    </xf>
    <xf numFmtId="0" fontId="30" fillId="29" borderId="22" xfId="0" applyFont="1" applyFill="1" applyBorder="1" applyAlignment="1">
      <alignment horizontal="center" vertical="center" wrapText="1"/>
    </xf>
    <xf numFmtId="0" fontId="14" fillId="30" borderId="22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7" xfId="0" applyFont="1" applyFill="1" applyBorder="1" applyAlignment="1">
      <alignment horizontal="center" vertical="center"/>
    </xf>
    <xf numFmtId="0" fontId="36" fillId="13" borderId="27" xfId="0" applyFont="1" applyFill="1" applyBorder="1" applyAlignment="1">
      <alignment horizontal="left" vertical="center" wrapText="1"/>
    </xf>
    <xf numFmtId="1" fontId="37" fillId="13" borderId="27" xfId="0" applyNumberFormat="1" applyFont="1" applyFill="1" applyBorder="1" applyAlignment="1">
      <alignment horizontal="center" vertical="center"/>
    </xf>
    <xf numFmtId="1" fontId="37" fillId="34" borderId="27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8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7" xfId="0" applyNumberFormat="1" applyFont="1" applyFill="1" applyBorder="1" applyAlignment="1">
      <alignment horizontal="center" vertical="center"/>
    </xf>
    <xf numFmtId="1" fontId="37" fillId="42" borderId="27" xfId="0" applyNumberFormat="1" applyFont="1" applyFill="1" applyBorder="1" applyAlignment="1">
      <alignment horizontal="center" vertical="center"/>
    </xf>
    <xf numFmtId="0" fontId="42" fillId="17" borderId="22" xfId="0" applyFont="1" applyFill="1" applyBorder="1" applyAlignment="1">
      <alignment horizontal="left" vertical="center" wrapText="1"/>
    </xf>
    <xf numFmtId="1" fontId="43" fillId="17" borderId="22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2" xfId="0" applyNumberFormat="1" applyFont="1" applyFill="1" applyBorder="1" applyAlignment="1">
      <alignment horizontal="center" vertical="center" wrapText="1"/>
    </xf>
    <xf numFmtId="1" fontId="30" fillId="37" borderId="22" xfId="0" applyNumberFormat="1" applyFont="1" applyFill="1" applyBorder="1" applyAlignment="1">
      <alignment horizontal="center" vertical="center" wrapText="1"/>
    </xf>
    <xf numFmtId="1" fontId="30" fillId="39" borderId="22" xfId="0" applyNumberFormat="1" applyFont="1" applyFill="1" applyBorder="1" applyAlignment="1">
      <alignment horizontal="center" vertical="center" wrapText="1"/>
    </xf>
    <xf numFmtId="1" fontId="30" fillId="40" borderId="22" xfId="0" applyNumberFormat="1" applyFont="1" applyFill="1" applyBorder="1" applyAlignment="1">
      <alignment horizontal="center" vertical="center" wrapText="1"/>
    </xf>
    <xf numFmtId="1" fontId="30" fillId="41" borderId="2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1" fontId="52" fillId="44" borderId="0" xfId="0" applyNumberFormat="1" applyFont="1" applyFill="1" applyBorder="1" applyAlignment="1">
      <alignment horizontal="center" vertical="center" wrapText="1"/>
    </xf>
    <xf numFmtId="1" fontId="52" fillId="44" borderId="45" xfId="0" applyNumberFormat="1" applyFont="1" applyFill="1" applyBorder="1" applyAlignment="1">
      <alignment horizontal="center" vertical="center" wrapText="1"/>
    </xf>
    <xf numFmtId="1" fontId="52" fillId="44" borderId="48" xfId="0" applyNumberFormat="1" applyFont="1" applyFill="1" applyBorder="1" applyAlignment="1">
      <alignment horizontal="center" vertical="center" wrapText="1"/>
    </xf>
    <xf numFmtId="1" fontId="52" fillId="44" borderId="49" xfId="0" applyNumberFormat="1" applyFont="1" applyFill="1" applyBorder="1" applyAlignment="1">
      <alignment horizontal="center" vertical="center" wrapText="1"/>
    </xf>
    <xf numFmtId="1" fontId="52" fillId="45" borderId="0" xfId="0" applyNumberFormat="1" applyFont="1" applyFill="1" applyBorder="1" applyAlignment="1">
      <alignment horizontal="center" vertical="center" wrapText="1"/>
    </xf>
    <xf numFmtId="1" fontId="52" fillId="45" borderId="45" xfId="0" applyNumberFormat="1" applyFont="1" applyFill="1" applyBorder="1" applyAlignment="1">
      <alignment horizontal="center" vertical="center" wrapText="1"/>
    </xf>
    <xf numFmtId="1" fontId="52" fillId="45" borderId="49" xfId="0" applyNumberFormat="1" applyFont="1" applyFill="1" applyBorder="1" applyAlignment="1">
      <alignment horizontal="center" vertical="center" wrapText="1"/>
    </xf>
    <xf numFmtId="1" fontId="47" fillId="44" borderId="0" xfId="0" applyNumberFormat="1" applyFont="1" applyFill="1" applyBorder="1" applyAlignment="1">
      <alignment vertical="center" wrapText="1"/>
    </xf>
    <xf numFmtId="1" fontId="47" fillId="44" borderId="45" xfId="0" applyNumberFormat="1" applyFont="1" applyFill="1" applyBorder="1" applyAlignment="1">
      <alignment vertical="center" wrapText="1"/>
    </xf>
    <xf numFmtId="1" fontId="47" fillId="44" borderId="48" xfId="0" applyNumberFormat="1" applyFont="1" applyFill="1" applyBorder="1" applyAlignment="1">
      <alignment vertical="center" wrapText="1"/>
    </xf>
    <xf numFmtId="1" fontId="49" fillId="44" borderId="0" xfId="0" applyNumberFormat="1" applyFont="1" applyFill="1" applyBorder="1" applyAlignment="1">
      <alignment vertical="center" wrapText="1"/>
    </xf>
    <xf numFmtId="1" fontId="49" fillId="44" borderId="49" xfId="0" applyNumberFormat="1" applyFont="1" applyFill="1" applyBorder="1" applyAlignment="1">
      <alignment vertical="center" wrapText="1"/>
    </xf>
    <xf numFmtId="1" fontId="52" fillId="45" borderId="47" xfId="0" applyNumberFormat="1" applyFont="1" applyFill="1" applyBorder="1" applyAlignment="1">
      <alignment horizontal="center" vertical="center" wrapText="1"/>
    </xf>
    <xf numFmtId="1" fontId="46" fillId="45" borderId="0" xfId="0" applyNumberFormat="1" applyFont="1" applyFill="1" applyBorder="1" applyAlignment="1">
      <alignment vertical="center" wrapText="1"/>
    </xf>
    <xf numFmtId="1" fontId="46" fillId="45" borderId="45" xfId="0" applyNumberFormat="1" applyFont="1" applyFill="1" applyBorder="1" applyAlignment="1">
      <alignment vertical="center" wrapText="1"/>
    </xf>
    <xf numFmtId="1" fontId="46" fillId="45" borderId="47" xfId="0" applyNumberFormat="1" applyFont="1" applyFill="1" applyBorder="1" applyAlignment="1">
      <alignment vertical="center" wrapText="1"/>
    </xf>
    <xf numFmtId="1" fontId="52" fillId="45" borderId="51" xfId="0" applyNumberFormat="1" applyFont="1" applyFill="1" applyBorder="1" applyAlignment="1">
      <alignment horizontal="center" vertical="center" wrapText="1"/>
    </xf>
    <xf numFmtId="1" fontId="52" fillId="45" borderId="53" xfId="0" applyNumberFormat="1" applyFont="1" applyFill="1" applyBorder="1" applyAlignment="1">
      <alignment horizontal="center" vertical="center" wrapText="1"/>
    </xf>
    <xf numFmtId="1" fontId="52" fillId="45" borderId="54" xfId="0" applyNumberFormat="1" applyFont="1" applyFill="1" applyBorder="1" applyAlignment="1">
      <alignment horizontal="center" vertical="center" wrapText="1"/>
    </xf>
    <xf numFmtId="1" fontId="52" fillId="45" borderId="52" xfId="0" applyNumberFormat="1" applyFont="1" applyFill="1" applyBorder="1" applyAlignment="1">
      <alignment horizontal="center" vertical="center" wrapText="1"/>
    </xf>
    <xf numFmtId="1" fontId="48" fillId="45" borderId="0" xfId="0" applyNumberFormat="1" applyFont="1" applyFill="1" applyBorder="1" applyAlignment="1">
      <alignment vertical="center" wrapText="1"/>
    </xf>
    <xf numFmtId="1" fontId="48" fillId="45" borderId="49" xfId="0" applyNumberFormat="1" applyFont="1" applyFill="1" applyBorder="1" applyAlignment="1">
      <alignment vertical="center" wrapText="1"/>
    </xf>
    <xf numFmtId="1" fontId="48" fillId="45" borderId="51" xfId="0" applyNumberFormat="1" applyFont="1" applyFill="1" applyBorder="1" applyAlignment="1">
      <alignment vertical="center" wrapText="1"/>
    </xf>
    <xf numFmtId="1" fontId="50" fillId="45" borderId="53" xfId="0" applyNumberFormat="1" applyFont="1" applyFill="1" applyBorder="1" applyAlignment="1">
      <alignment vertical="center" wrapText="1"/>
    </xf>
    <xf numFmtId="1" fontId="50" fillId="45" borderId="54" xfId="0" applyNumberFormat="1" applyFont="1" applyFill="1" applyBorder="1" applyAlignment="1">
      <alignment vertical="center" wrapText="1"/>
    </xf>
    <xf numFmtId="1" fontId="50" fillId="45" borderId="52" xfId="0" applyNumberFormat="1" applyFont="1" applyFill="1" applyBorder="1" applyAlignment="1">
      <alignment vertical="center" wrapText="1"/>
    </xf>
    <xf numFmtId="0" fontId="63" fillId="0" borderId="59" xfId="0" applyFont="1" applyBorder="1"/>
    <xf numFmtId="1" fontId="62" fillId="0" borderId="59" xfId="0" applyNumberFormat="1" applyFont="1" applyFill="1" applyBorder="1" applyAlignment="1">
      <alignment horizontal="center" vertical="center" wrapText="1"/>
    </xf>
    <xf numFmtId="1" fontId="62" fillId="0" borderId="60" xfId="0" applyNumberFormat="1" applyFont="1" applyFill="1" applyBorder="1" applyAlignment="1">
      <alignment horizontal="center" vertical="center" wrapText="1"/>
    </xf>
    <xf numFmtId="0" fontId="64" fillId="0" borderId="59" xfId="0" applyFont="1" applyBorder="1"/>
    <xf numFmtId="0" fontId="65" fillId="0" borderId="59" xfId="0" applyFont="1" applyBorder="1"/>
    <xf numFmtId="0" fontId="66" fillId="0" borderId="59" xfId="0" applyFont="1" applyBorder="1"/>
    <xf numFmtId="0" fontId="67" fillId="0" borderId="6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5" fillId="44" borderId="46" xfId="0" applyFont="1" applyFill="1" applyBorder="1" applyAlignment="1">
      <alignment vertical="center" wrapText="1"/>
    </xf>
    <xf numFmtId="0" fontId="30" fillId="41" borderId="22" xfId="0" applyFont="1" applyFill="1" applyBorder="1" applyAlignment="1">
      <alignment horizontal="center" vertical="center" wrapText="1"/>
    </xf>
    <xf numFmtId="1" fontId="68" fillId="35" borderId="0" xfId="0" applyNumberFormat="1" applyFont="1" applyFill="1" applyAlignment="1">
      <alignment horizontal="center" vertical="center" wrapText="1"/>
    </xf>
    <xf numFmtId="1" fontId="69" fillId="13" borderId="0" xfId="0" applyNumberFormat="1" applyFont="1" applyFill="1" applyAlignment="1">
      <alignment horizontal="center" vertical="center" wrapText="1"/>
    </xf>
    <xf numFmtId="0" fontId="44" fillId="0" borderId="62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71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73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5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77" fillId="13" borderId="72" xfId="0" applyFont="1" applyFill="1" applyBorder="1" applyAlignment="1">
      <alignment horizontal="left" vertical="center" wrapText="1"/>
    </xf>
    <xf numFmtId="0" fontId="32" fillId="13" borderId="72" xfId="0" applyFont="1" applyFill="1" applyBorder="1" applyAlignment="1">
      <alignment horizontal="left" vertical="center" wrapText="1"/>
    </xf>
    <xf numFmtId="1" fontId="32" fillId="13" borderId="72" xfId="0" applyNumberFormat="1" applyFont="1" applyFill="1" applyBorder="1" applyAlignment="1">
      <alignment horizontal="center" vertical="center" wrapText="1"/>
    </xf>
    <xf numFmtId="0" fontId="79" fillId="13" borderId="74" xfId="0" applyFont="1" applyFill="1" applyBorder="1" applyAlignment="1">
      <alignment horizontal="left" vertical="center" wrapText="1"/>
    </xf>
    <xf numFmtId="0" fontId="32" fillId="13" borderId="74" xfId="0" applyFont="1" applyFill="1" applyBorder="1" applyAlignment="1">
      <alignment horizontal="left" vertical="center" wrapText="1"/>
    </xf>
    <xf numFmtId="1" fontId="32" fillId="13" borderId="74" xfId="0" applyNumberFormat="1" applyFont="1" applyFill="1" applyBorder="1" applyAlignment="1">
      <alignment horizontal="center" vertical="center" wrapText="1"/>
    </xf>
    <xf numFmtId="0" fontId="0" fillId="0" borderId="62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6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6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6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6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76" fillId="13" borderId="77" xfId="0" applyFont="1" applyFill="1" applyBorder="1" applyAlignment="1">
      <alignment horizontal="left" vertical="center" wrapText="1"/>
    </xf>
    <xf numFmtId="0" fontId="70" fillId="13" borderId="63" xfId="0" applyFont="1" applyFill="1" applyBorder="1" applyAlignment="1">
      <alignment horizontal="left" vertical="center" wrapText="1"/>
    </xf>
    <xf numFmtId="0" fontId="70" fillId="13" borderId="70" xfId="0" applyFont="1" applyFill="1" applyBorder="1" applyAlignment="1">
      <alignment horizontal="left" vertical="center" wrapText="1"/>
    </xf>
    <xf numFmtId="0" fontId="76" fillId="13" borderId="78" xfId="0" applyFont="1" applyFill="1" applyBorder="1" applyAlignment="1">
      <alignment horizontal="left" vertical="center" wrapText="1"/>
    </xf>
    <xf numFmtId="0" fontId="74" fillId="13" borderId="79" xfId="0" applyFont="1" applyFill="1" applyBorder="1" applyAlignment="1">
      <alignment horizontal="left" vertical="center" wrapText="1"/>
    </xf>
    <xf numFmtId="0" fontId="78" fillId="13" borderId="80" xfId="0" applyFont="1" applyFill="1" applyBorder="1" applyAlignment="1">
      <alignment horizontal="left" vertical="center" wrapText="1"/>
    </xf>
    <xf numFmtId="0" fontId="76" fillId="13" borderId="71" xfId="0" applyFont="1" applyFill="1" applyBorder="1" applyAlignment="1">
      <alignment horizontal="left" vertical="center" wrapText="1"/>
    </xf>
    <xf numFmtId="0" fontId="78" fillId="13" borderId="73" xfId="0" applyFont="1" applyFill="1" applyBorder="1" applyAlignment="1">
      <alignment horizontal="left" vertical="center" wrapText="1"/>
    </xf>
    <xf numFmtId="0" fontId="72" fillId="13" borderId="75" xfId="0" applyFont="1" applyFill="1" applyBorder="1" applyAlignment="1">
      <alignment horizontal="left" vertical="center" wrapText="1"/>
    </xf>
    <xf numFmtId="0" fontId="72" fillId="13" borderId="76" xfId="0" applyFont="1" applyFill="1" applyBorder="1" applyAlignment="1">
      <alignment horizontal="left" vertical="center" wrapText="1"/>
    </xf>
    <xf numFmtId="0" fontId="44" fillId="0" borderId="61" xfId="0" applyFont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3" fillId="41" borderId="26" xfId="0" applyFont="1" applyFill="1" applyBorder="1" applyAlignment="1">
      <alignment horizontal="center" vertical="center" wrapText="1"/>
    </xf>
    <xf numFmtId="0" fontId="33" fillId="41" borderId="23" xfId="0" applyFont="1" applyFill="1" applyBorder="1" applyAlignment="1">
      <alignment horizontal="center" vertical="center" wrapText="1"/>
    </xf>
    <xf numFmtId="0" fontId="33" fillId="41" borderId="31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4" xfId="0" applyFont="1" applyFill="1" applyBorder="1" applyAlignment="1">
      <alignment horizontal="center" vertical="center" wrapText="1"/>
    </xf>
    <xf numFmtId="0" fontId="33" fillId="41" borderId="41" xfId="0" applyFont="1" applyFill="1" applyBorder="1" applyAlignment="1">
      <alignment horizontal="center" vertical="center" wrapText="1"/>
    </xf>
    <xf numFmtId="0" fontId="41" fillId="0" borderId="42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2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9" xfId="0" applyFont="1" applyFill="1" applyBorder="1" applyAlignment="1">
      <alignment horizontal="center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42" fillId="17" borderId="44" xfId="0" applyFont="1" applyFill="1" applyBorder="1" applyAlignment="1">
      <alignment horizontal="left" vertical="center" wrapText="1"/>
    </xf>
    <xf numFmtId="0" fontId="40" fillId="0" borderId="23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33" fillId="39" borderId="31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4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40" fillId="0" borderId="42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wrapText="1"/>
    </xf>
    <xf numFmtId="0" fontId="33" fillId="40" borderId="23" xfId="0" applyFont="1" applyFill="1" applyBorder="1" applyAlignment="1">
      <alignment horizontal="center" vertical="center" wrapText="1"/>
    </xf>
    <xf numFmtId="0" fontId="33" fillId="40" borderId="34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0" borderId="42" xfId="0" applyFont="1" applyFill="1" applyBorder="1" applyAlignment="1">
      <alignment horizontal="center" vertical="center" wrapText="1"/>
    </xf>
    <xf numFmtId="0" fontId="33" fillId="40" borderId="31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7" xfId="0" applyFont="1" applyFill="1" applyBorder="1" applyAlignment="1">
      <alignment horizontal="center" vertical="center" wrapText="1"/>
    </xf>
    <xf numFmtId="0" fontId="34" fillId="0" borderId="32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3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3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7" xfId="0" applyFont="1" applyBorder="1" applyAlignment="1">
      <alignment horizontal="center" vertical="center" wrapText="1"/>
    </xf>
    <xf numFmtId="1" fontId="32" fillId="33" borderId="35" xfId="0" applyNumberFormat="1" applyFont="1" applyFill="1" applyBorder="1" applyAlignment="1">
      <alignment horizontal="center" vertical="center" wrapText="1"/>
    </xf>
    <xf numFmtId="1" fontId="32" fillId="33" borderId="30" xfId="0" applyNumberFormat="1" applyFont="1" applyFill="1" applyBorder="1" applyAlignment="1">
      <alignment horizontal="center" vertical="center" wrapText="1"/>
    </xf>
    <xf numFmtId="1" fontId="32" fillId="33" borderId="33" xfId="0" applyNumberFormat="1" applyFont="1" applyFill="1" applyBorder="1" applyAlignment="1">
      <alignment horizontal="center" vertical="center" wrapText="1"/>
    </xf>
    <xf numFmtId="1" fontId="32" fillId="13" borderId="35" xfId="0" applyNumberFormat="1" applyFont="1" applyFill="1" applyBorder="1" applyAlignment="1">
      <alignment horizontal="center" vertical="center" wrapText="1"/>
    </xf>
    <xf numFmtId="1" fontId="32" fillId="13" borderId="30" xfId="0" applyNumberFormat="1" applyFont="1" applyFill="1" applyBorder="1" applyAlignment="1">
      <alignment horizontal="center" vertical="center" wrapText="1"/>
    </xf>
    <xf numFmtId="1" fontId="32" fillId="13" borderId="33" xfId="0" applyNumberFormat="1" applyFont="1" applyFill="1" applyBorder="1" applyAlignment="1">
      <alignment horizontal="center" vertical="center" wrapText="1"/>
    </xf>
    <xf numFmtId="0" fontId="70" fillId="13" borderId="65" xfId="0" applyFont="1" applyFill="1" applyBorder="1" applyAlignment="1">
      <alignment horizontal="left" vertical="center" wrapText="1"/>
    </xf>
    <xf numFmtId="0" fontId="72" fillId="13" borderId="66" xfId="0" applyFont="1" applyFill="1" applyBorder="1" applyAlignment="1">
      <alignment horizontal="left" vertical="center" wrapText="1"/>
    </xf>
    <xf numFmtId="0" fontId="74" fillId="13" borderId="68" xfId="0" applyFont="1" applyFill="1" applyBorder="1" applyAlignment="1">
      <alignment horizontal="left" vertical="center" wrapText="1"/>
    </xf>
    <xf numFmtId="0" fontId="29" fillId="41" borderId="23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1" fontId="32" fillId="33" borderId="25" xfId="0" applyNumberFormat="1" applyFont="1" applyFill="1" applyBorder="1" applyAlignment="1">
      <alignment horizontal="center" vertical="center" wrapText="1"/>
    </xf>
    <xf numFmtId="1" fontId="32" fillId="13" borderId="25" xfId="0" applyNumberFormat="1" applyFont="1" applyFill="1" applyBorder="1" applyAlignment="1">
      <alignment horizontal="center" vertical="center" wrapText="1"/>
    </xf>
    <xf numFmtId="0" fontId="29" fillId="40" borderId="23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7" xfId="0" applyFont="1" applyFill="1" applyBorder="1" applyAlignment="1">
      <alignment horizontal="center" vertical="center" textRotation="90" wrapText="1"/>
    </xf>
    <xf numFmtId="0" fontId="33" fillId="41" borderId="36" xfId="0" applyFont="1" applyFill="1" applyBorder="1" applyAlignment="1">
      <alignment horizontal="center" vertical="center" textRotation="90" wrapText="1"/>
    </xf>
    <xf numFmtId="0" fontId="33" fillId="41" borderId="31" xfId="0" applyFont="1" applyFill="1" applyBorder="1" applyAlignment="1">
      <alignment horizontal="center" vertical="center" textRotation="90" wrapText="1"/>
    </xf>
    <xf numFmtId="0" fontId="33" fillId="41" borderId="34" xfId="0" applyFont="1" applyFill="1" applyBorder="1" applyAlignment="1">
      <alignment horizontal="center" vertical="center" textRotation="90" wrapText="1"/>
    </xf>
    <xf numFmtId="0" fontId="31" fillId="0" borderId="38" xfId="0" applyFont="1" applyBorder="1" applyAlignment="1">
      <alignment horizontal="center" vertical="center" wrapText="1"/>
    </xf>
    <xf numFmtId="1" fontId="32" fillId="33" borderId="39" xfId="0" applyNumberFormat="1" applyFont="1" applyFill="1" applyBorder="1" applyAlignment="1">
      <alignment horizontal="center" vertical="center" wrapText="1"/>
    </xf>
    <xf numFmtId="1" fontId="32" fillId="13" borderId="39" xfId="0" applyNumberFormat="1" applyFont="1" applyFill="1" applyBorder="1" applyAlignment="1">
      <alignment horizontal="center" vertical="center" wrapText="1"/>
    </xf>
    <xf numFmtId="0" fontId="33" fillId="39" borderId="36" xfId="0" applyFont="1" applyFill="1" applyBorder="1" applyAlignment="1">
      <alignment horizontal="center" vertical="center" textRotation="90" wrapText="1"/>
    </xf>
    <xf numFmtId="0" fontId="33" fillId="39" borderId="31" xfId="0" applyFont="1" applyFill="1" applyBorder="1" applyAlignment="1">
      <alignment horizontal="center" vertical="center" textRotation="90" wrapText="1"/>
    </xf>
    <xf numFmtId="0" fontId="33" fillId="39" borderId="40" xfId="0" applyFont="1" applyFill="1" applyBorder="1" applyAlignment="1">
      <alignment horizontal="center" vertical="center" textRotation="90" wrapText="1"/>
    </xf>
    <xf numFmtId="0" fontId="33" fillId="37" borderId="36" xfId="0" applyFont="1" applyFill="1" applyBorder="1" applyAlignment="1">
      <alignment horizontal="center" vertical="center" textRotation="90" wrapText="1"/>
    </xf>
    <xf numFmtId="0" fontId="33" fillId="37" borderId="34" xfId="0" applyFont="1" applyFill="1" applyBorder="1" applyAlignment="1">
      <alignment horizontal="center" vertical="center" textRotation="90" wrapText="1"/>
    </xf>
    <xf numFmtId="0" fontId="29" fillId="38" borderId="23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7" xfId="0" applyFont="1" applyFill="1" applyBorder="1" applyAlignment="1">
      <alignment horizontal="center" vertical="center" textRotation="90" wrapText="1"/>
    </xf>
    <xf numFmtId="0" fontId="33" fillId="39" borderId="26" xfId="0" applyFont="1" applyFill="1" applyBorder="1" applyAlignment="1">
      <alignment horizontal="center" vertical="center" textRotation="90" wrapText="1"/>
    </xf>
    <xf numFmtId="0" fontId="33" fillId="39" borderId="34" xfId="0" applyFont="1" applyFill="1" applyBorder="1" applyAlignment="1">
      <alignment horizontal="center" vertical="center" textRotation="90" wrapText="1"/>
    </xf>
    <xf numFmtId="0" fontId="33" fillId="37" borderId="31" xfId="0" applyFont="1" applyFill="1" applyBorder="1" applyAlignment="1">
      <alignment horizontal="center" vertical="center" textRotation="90" wrapText="1"/>
    </xf>
    <xf numFmtId="0" fontId="33" fillId="37" borderId="40" xfId="0" applyFont="1" applyFill="1" applyBorder="1" applyAlignment="1">
      <alignment horizontal="center" vertical="center" textRotation="90" wrapText="1"/>
    </xf>
    <xf numFmtId="0" fontId="29" fillId="36" borderId="23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7" xfId="0" applyFont="1" applyFill="1" applyBorder="1" applyAlignment="1">
      <alignment horizontal="center" vertical="center" textRotation="90" wrapText="1"/>
    </xf>
    <xf numFmtId="0" fontId="33" fillId="37" borderId="26" xfId="0" applyFont="1" applyFill="1" applyBorder="1" applyAlignment="1">
      <alignment horizontal="center" vertical="center" textRotation="90" wrapText="1"/>
    </xf>
    <xf numFmtId="0" fontId="33" fillId="32" borderId="36" xfId="0" applyFont="1" applyFill="1" applyBorder="1" applyAlignment="1">
      <alignment horizontal="center" vertical="center" textRotation="90" wrapText="1"/>
    </xf>
    <xf numFmtId="0" fontId="33" fillId="32" borderId="31" xfId="0" applyFont="1" applyFill="1" applyBorder="1" applyAlignment="1">
      <alignment horizontal="center" vertical="center" textRotation="90" wrapText="1"/>
    </xf>
    <xf numFmtId="0" fontId="33" fillId="32" borderId="40" xfId="0" applyFont="1" applyFill="1" applyBorder="1" applyAlignment="1">
      <alignment horizontal="center" vertical="center" textRotation="90" wrapText="1"/>
    </xf>
    <xf numFmtId="0" fontId="29" fillId="32" borderId="23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7" xfId="0" applyFont="1" applyFill="1" applyBorder="1" applyAlignment="1">
      <alignment horizontal="center" vertical="center" textRotation="90" wrapText="1"/>
    </xf>
    <xf numFmtId="0" fontId="33" fillId="32" borderId="26" xfId="0" applyFont="1" applyFill="1" applyBorder="1" applyAlignment="1">
      <alignment horizontal="center" vertical="center" textRotation="90" wrapText="1"/>
    </xf>
    <xf numFmtId="0" fontId="33" fillId="32" borderId="34" xfId="0" applyFont="1" applyFill="1" applyBorder="1" applyAlignment="1">
      <alignment horizontal="center" vertical="center" textRotation="90" wrapText="1"/>
    </xf>
    <xf numFmtId="0" fontId="34" fillId="0" borderId="23" xfId="0" applyFont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8" fillId="44" borderId="58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2" xfId="0" applyFont="1" applyBorder="1" applyAlignment="1">
      <alignment horizontal="center" vertical="center" wrapText="1"/>
    </xf>
    <xf numFmtId="0" fontId="59" fillId="44" borderId="58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2" xfId="0" applyFont="1" applyBorder="1" applyAlignment="1">
      <alignment horizontal="left" vertical="center" wrapText="1"/>
    </xf>
    <xf numFmtId="0" fontId="60" fillId="45" borderId="53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45" borderId="53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45" fillId="44" borderId="46" xfId="0" applyFont="1" applyFill="1" applyBorder="1" applyAlignment="1">
      <alignment vertical="center" wrapText="1"/>
    </xf>
    <xf numFmtId="0" fontId="53" fillId="45" borderId="55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7" xfId="0" applyFont="1" applyBorder="1" applyAlignment="1">
      <alignment horizontal="center" vertical="center" wrapText="1"/>
    </xf>
    <xf numFmtId="0" fontId="51" fillId="45" borderId="55" xfId="0" applyFont="1" applyFill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47" xfId="0" applyFont="1" applyBorder="1" applyAlignment="1">
      <alignment horizontal="left" vertical="center" wrapText="1"/>
    </xf>
    <xf numFmtId="0" fontId="54" fillId="44" borderId="5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5" fillId="44" borderId="56" xfId="0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8" xfId="0" applyFont="1" applyBorder="1" applyAlignment="1">
      <alignment horizontal="left" vertical="center" wrapText="1"/>
    </xf>
    <xf numFmtId="0" fontId="56" fillId="45" borderId="57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50" xfId="0" applyFont="1" applyBorder="1" applyAlignment="1">
      <alignment horizontal="center" vertical="center" wrapText="1"/>
    </xf>
    <xf numFmtId="0" fontId="57" fillId="45" borderId="57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50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808080"/>
      <color rgb="FF262626"/>
      <color rgb="FF868686"/>
      <color rgb="FF595959"/>
      <color rgb="FF2E3232"/>
      <color rgb="FFFF7D7D"/>
      <color rgb="FFFF7C80"/>
      <color rgb="FFFF9999"/>
      <color rgb="FF9064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74613440"/>
        <c:axId val="-974612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613440"/>
        <c:axId val="-974612352"/>
      </c:lineChart>
      <c:catAx>
        <c:axId val="-97461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74612352"/>
        <c:crosses val="autoZero"/>
        <c:auto val="1"/>
        <c:lblAlgn val="ctr"/>
        <c:lblOffset val="100"/>
        <c:noMultiLvlLbl val="0"/>
      </c:catAx>
      <c:valAx>
        <c:axId val="-974612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7461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74610176"/>
        <c:axId val="-974609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610176"/>
        <c:axId val="-974609632"/>
      </c:lineChart>
      <c:catAx>
        <c:axId val="-97461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974609632"/>
        <c:crosses val="autoZero"/>
        <c:auto val="1"/>
        <c:lblAlgn val="ctr"/>
        <c:lblOffset val="100"/>
        <c:noMultiLvlLbl val="0"/>
      </c:catAx>
      <c:valAx>
        <c:axId val="-974609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7461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66622560"/>
        <c:axId val="-9666241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66622560"/>
        <c:axId val="-966624192"/>
      </c:lineChart>
      <c:catAx>
        <c:axId val="-96662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66624192"/>
        <c:crosses val="autoZero"/>
        <c:auto val="1"/>
        <c:lblAlgn val="ctr"/>
        <c:lblOffset val="100"/>
        <c:noMultiLvlLbl val="0"/>
      </c:catAx>
      <c:valAx>
        <c:axId val="-966624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666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966619840"/>
        <c:axId val="-966623648"/>
      </c:barChart>
      <c:catAx>
        <c:axId val="-966619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-966623648"/>
        <c:crosses val="autoZero"/>
        <c:auto val="1"/>
        <c:lblAlgn val="ctr"/>
        <c:lblOffset val="100"/>
        <c:noMultiLvlLbl val="0"/>
      </c:catAx>
      <c:valAx>
        <c:axId val="-96662364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96661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66626368"/>
        <c:axId val="-966619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66626368"/>
        <c:axId val="-966619296"/>
      </c:lineChart>
      <c:catAx>
        <c:axId val="-966626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966619296"/>
        <c:crosses val="autoZero"/>
        <c:auto val="1"/>
        <c:lblAlgn val="ctr"/>
        <c:lblOffset val="100"/>
        <c:noMultiLvlLbl val="0"/>
      </c:catAx>
      <c:valAx>
        <c:axId val="-96661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6662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66625280"/>
        <c:axId val="-966631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66625280"/>
        <c:axId val="-966631264"/>
      </c:lineChart>
      <c:catAx>
        <c:axId val="-96662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66631264"/>
        <c:crosses val="autoZero"/>
        <c:auto val="1"/>
        <c:lblAlgn val="ctr"/>
        <c:lblOffset val="100"/>
        <c:noMultiLvlLbl val="0"/>
      </c:catAx>
      <c:valAx>
        <c:axId val="-966631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6662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66626912"/>
        <c:axId val="-9666214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66626912"/>
        <c:axId val="-966621472"/>
      </c:lineChart>
      <c:catAx>
        <c:axId val="-966626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966621472"/>
        <c:crosses val="autoZero"/>
        <c:auto val="1"/>
        <c:lblAlgn val="ctr"/>
        <c:lblOffset val="100"/>
        <c:noMultiLvlLbl val="0"/>
      </c:catAx>
      <c:valAx>
        <c:axId val="-966621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6662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966629632"/>
        <c:axId val="-966627456"/>
      </c:barChart>
      <c:catAx>
        <c:axId val="-966629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-966627456"/>
        <c:crosses val="autoZero"/>
        <c:auto val="1"/>
        <c:lblAlgn val="ctr"/>
        <c:lblOffset val="100"/>
        <c:noMultiLvlLbl val="0"/>
      </c:catAx>
      <c:valAx>
        <c:axId val="-96662745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9666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049712"/>
        <c:axId val="-900039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049712"/>
        <c:axId val="-900039376"/>
      </c:lineChart>
      <c:catAx>
        <c:axId val="-900049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900039376"/>
        <c:crosses val="autoZero"/>
        <c:auto val="1"/>
        <c:lblAlgn val="ctr"/>
        <c:lblOffset val="100"/>
        <c:noMultiLvlLbl val="0"/>
      </c:catAx>
      <c:valAx>
        <c:axId val="-900039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04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037200"/>
        <c:axId val="-900044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037200"/>
        <c:axId val="-900044816"/>
      </c:lineChart>
      <c:catAx>
        <c:axId val="-90003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00044816"/>
        <c:crosses val="autoZero"/>
        <c:auto val="1"/>
        <c:lblAlgn val="ctr"/>
        <c:lblOffset val="100"/>
        <c:noMultiLvlLbl val="0"/>
      </c:catAx>
      <c:valAx>
        <c:axId val="-900044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03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039920"/>
        <c:axId val="-900046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039920"/>
        <c:axId val="-900046992"/>
      </c:lineChart>
      <c:catAx>
        <c:axId val="-900039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00046992"/>
        <c:crosses val="autoZero"/>
        <c:auto val="1"/>
        <c:lblAlgn val="ctr"/>
        <c:lblOffset val="100"/>
        <c:noMultiLvlLbl val="0"/>
      </c:catAx>
      <c:valAx>
        <c:axId val="-900046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0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036112"/>
        <c:axId val="-900035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036112"/>
        <c:axId val="-900035568"/>
      </c:lineChart>
      <c:catAx>
        <c:axId val="-90003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900035568"/>
        <c:crosses val="autoZero"/>
        <c:auto val="1"/>
        <c:lblAlgn val="ctr"/>
        <c:lblOffset val="100"/>
        <c:noMultiLvlLbl val="0"/>
      </c:catAx>
      <c:valAx>
        <c:axId val="-900035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0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98863520"/>
        <c:axId val="-898870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8863520"/>
        <c:axId val="-898870592"/>
      </c:lineChart>
      <c:catAx>
        <c:axId val="-898863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898870592"/>
        <c:crosses val="autoZero"/>
        <c:auto val="1"/>
        <c:lblAlgn val="ctr"/>
        <c:lblOffset val="100"/>
        <c:noMultiLvlLbl val="0"/>
      </c:catAx>
      <c:valAx>
        <c:axId val="-898870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9886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87151232"/>
        <c:axId val="-8117048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7151232"/>
        <c:axId val="-811704816"/>
      </c:lineChart>
      <c:catAx>
        <c:axId val="-88715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11704816"/>
        <c:crosses val="autoZero"/>
        <c:auto val="1"/>
        <c:lblAlgn val="ctr"/>
        <c:lblOffset val="100"/>
        <c:noMultiLvlLbl val="0"/>
      </c:catAx>
      <c:valAx>
        <c:axId val="-8117048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88715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811700464"/>
        <c:axId val="-811705360"/>
      </c:lineChart>
      <c:catAx>
        <c:axId val="-81170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11705360"/>
        <c:crosses val="autoZero"/>
        <c:auto val="1"/>
        <c:lblAlgn val="ctr"/>
        <c:lblOffset val="100"/>
        <c:noMultiLvlLbl val="0"/>
      </c:catAx>
      <c:valAx>
        <c:axId val="-811705360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-81170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11703728"/>
        <c:axId val="-8117026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11703728"/>
        <c:axId val="-811702640"/>
      </c:lineChart>
      <c:catAx>
        <c:axId val="-81170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11702640"/>
        <c:crosses val="autoZero"/>
        <c:auto val="1"/>
        <c:lblAlgn val="ctr"/>
        <c:lblOffset val="100"/>
        <c:noMultiLvlLbl val="0"/>
      </c:catAx>
      <c:valAx>
        <c:axId val="-811702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1170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811701552"/>
        <c:axId val="-811701008"/>
      </c:lineChart>
      <c:catAx>
        <c:axId val="-81170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11701008"/>
        <c:crosses val="autoZero"/>
        <c:auto val="1"/>
        <c:lblAlgn val="ctr"/>
        <c:lblOffset val="100"/>
        <c:noMultiLvlLbl val="0"/>
      </c:catAx>
      <c:valAx>
        <c:axId val="-811701008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81170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897534592"/>
        <c:axId val="-8975356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7534592"/>
        <c:axId val="-897535680"/>
      </c:lineChart>
      <c:catAx>
        <c:axId val="-897534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97535680"/>
        <c:crosses val="autoZero"/>
        <c:auto val="1"/>
        <c:lblAlgn val="ctr"/>
        <c:lblOffset val="100"/>
        <c:noMultiLvlLbl val="0"/>
      </c:catAx>
      <c:valAx>
        <c:axId val="-8975356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9753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97534048"/>
        <c:axId val="-8975335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7534048"/>
        <c:axId val="-897533504"/>
      </c:lineChart>
      <c:catAx>
        <c:axId val="-897534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97533504"/>
        <c:crosses val="autoZero"/>
        <c:auto val="1"/>
        <c:lblAlgn val="ctr"/>
        <c:lblOffset val="100"/>
        <c:noMultiLvlLbl val="0"/>
      </c:catAx>
      <c:valAx>
        <c:axId val="-8975335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9753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051066464"/>
        <c:axId val="-10510659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51066464"/>
        <c:axId val="-1051065920"/>
      </c:lineChart>
      <c:catAx>
        <c:axId val="-1051066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51065920"/>
        <c:crosses val="autoZero"/>
        <c:auto val="1"/>
        <c:lblAlgn val="ctr"/>
        <c:lblOffset val="100"/>
        <c:noMultiLvlLbl val="0"/>
      </c:catAx>
      <c:valAx>
        <c:axId val="-10510659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05106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94645408"/>
        <c:axId val="-8946443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4645408"/>
        <c:axId val="-894644320"/>
      </c:lineChart>
      <c:catAx>
        <c:axId val="-894645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94644320"/>
        <c:crosses val="autoZero"/>
        <c:auto val="1"/>
        <c:lblAlgn val="ctr"/>
        <c:lblOffset val="100"/>
        <c:noMultiLvlLbl val="0"/>
      </c:catAx>
      <c:valAx>
        <c:axId val="-894644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946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894643232"/>
        <c:axId val="-8946416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4643232"/>
        <c:axId val="-894641600"/>
      </c:lineChart>
      <c:catAx>
        <c:axId val="-89464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94641600"/>
        <c:crosses val="autoZero"/>
        <c:auto val="1"/>
        <c:lblAlgn val="ctr"/>
        <c:lblOffset val="100"/>
        <c:noMultiLvlLbl val="0"/>
      </c:catAx>
      <c:valAx>
        <c:axId val="-8946416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9464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94648128"/>
        <c:axId val="-8946475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4648128"/>
        <c:axId val="-894647584"/>
      </c:lineChart>
      <c:catAx>
        <c:axId val="-89464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94647584"/>
        <c:crosses val="autoZero"/>
        <c:auto val="1"/>
        <c:lblAlgn val="ctr"/>
        <c:lblOffset val="100"/>
        <c:noMultiLvlLbl val="0"/>
      </c:catAx>
      <c:valAx>
        <c:axId val="-8946475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946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808005856"/>
        <c:axId val="-8080053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08005856"/>
        <c:axId val="-808005312"/>
      </c:lineChart>
      <c:catAx>
        <c:axId val="-808005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08005312"/>
        <c:crosses val="autoZero"/>
        <c:auto val="1"/>
        <c:lblAlgn val="ctr"/>
        <c:lblOffset val="100"/>
        <c:noMultiLvlLbl val="0"/>
      </c:catAx>
      <c:valAx>
        <c:axId val="-8080053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080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08004768"/>
        <c:axId val="-808004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08004768"/>
        <c:axId val="-808004224"/>
      </c:lineChart>
      <c:catAx>
        <c:axId val="-808004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08004224"/>
        <c:crosses val="autoZero"/>
        <c:auto val="1"/>
        <c:lblAlgn val="ctr"/>
        <c:lblOffset val="100"/>
        <c:noMultiLvlLbl val="0"/>
      </c:catAx>
      <c:valAx>
        <c:axId val="-8080042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0800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808003136"/>
        <c:axId val="-8080020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08003136"/>
        <c:axId val="-808002048"/>
      </c:lineChart>
      <c:catAx>
        <c:axId val="-808003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08002048"/>
        <c:crosses val="autoZero"/>
        <c:auto val="1"/>
        <c:lblAlgn val="ctr"/>
        <c:lblOffset val="100"/>
        <c:noMultiLvlLbl val="0"/>
      </c:catAx>
      <c:valAx>
        <c:axId val="-8080020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0800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808734896"/>
        <c:axId val="-8087376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08734896"/>
        <c:axId val="-808737616"/>
      </c:lineChart>
      <c:catAx>
        <c:axId val="-808734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08737616"/>
        <c:crosses val="autoZero"/>
        <c:auto val="1"/>
        <c:lblAlgn val="ctr"/>
        <c:lblOffset val="100"/>
        <c:noMultiLvlLbl val="0"/>
      </c:catAx>
      <c:valAx>
        <c:axId val="-8087376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80873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799907952"/>
        <c:axId val="-890381216"/>
      </c:barChart>
      <c:catAx>
        <c:axId val="-799907952"/>
        <c:scaling>
          <c:orientation val="minMax"/>
        </c:scaling>
        <c:delete val="1"/>
        <c:axPos val="l"/>
        <c:majorTickMark val="none"/>
        <c:minorTickMark val="none"/>
        <c:tickLblPos val="nextTo"/>
        <c:crossAx val="-890381216"/>
        <c:crosses val="autoZero"/>
        <c:auto val="1"/>
        <c:lblAlgn val="ctr"/>
        <c:lblOffset val="100"/>
        <c:noMultiLvlLbl val="0"/>
      </c:catAx>
      <c:valAx>
        <c:axId val="-8903812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79990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35" name="Button 71" hidden="1">
              <a:extLst>
                <a:ext uri="{63B3BB69-23CF-44E3-9099-C40C66FF867C}">
                  <a14:compatExt spid="_x0000_s267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8316575"/>
          <a:ext cx="11169650" cy="4953000"/>
          <a:chOff x="1524000" y="18411825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6633150"/>
          <a:ext cx="11169650" cy="4953000"/>
          <a:chOff x="1524000" y="3672840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5723750"/>
          <a:ext cx="11169650" cy="4953000"/>
          <a:chOff x="1524000" y="771048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3718975"/>
          <a:ext cx="11169650" cy="4953000"/>
          <a:chOff x="1524000" y="115481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2035550"/>
          <a:ext cx="11169650" cy="4953000"/>
          <a:chOff x="1524000" y="133797675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0590250"/>
          <a:ext cx="11169650" cy="4953000"/>
          <a:chOff x="1524000" y="15278100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0.198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0.198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Interior</a:t>
          </a:r>
        </a:p>
      </cdr:txBody>
    </cdr:sp>
  </cdr:relSizeAnchor>
  <cdr:relSizeAnchor xmlns:cdr="http://schemas.openxmlformats.org/drawingml/2006/chartDrawing">
    <cdr:from>
      <cdr:x>0.218</cdr:x>
      <cdr:y>0.8984</cdr:y>
    </cdr:from>
    <cdr:to>
      <cdr:x>0.518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384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0.218</cdr:x>
      <cdr:y>0.94968</cdr:y>
    </cdr:from>
    <cdr:to>
      <cdr:x>0.518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384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0.37575</cdr:x>
      <cdr:y>0.34071</cdr:y>
    </cdr:from>
    <cdr:to>
      <cdr:x>0.54575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386012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0" t="s">
        <v>6</v>
      </c>
      <c r="G2" s="170"/>
      <c r="H2" s="170"/>
      <c r="J2" s="170" t="s">
        <v>7</v>
      </c>
      <c r="K2" s="170"/>
      <c r="L2" s="17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191</v>
      </c>
      <c r="J4" s="9" t="s">
        <v>143</v>
      </c>
      <c r="K4" s="30" t="s">
        <v>8</v>
      </c>
      <c r="L4" s="30" t="s">
        <v>191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325</v>
      </c>
      <c r="G6" s="31" t="s">
        <v>8</v>
      </c>
      <c r="H6" s="31" t="s">
        <v>96</v>
      </c>
      <c r="J6" s="5" t="s">
        <v>9</v>
      </c>
      <c r="K6" s="31" t="s">
        <v>8</v>
      </c>
      <c r="L6" s="31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79" t="s">
        <v>192</v>
      </c>
      <c r="B1" s="179"/>
      <c r="C1" s="35"/>
      <c r="D1" s="186" t="s">
        <v>144</v>
      </c>
      <c r="E1" s="187"/>
      <c r="F1" s="187"/>
      <c r="G1" s="187"/>
      <c r="H1" s="187"/>
      <c r="I1" s="187"/>
      <c r="J1" s="187"/>
      <c r="K1" s="48"/>
      <c r="L1" s="186" t="s">
        <v>27</v>
      </c>
      <c r="M1" s="187"/>
      <c r="N1" s="187"/>
      <c r="O1" s="187"/>
      <c r="P1" s="188"/>
      <c r="Q1" s="48"/>
      <c r="R1" s="186" t="s">
        <v>28</v>
      </c>
      <c r="S1" s="188"/>
      <c r="T1" s="48"/>
      <c r="U1" s="186" t="s">
        <v>114</v>
      </c>
      <c r="V1" s="187"/>
      <c r="W1" s="187"/>
      <c r="X1" s="187"/>
      <c r="Y1" s="188"/>
      <c r="Z1" s="48"/>
      <c r="AA1" s="186" t="s">
        <v>193</v>
      </c>
      <c r="AB1" s="187"/>
      <c r="AC1" s="187"/>
      <c r="AD1" s="187"/>
      <c r="AE1" s="187"/>
      <c r="AF1" s="187"/>
      <c r="AG1" s="187"/>
      <c r="AH1" s="187"/>
      <c r="AI1" s="187"/>
      <c r="AJ1" s="188"/>
      <c r="AK1" s="48"/>
      <c r="AL1" s="186" t="s">
        <v>115</v>
      </c>
      <c r="AM1" s="187"/>
      <c r="AN1" s="187"/>
      <c r="AO1" s="187"/>
      <c r="AP1" s="187"/>
      <c r="AQ1" s="188"/>
      <c r="AR1" s="48"/>
      <c r="AS1" s="186" t="s">
        <v>194</v>
      </c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8"/>
      <c r="BG1" s="48"/>
      <c r="BH1" s="186" t="s">
        <v>116</v>
      </c>
      <c r="BI1" s="187"/>
      <c r="BJ1" s="187"/>
      <c r="BK1" s="188"/>
      <c r="BL1" s="48"/>
      <c r="BM1" s="186" t="s">
        <v>97</v>
      </c>
      <c r="BN1" s="187"/>
      <c r="BO1" s="187"/>
      <c r="BP1" s="187"/>
      <c r="BQ1" s="188"/>
      <c r="BR1" s="48"/>
      <c r="BS1" s="186" t="s">
        <v>117</v>
      </c>
      <c r="BT1" s="187"/>
      <c r="BU1" s="187"/>
      <c r="BV1" s="188"/>
    </row>
    <row r="2" spans="1:74" ht="273.75" x14ac:dyDescent="0.25">
      <c r="A2" s="177" t="s">
        <v>195</v>
      </c>
      <c r="B2" s="177"/>
      <c r="C2" s="178"/>
      <c r="D2" s="36">
        <v>2016</v>
      </c>
      <c r="E2" s="36">
        <v>2015</v>
      </c>
      <c r="F2" s="36" t="s">
        <v>196</v>
      </c>
      <c r="G2" s="36" t="s">
        <v>197</v>
      </c>
      <c r="H2" s="36" t="s">
        <v>198</v>
      </c>
      <c r="I2" s="36" t="s">
        <v>199</v>
      </c>
      <c r="J2" s="36" t="s">
        <v>200</v>
      </c>
      <c r="K2" s="48"/>
      <c r="L2" s="36" t="s">
        <v>264</v>
      </c>
      <c r="M2" s="36" t="s">
        <v>265</v>
      </c>
      <c r="N2" s="36" t="s">
        <v>266</v>
      </c>
      <c r="O2" s="36" t="s">
        <v>267</v>
      </c>
      <c r="P2" s="36" t="s">
        <v>268</v>
      </c>
      <c r="Q2" s="48"/>
      <c r="R2" s="36" t="s">
        <v>269</v>
      </c>
      <c r="S2" s="36" t="s">
        <v>270</v>
      </c>
      <c r="T2" s="48"/>
      <c r="U2" s="36" t="s">
        <v>271</v>
      </c>
      <c r="V2" s="36" t="s">
        <v>272</v>
      </c>
      <c r="W2" s="36" t="s">
        <v>273</v>
      </c>
      <c r="X2" s="36" t="s">
        <v>274</v>
      </c>
      <c r="Y2" s="36" t="s">
        <v>275</v>
      </c>
      <c r="Z2" s="48"/>
      <c r="AA2" s="49" t="s">
        <v>276</v>
      </c>
      <c r="AB2" s="49" t="s">
        <v>277</v>
      </c>
      <c r="AC2" s="49" t="s">
        <v>278</v>
      </c>
      <c r="AD2" s="49" t="s">
        <v>279</v>
      </c>
      <c r="AE2" s="49" t="s">
        <v>280</v>
      </c>
      <c r="AF2" s="49" t="s">
        <v>281</v>
      </c>
      <c r="AG2" s="49" t="s">
        <v>282</v>
      </c>
      <c r="AH2" s="49" t="s">
        <v>283</v>
      </c>
      <c r="AI2" s="49" t="s">
        <v>284</v>
      </c>
      <c r="AJ2" s="49" t="s">
        <v>285</v>
      </c>
      <c r="AK2" s="48"/>
      <c r="AL2" s="36" t="s">
        <v>286</v>
      </c>
      <c r="AM2" s="36" t="s">
        <v>287</v>
      </c>
      <c r="AN2" s="36" t="s">
        <v>288</v>
      </c>
      <c r="AO2" s="36" t="s">
        <v>289</v>
      </c>
      <c r="AP2" s="36" t="s">
        <v>290</v>
      </c>
      <c r="AQ2" s="36" t="s">
        <v>291</v>
      </c>
      <c r="AR2" s="48"/>
      <c r="AS2" s="36" t="s">
        <v>292</v>
      </c>
      <c r="AT2" s="36" t="s">
        <v>293</v>
      </c>
      <c r="AU2" s="36" t="s">
        <v>294</v>
      </c>
      <c r="AV2" s="36" t="s">
        <v>295</v>
      </c>
      <c r="AW2" s="36" t="s">
        <v>296</v>
      </c>
      <c r="AX2" s="36" t="s">
        <v>297</v>
      </c>
      <c r="AY2" s="36" t="s">
        <v>298</v>
      </c>
      <c r="AZ2" s="36" t="s">
        <v>299</v>
      </c>
      <c r="BA2" s="36" t="s">
        <v>300</v>
      </c>
      <c r="BB2" s="36" t="s">
        <v>301</v>
      </c>
      <c r="BC2" s="36" t="s">
        <v>302</v>
      </c>
      <c r="BD2" s="36" t="s">
        <v>303</v>
      </c>
      <c r="BE2" s="36" t="s">
        <v>304</v>
      </c>
      <c r="BF2" s="36" t="s">
        <v>305</v>
      </c>
      <c r="BG2" s="48"/>
      <c r="BH2" s="36" t="s">
        <v>306</v>
      </c>
      <c r="BI2" s="36" t="s">
        <v>307</v>
      </c>
      <c r="BJ2" s="36" t="s">
        <v>308</v>
      </c>
      <c r="BK2" s="36" t="s">
        <v>309</v>
      </c>
      <c r="BL2" s="48"/>
      <c r="BM2" s="36" t="s">
        <v>310</v>
      </c>
      <c r="BN2" s="36" t="s">
        <v>311</v>
      </c>
      <c r="BO2" s="36" t="s">
        <v>312</v>
      </c>
      <c r="BP2" s="36" t="s">
        <v>313</v>
      </c>
      <c r="BQ2" s="36" t="s">
        <v>314</v>
      </c>
      <c r="BR2" s="48"/>
      <c r="BS2" s="36" t="s">
        <v>315</v>
      </c>
      <c r="BT2" s="36" t="s">
        <v>307</v>
      </c>
      <c r="BU2" s="36" t="s">
        <v>308</v>
      </c>
      <c r="BV2" s="36" t="s">
        <v>309</v>
      </c>
    </row>
    <row r="3" spans="1:74" x14ac:dyDescent="0.25">
      <c r="A3" s="37"/>
      <c r="B3" s="37"/>
      <c r="C3" s="38" t="s">
        <v>145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185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186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146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146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146</v>
      </c>
      <c r="BT5" s="55" t="s">
        <v>146</v>
      </c>
      <c r="BU5" s="55" t="s">
        <v>146</v>
      </c>
      <c r="BV5" s="55" t="s">
        <v>146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80" t="s">
        <v>147</v>
      </c>
      <c r="B7" s="181"/>
      <c r="C7" s="182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148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83" t="s">
        <v>149</v>
      </c>
      <c r="B8" s="184"/>
      <c r="C8" s="185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148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89" t="s">
        <v>150</v>
      </c>
      <c r="B9" s="190"/>
      <c r="C9" s="191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148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71" t="s">
        <v>151</v>
      </c>
      <c r="B10" s="172"/>
      <c r="C10" s="173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148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74" t="s">
        <v>152</v>
      </c>
      <c r="B11" s="175"/>
      <c r="C11" s="176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148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187</v>
      </c>
      <c r="B12" s="41">
        <v>58</v>
      </c>
      <c r="C12" s="42" t="s">
        <v>153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148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98" t="s">
        <v>154</v>
      </c>
      <c r="B13" s="199"/>
      <c r="C13" s="200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188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148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148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148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148</v>
      </c>
      <c r="BT14" s="62" t="s">
        <v>148</v>
      </c>
      <c r="BU14" s="62" t="s">
        <v>148</v>
      </c>
      <c r="BV14" s="62" t="s">
        <v>148</v>
      </c>
    </row>
    <row r="16" spans="1:74" x14ac:dyDescent="0.25">
      <c r="A16" s="37"/>
      <c r="B16" s="37"/>
      <c r="C16" s="38" t="s">
        <v>189</v>
      </c>
      <c r="D16" s="39"/>
      <c r="E16" s="39"/>
      <c r="F16" s="39"/>
      <c r="G16" s="39"/>
      <c r="H16" s="39"/>
      <c r="I16" s="39"/>
      <c r="J16" s="39"/>
      <c r="K16" s="48"/>
      <c r="L16" s="192">
        <f>+SUM(L3:P3)</f>
        <v>4698</v>
      </c>
      <c r="M16" s="193"/>
      <c r="N16" s="193"/>
      <c r="O16" s="193"/>
      <c r="P16" s="194"/>
      <c r="Q16" s="48"/>
      <c r="R16" s="192">
        <f>+SUM(R3:S3)</f>
        <v>4667</v>
      </c>
      <c r="S16" s="194"/>
      <c r="T16" s="48"/>
      <c r="U16" s="192">
        <f>+SUM(U3:Y3)</f>
        <v>4690</v>
      </c>
      <c r="V16" s="193"/>
      <c r="W16" s="193"/>
      <c r="X16" s="193"/>
      <c r="Y16" s="194"/>
      <c r="Z16" s="48"/>
      <c r="AA16" s="192">
        <f>+SUM(AA3:AJ3)</f>
        <v>4649</v>
      </c>
      <c r="AB16" s="193"/>
      <c r="AC16" s="193"/>
      <c r="AD16" s="193"/>
      <c r="AE16" s="193"/>
      <c r="AF16" s="193"/>
      <c r="AG16" s="193"/>
      <c r="AH16" s="193"/>
      <c r="AI16" s="193"/>
      <c r="AJ16" s="194"/>
      <c r="AK16" s="48"/>
      <c r="AL16" s="192">
        <f>+SUM(AL3:AQ3)</f>
        <v>4670</v>
      </c>
      <c r="AM16" s="193"/>
      <c r="AN16" s="193"/>
      <c r="AO16" s="193"/>
      <c r="AP16" s="193"/>
      <c r="AQ16" s="194"/>
      <c r="AR16" s="48"/>
      <c r="AS16" s="192">
        <f>+SUM(AS3:BF3)</f>
        <v>4886</v>
      </c>
      <c r="AT16" s="193"/>
      <c r="AU16" s="193"/>
      <c r="AV16" s="193"/>
      <c r="AW16" s="193"/>
      <c r="AX16" s="193"/>
      <c r="AY16" s="193"/>
      <c r="AZ16" s="193"/>
      <c r="BA16" s="193"/>
      <c r="BB16" s="193"/>
      <c r="BC16" s="193"/>
      <c r="BD16" s="193"/>
      <c r="BE16" s="193"/>
      <c r="BF16" s="194"/>
      <c r="BG16" s="48"/>
      <c r="BH16" s="192">
        <f>+SUM(BH3:BK3)</f>
        <v>4149</v>
      </c>
      <c r="BI16" s="193"/>
      <c r="BJ16" s="193"/>
      <c r="BK16" s="194"/>
      <c r="BL16" s="48"/>
      <c r="BM16" s="192">
        <f>+SUM(BM3:BQ3)</f>
        <v>3932</v>
      </c>
      <c r="BN16" s="193"/>
      <c r="BO16" s="193"/>
      <c r="BP16" s="193"/>
      <c r="BQ16" s="194"/>
      <c r="BR16" s="48"/>
      <c r="BS16" s="192">
        <f>+SUM(BS3:BV3)</f>
        <v>1839</v>
      </c>
      <c r="BT16" s="193"/>
      <c r="BU16" s="193"/>
      <c r="BV16" s="194"/>
    </row>
    <row r="17" spans="1:74" x14ac:dyDescent="0.25">
      <c r="A17" s="50"/>
      <c r="B17" s="50"/>
      <c r="C17" s="51" t="s">
        <v>190</v>
      </c>
      <c r="D17" s="70"/>
      <c r="E17" s="70"/>
      <c r="F17" s="70"/>
      <c r="G17" s="70"/>
      <c r="H17" s="70"/>
      <c r="I17" s="70"/>
      <c r="J17" s="70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 t="shared" ref="AA17:AJ17" si="0">+AA3/$L$16*100</f>
        <v>1.5751383567475523</v>
      </c>
      <c r="AB17" s="67">
        <f t="shared" si="0"/>
        <v>2.9587058322690507</v>
      </c>
      <c r="AC17" s="67">
        <f t="shared" si="0"/>
        <v>20.838654746700726</v>
      </c>
      <c r="AD17" s="67">
        <f t="shared" si="0"/>
        <v>16.900808854831844</v>
      </c>
      <c r="AE17" s="67">
        <f t="shared" si="0"/>
        <v>8.2162622392507441</v>
      </c>
      <c r="AF17" s="67">
        <f t="shared" si="0"/>
        <v>9.0676883780332069</v>
      </c>
      <c r="AG17" s="67">
        <f t="shared" si="0"/>
        <v>11.409110259684972</v>
      </c>
      <c r="AH17" s="67">
        <f t="shared" si="0"/>
        <v>18.667518092805448</v>
      </c>
      <c r="AI17" s="67">
        <f t="shared" si="0"/>
        <v>8.4291187739463602</v>
      </c>
      <c r="AJ17" s="67">
        <f t="shared" si="0"/>
        <v>0.89399744572158357</v>
      </c>
      <c r="AK17" s="48"/>
      <c r="AL17" s="67">
        <f t="shared" ref="AL17:AQ17" si="1">+AL3/$L$16*100</f>
        <v>9.0464027245636451</v>
      </c>
      <c r="AM17" s="67">
        <f t="shared" si="1"/>
        <v>23.946360153256705</v>
      </c>
      <c r="AN17" s="67">
        <f t="shared" si="1"/>
        <v>25.500212856534691</v>
      </c>
      <c r="AO17" s="67">
        <f t="shared" si="1"/>
        <v>8.7696892294593454</v>
      </c>
      <c r="AP17" s="67">
        <f t="shared" si="1"/>
        <v>16.836951894423159</v>
      </c>
      <c r="AQ17" s="67">
        <f t="shared" si="1"/>
        <v>15.304384844614729</v>
      </c>
      <c r="AR17" s="48"/>
      <c r="AS17" s="67">
        <f t="shared" ref="AS17:BF17" si="2">+AS3/$L$16*100</f>
        <v>0.17028522775649213</v>
      </c>
      <c r="AT17" s="67">
        <f t="shared" si="2"/>
        <v>0.29799914857386123</v>
      </c>
      <c r="AU17" s="67">
        <f t="shared" si="2"/>
        <v>0.87271179225202211</v>
      </c>
      <c r="AV17" s="67">
        <f t="shared" si="2"/>
        <v>4.235845040442741</v>
      </c>
      <c r="AW17" s="67">
        <f t="shared" si="2"/>
        <v>55.598126862494681</v>
      </c>
      <c r="AX17" s="67">
        <f t="shared" si="2"/>
        <v>2.0221370796083442</v>
      </c>
      <c r="AY17" s="67">
        <f t="shared" si="2"/>
        <v>0.44699872286079179</v>
      </c>
      <c r="AZ17" s="67">
        <f t="shared" si="2"/>
        <v>3.6185610898254574</v>
      </c>
      <c r="BA17" s="67">
        <f t="shared" si="2"/>
        <v>2.1711366538952745</v>
      </c>
      <c r="BB17" s="67">
        <f t="shared" si="2"/>
        <v>1.277139208173691</v>
      </c>
      <c r="BC17" s="67">
        <f t="shared" si="2"/>
        <v>31.460195828011923</v>
      </c>
      <c r="BD17" s="67">
        <f t="shared" si="2"/>
        <v>1.5538527032779907</v>
      </c>
      <c r="BE17" s="67">
        <f t="shared" si="2"/>
        <v>6.3856960408684549E-2</v>
      </c>
      <c r="BF17" s="67">
        <f t="shared" si="2"/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201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3">+AS3/AS4*100</f>
        <v>88.888888888888886</v>
      </c>
      <c r="AT18" s="69">
        <f t="shared" si="3"/>
        <v>63.636363636363633</v>
      </c>
      <c r="AU18" s="69">
        <f t="shared" si="3"/>
        <v>95.348837209302332</v>
      </c>
      <c r="AV18" s="69">
        <f t="shared" si="3"/>
        <v>90.867579908675793</v>
      </c>
      <c r="AW18" s="69">
        <f t="shared" si="3"/>
        <v>93.620071684587813</v>
      </c>
      <c r="AX18" s="69">
        <f t="shared" si="3"/>
        <v>97.9381443298969</v>
      </c>
      <c r="AY18" s="69">
        <f t="shared" si="3"/>
        <v>100</v>
      </c>
      <c r="AZ18" s="69">
        <f t="shared" si="3"/>
        <v>94.97206703910615</v>
      </c>
      <c r="BA18" s="69">
        <f t="shared" si="3"/>
        <v>93.577981651376149</v>
      </c>
      <c r="BB18" s="69">
        <f t="shared" si="3"/>
        <v>96.774193548387103</v>
      </c>
      <c r="BC18" s="69">
        <f t="shared" si="3"/>
        <v>93.131695022054188</v>
      </c>
      <c r="BD18" s="69">
        <f t="shared" si="3"/>
        <v>94.805194805194802</v>
      </c>
      <c r="BE18" s="69">
        <f t="shared" si="3"/>
        <v>75</v>
      </c>
      <c r="BF18" s="69">
        <f t="shared" si="3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202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95">
        <f>+SUM(BM5:BQ5)</f>
        <v>4577</v>
      </c>
      <c r="BN19" s="196"/>
      <c r="BO19" s="196"/>
      <c r="BP19" s="196"/>
      <c r="BQ19" s="197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203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49" zoomScale="80" zoomScaleNormal="80" workbookViewId="0">
      <selection activeCell="N62" sqref="N62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39" t="s">
        <v>327</v>
      </c>
      <c r="B1" s="139" t="s">
        <v>328</v>
      </c>
      <c r="C1" s="139">
        <v>2016</v>
      </c>
      <c r="D1" s="139">
        <v>2016</v>
      </c>
      <c r="E1" s="139" t="s">
        <v>329</v>
      </c>
      <c r="F1" s="139" t="s">
        <v>330</v>
      </c>
      <c r="G1" s="139" t="s">
        <v>331</v>
      </c>
      <c r="H1" s="212" t="s">
        <v>328</v>
      </c>
      <c r="I1" s="212"/>
      <c r="J1" s="139" t="s">
        <v>332</v>
      </c>
      <c r="K1" s="139" t="s">
        <v>333</v>
      </c>
      <c r="L1" s="139">
        <v>2016</v>
      </c>
      <c r="M1" s="139">
        <v>2016</v>
      </c>
      <c r="N1" s="139" t="s">
        <v>329</v>
      </c>
      <c r="O1" s="40"/>
      <c r="P1" s="40"/>
      <c r="Q1" s="40"/>
      <c r="R1" s="140" t="s">
        <v>334</v>
      </c>
      <c r="S1" s="71" t="s">
        <v>335</v>
      </c>
      <c r="T1" s="72" t="s">
        <v>336</v>
      </c>
      <c r="U1" s="73" t="s">
        <v>337</v>
      </c>
      <c r="V1" s="74" t="s">
        <v>338</v>
      </c>
      <c r="W1" s="147" t="s">
        <v>339</v>
      </c>
      <c r="X1" s="75" t="s">
        <v>10</v>
      </c>
      <c r="Y1" s="75" t="s">
        <v>340</v>
      </c>
      <c r="Z1" s="75" t="s">
        <v>341</v>
      </c>
      <c r="AA1" s="40"/>
      <c r="AB1" s="76" t="s">
        <v>342</v>
      </c>
    </row>
    <row r="2" spans="1:28" ht="27" customHeight="1" thickBot="1" x14ac:dyDescent="0.3">
      <c r="A2" s="296" t="s">
        <v>343</v>
      </c>
      <c r="B2" s="264" t="s">
        <v>11</v>
      </c>
      <c r="C2" s="266">
        <v>86.53</v>
      </c>
      <c r="D2" s="266">
        <v>84.8</v>
      </c>
      <c r="E2" s="266">
        <v>77.650000000000006</v>
      </c>
      <c r="F2" s="267">
        <v>1.73</v>
      </c>
      <c r="G2" s="267">
        <v>8.8800000000000008</v>
      </c>
      <c r="H2" s="299" t="s">
        <v>11</v>
      </c>
      <c r="I2" s="301" t="s">
        <v>344</v>
      </c>
      <c r="J2" s="77">
        <v>1</v>
      </c>
      <c r="K2" s="78" t="s">
        <v>345</v>
      </c>
      <c r="L2" s="79">
        <v>85.48</v>
      </c>
      <c r="M2" s="79">
        <v>80.14</v>
      </c>
      <c r="N2" s="79">
        <v>71.930000000000007</v>
      </c>
      <c r="O2" s="148">
        <v>5.34</v>
      </c>
      <c r="P2" s="40"/>
      <c r="Q2" s="40"/>
      <c r="R2" s="149">
        <v>2016</v>
      </c>
      <c r="S2" s="149">
        <v>87.87</v>
      </c>
      <c r="T2" s="149">
        <v>90.01</v>
      </c>
      <c r="U2" s="149">
        <v>79.709999999999994</v>
      </c>
      <c r="V2" s="149">
        <v>88.39</v>
      </c>
      <c r="W2" s="149">
        <v>92.57</v>
      </c>
      <c r="X2" s="149">
        <v>86.07</v>
      </c>
      <c r="Y2" s="149">
        <v>87.57</v>
      </c>
      <c r="Z2" s="149">
        <v>89.36</v>
      </c>
      <c r="AA2" s="40"/>
      <c r="AB2" s="82" t="s">
        <v>346</v>
      </c>
    </row>
    <row r="3" spans="1:28" ht="27" customHeight="1" thickTop="1" thickBot="1" x14ac:dyDescent="0.3">
      <c r="A3" s="297"/>
      <c r="B3" s="265"/>
      <c r="C3" s="254"/>
      <c r="D3" s="254"/>
      <c r="E3" s="254"/>
      <c r="F3" s="257"/>
      <c r="G3" s="257"/>
      <c r="H3" s="294"/>
      <c r="I3" s="246"/>
      <c r="J3" s="77">
        <v>2</v>
      </c>
      <c r="K3" s="78" t="s">
        <v>347</v>
      </c>
      <c r="L3" s="79">
        <v>84.05</v>
      </c>
      <c r="M3" s="79">
        <v>80</v>
      </c>
      <c r="N3" s="79">
        <v>72.400000000000006</v>
      </c>
      <c r="O3" s="83">
        <v>4.05</v>
      </c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82" t="s">
        <v>145</v>
      </c>
    </row>
    <row r="4" spans="1:28" ht="27" customHeight="1" thickTop="1" thickBot="1" x14ac:dyDescent="0.3">
      <c r="A4" s="297"/>
      <c r="B4" s="265"/>
      <c r="C4" s="254"/>
      <c r="D4" s="254"/>
      <c r="E4" s="254"/>
      <c r="F4" s="257"/>
      <c r="G4" s="257"/>
      <c r="H4" s="294"/>
      <c r="I4" s="245" t="s">
        <v>348</v>
      </c>
      <c r="J4" s="77">
        <v>3</v>
      </c>
      <c r="K4" s="78" t="s">
        <v>349</v>
      </c>
      <c r="L4" s="80">
        <v>87.08</v>
      </c>
      <c r="M4" s="80">
        <v>88.28</v>
      </c>
      <c r="N4" s="79">
        <v>81.36</v>
      </c>
      <c r="O4" s="83">
        <v>-1.2</v>
      </c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82" t="s">
        <v>350</v>
      </c>
    </row>
    <row r="5" spans="1:28" ht="27" customHeight="1" thickTop="1" thickBot="1" x14ac:dyDescent="0.3">
      <c r="A5" s="297"/>
      <c r="B5" s="265"/>
      <c r="C5" s="255"/>
      <c r="D5" s="255"/>
      <c r="E5" s="255"/>
      <c r="F5" s="258"/>
      <c r="G5" s="258"/>
      <c r="H5" s="300"/>
      <c r="I5" s="246"/>
      <c r="J5" s="77">
        <v>4</v>
      </c>
      <c r="K5" s="78" t="s">
        <v>351</v>
      </c>
      <c r="L5" s="80">
        <v>89.51</v>
      </c>
      <c r="M5" s="80">
        <v>90.78</v>
      </c>
      <c r="N5" s="79">
        <v>84.9</v>
      </c>
      <c r="O5" s="83">
        <v>-1.27</v>
      </c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82" t="s">
        <v>352</v>
      </c>
    </row>
    <row r="6" spans="1:28" ht="27" customHeight="1" thickTop="1" thickBot="1" x14ac:dyDescent="0.3">
      <c r="A6" s="297"/>
      <c r="B6" s="265" t="s">
        <v>12</v>
      </c>
      <c r="C6" s="253">
        <v>85.75</v>
      </c>
      <c r="D6" s="253">
        <v>87.99</v>
      </c>
      <c r="E6" s="253">
        <v>79.209999999999994</v>
      </c>
      <c r="F6" s="256">
        <v>-2.2400000000000002</v>
      </c>
      <c r="G6" s="256">
        <v>6.54</v>
      </c>
      <c r="H6" s="293" t="s">
        <v>12</v>
      </c>
      <c r="I6" s="245" t="s">
        <v>353</v>
      </c>
      <c r="J6" s="77">
        <v>5</v>
      </c>
      <c r="K6" s="78" t="s">
        <v>354</v>
      </c>
      <c r="L6" s="80">
        <v>89.01</v>
      </c>
      <c r="M6" s="80">
        <v>87.14</v>
      </c>
      <c r="N6" s="79">
        <v>82.09</v>
      </c>
      <c r="O6" s="83">
        <v>1.87</v>
      </c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82" t="s">
        <v>355</v>
      </c>
    </row>
    <row r="7" spans="1:28" ht="27" customHeight="1" thickTop="1" thickBot="1" x14ac:dyDescent="0.3">
      <c r="A7" s="297"/>
      <c r="B7" s="265"/>
      <c r="C7" s="254"/>
      <c r="D7" s="254"/>
      <c r="E7" s="254"/>
      <c r="F7" s="257"/>
      <c r="G7" s="257"/>
      <c r="H7" s="294"/>
      <c r="I7" s="247"/>
      <c r="J7" s="77">
        <v>6</v>
      </c>
      <c r="K7" s="78" t="s">
        <v>356</v>
      </c>
      <c r="L7" s="79">
        <v>84.34</v>
      </c>
      <c r="M7" s="80">
        <v>92.91</v>
      </c>
      <c r="N7" s="79">
        <v>78.010000000000005</v>
      </c>
      <c r="O7" s="81">
        <v>-8.57</v>
      </c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82" t="s">
        <v>357</v>
      </c>
    </row>
    <row r="8" spans="1:28" ht="27" customHeight="1" thickTop="1" x14ac:dyDescent="0.25">
      <c r="A8" s="297"/>
      <c r="B8" s="265"/>
      <c r="C8" s="254"/>
      <c r="D8" s="254"/>
      <c r="E8" s="254"/>
      <c r="F8" s="257"/>
      <c r="G8" s="257"/>
      <c r="H8" s="294"/>
      <c r="I8" s="246"/>
      <c r="J8" s="77">
        <v>7</v>
      </c>
      <c r="K8" s="78" t="s">
        <v>358</v>
      </c>
      <c r="L8" s="79">
        <v>76.25</v>
      </c>
      <c r="M8" s="79">
        <v>82.01</v>
      </c>
      <c r="N8" s="79">
        <v>68.849999999999994</v>
      </c>
      <c r="O8" s="81">
        <v>-5.76</v>
      </c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ht="27" customHeight="1" x14ac:dyDescent="0.25">
      <c r="A9" s="297"/>
      <c r="B9" s="265"/>
      <c r="C9" s="254"/>
      <c r="D9" s="254"/>
      <c r="E9" s="254"/>
      <c r="F9" s="257"/>
      <c r="G9" s="257"/>
      <c r="H9" s="294"/>
      <c r="I9" s="245" t="s">
        <v>359</v>
      </c>
      <c r="J9" s="77">
        <v>8</v>
      </c>
      <c r="K9" s="78" t="s">
        <v>360</v>
      </c>
      <c r="L9" s="80">
        <v>87.18</v>
      </c>
      <c r="M9" s="80">
        <v>89.29</v>
      </c>
      <c r="N9" s="79">
        <v>82.88</v>
      </c>
      <c r="O9" s="83">
        <v>-2.11</v>
      </c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28" ht="27" customHeight="1" x14ac:dyDescent="0.25">
      <c r="A10" s="297"/>
      <c r="B10" s="265"/>
      <c r="C10" s="254"/>
      <c r="D10" s="254"/>
      <c r="E10" s="254"/>
      <c r="F10" s="257"/>
      <c r="G10" s="257"/>
      <c r="H10" s="294"/>
      <c r="I10" s="246"/>
      <c r="J10" s="77">
        <v>9</v>
      </c>
      <c r="K10" s="78" t="s">
        <v>361</v>
      </c>
      <c r="L10" s="80">
        <v>89.17</v>
      </c>
      <c r="M10" s="80">
        <v>95</v>
      </c>
      <c r="N10" s="80">
        <v>86.01</v>
      </c>
      <c r="O10" s="81">
        <v>-5.83</v>
      </c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</row>
    <row r="11" spans="1:28" ht="27" customHeight="1" x14ac:dyDescent="0.25">
      <c r="A11" s="297"/>
      <c r="B11" s="265"/>
      <c r="C11" s="255"/>
      <c r="D11" s="255"/>
      <c r="E11" s="255"/>
      <c r="F11" s="258"/>
      <c r="G11" s="258"/>
      <c r="H11" s="300"/>
      <c r="I11" s="142" t="s">
        <v>362</v>
      </c>
      <c r="J11" s="77">
        <v>10</v>
      </c>
      <c r="K11" s="78" t="s">
        <v>363</v>
      </c>
      <c r="L11" s="80">
        <v>88.56</v>
      </c>
      <c r="M11" s="79">
        <v>81.56</v>
      </c>
      <c r="N11" s="79">
        <v>77.41</v>
      </c>
      <c r="O11" s="148">
        <v>7</v>
      </c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</row>
    <row r="12" spans="1:28" ht="27" customHeight="1" x14ac:dyDescent="0.25">
      <c r="A12" s="297"/>
      <c r="B12" s="265" t="s">
        <v>13</v>
      </c>
      <c r="C12" s="253">
        <v>85.61</v>
      </c>
      <c r="D12" s="253">
        <v>90.77</v>
      </c>
      <c r="E12" s="253">
        <v>79.099999999999994</v>
      </c>
      <c r="F12" s="256">
        <v>-5.16</v>
      </c>
      <c r="G12" s="256">
        <v>6.51</v>
      </c>
      <c r="H12" s="293" t="s">
        <v>13</v>
      </c>
      <c r="I12" s="245" t="s">
        <v>364</v>
      </c>
      <c r="J12" s="77">
        <v>11</v>
      </c>
      <c r="K12" s="78" t="s">
        <v>365</v>
      </c>
      <c r="L12" s="79">
        <v>82.4</v>
      </c>
      <c r="M12" s="80">
        <v>90.07</v>
      </c>
      <c r="N12" s="79">
        <v>74.319999999999993</v>
      </c>
      <c r="O12" s="81">
        <v>-7.67</v>
      </c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ht="27" customHeight="1" x14ac:dyDescent="0.25">
      <c r="A13" s="297"/>
      <c r="B13" s="265"/>
      <c r="C13" s="254"/>
      <c r="D13" s="254"/>
      <c r="E13" s="254"/>
      <c r="F13" s="257"/>
      <c r="G13" s="257"/>
      <c r="H13" s="294"/>
      <c r="I13" s="247"/>
      <c r="J13" s="77">
        <v>12</v>
      </c>
      <c r="K13" s="78" t="s">
        <v>366</v>
      </c>
      <c r="L13" s="79">
        <v>82.42</v>
      </c>
      <c r="M13" s="80">
        <v>85.82</v>
      </c>
      <c r="N13" s="79">
        <v>74.2</v>
      </c>
      <c r="O13" s="83">
        <v>-3.4</v>
      </c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ht="27" customHeight="1" x14ac:dyDescent="0.25">
      <c r="A14" s="297"/>
      <c r="B14" s="265"/>
      <c r="C14" s="254"/>
      <c r="D14" s="254"/>
      <c r="E14" s="254"/>
      <c r="F14" s="257"/>
      <c r="G14" s="257"/>
      <c r="H14" s="294"/>
      <c r="I14" s="246"/>
      <c r="J14" s="77">
        <v>13</v>
      </c>
      <c r="K14" s="78" t="s">
        <v>367</v>
      </c>
      <c r="L14" s="79">
        <v>85.31</v>
      </c>
      <c r="M14" s="80">
        <v>93.62</v>
      </c>
      <c r="N14" s="79">
        <v>81.02</v>
      </c>
      <c r="O14" s="81">
        <v>-8.31</v>
      </c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ht="27" customHeight="1" thickBot="1" x14ac:dyDescent="0.3">
      <c r="A15" s="298"/>
      <c r="B15" s="274"/>
      <c r="C15" s="275"/>
      <c r="D15" s="275"/>
      <c r="E15" s="275"/>
      <c r="F15" s="276"/>
      <c r="G15" s="276"/>
      <c r="H15" s="295"/>
      <c r="I15" s="142" t="s">
        <v>368</v>
      </c>
      <c r="J15" s="77">
        <v>14</v>
      </c>
      <c r="K15" s="78" t="s">
        <v>369</v>
      </c>
      <c r="L15" s="80">
        <v>92.33</v>
      </c>
      <c r="M15" s="80">
        <v>93.57</v>
      </c>
      <c r="N15" s="80">
        <v>86.87</v>
      </c>
      <c r="O15" s="83">
        <v>-1.24</v>
      </c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ht="37.5" customHeight="1" thickBot="1" x14ac:dyDescent="0.3">
      <c r="A16" s="139" t="s">
        <v>327</v>
      </c>
      <c r="B16" s="139" t="s">
        <v>328</v>
      </c>
      <c r="C16" s="139">
        <v>2016</v>
      </c>
      <c r="D16" s="139">
        <v>2016</v>
      </c>
      <c r="E16" s="139" t="s">
        <v>329</v>
      </c>
      <c r="F16" s="139" t="s">
        <v>330</v>
      </c>
      <c r="G16" s="139" t="s">
        <v>331</v>
      </c>
      <c r="H16" s="212" t="s">
        <v>328</v>
      </c>
      <c r="I16" s="212"/>
      <c r="J16" s="139" t="s">
        <v>332</v>
      </c>
      <c r="K16" s="139" t="s">
        <v>333</v>
      </c>
      <c r="L16" s="139">
        <v>2016</v>
      </c>
      <c r="M16" s="139">
        <v>2016</v>
      </c>
      <c r="N16" s="139" t="s">
        <v>329</v>
      </c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1:28" ht="27" customHeight="1" x14ac:dyDescent="0.25">
      <c r="A17" s="289" t="s">
        <v>370</v>
      </c>
      <c r="B17" s="264" t="s">
        <v>14</v>
      </c>
      <c r="C17" s="266">
        <v>82.03</v>
      </c>
      <c r="D17" s="266">
        <v>90.97</v>
      </c>
      <c r="E17" s="266">
        <v>76.66</v>
      </c>
      <c r="F17" s="267">
        <v>-8.94</v>
      </c>
      <c r="G17" s="267">
        <v>5.37</v>
      </c>
      <c r="H17" s="292" t="s">
        <v>14</v>
      </c>
      <c r="I17" s="248" t="s">
        <v>371</v>
      </c>
      <c r="J17" s="77">
        <v>15</v>
      </c>
      <c r="K17" s="78" t="s">
        <v>372</v>
      </c>
      <c r="L17" s="79">
        <v>79.709999999999994</v>
      </c>
      <c r="M17" s="80">
        <v>93.1</v>
      </c>
      <c r="N17" s="79">
        <v>73.25</v>
      </c>
      <c r="O17" s="81">
        <v>-13.39</v>
      </c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</row>
    <row r="18" spans="1:28" ht="27" customHeight="1" x14ac:dyDescent="0.25">
      <c r="A18" s="290"/>
      <c r="B18" s="265"/>
      <c r="C18" s="254"/>
      <c r="D18" s="254"/>
      <c r="E18" s="254"/>
      <c r="F18" s="257"/>
      <c r="G18" s="257"/>
      <c r="H18" s="287"/>
      <c r="I18" s="249"/>
      <c r="J18" s="77">
        <v>16</v>
      </c>
      <c r="K18" s="78" t="s">
        <v>373</v>
      </c>
      <c r="L18" s="79">
        <v>83.11</v>
      </c>
      <c r="M18" s="80">
        <v>96.55</v>
      </c>
      <c r="N18" s="79">
        <v>82.08</v>
      </c>
      <c r="O18" s="81">
        <v>-13.44</v>
      </c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</row>
    <row r="19" spans="1:28" ht="27" customHeight="1" x14ac:dyDescent="0.25">
      <c r="A19" s="290"/>
      <c r="B19" s="265"/>
      <c r="C19" s="254"/>
      <c r="D19" s="254"/>
      <c r="E19" s="254"/>
      <c r="F19" s="257"/>
      <c r="G19" s="257"/>
      <c r="H19" s="287"/>
      <c r="I19" s="250" t="s">
        <v>374</v>
      </c>
      <c r="J19" s="77">
        <v>17</v>
      </c>
      <c r="K19" s="78" t="s">
        <v>375</v>
      </c>
      <c r="L19" s="79">
        <v>79.77</v>
      </c>
      <c r="M19" s="79">
        <v>83.45</v>
      </c>
      <c r="N19" s="79">
        <v>70.37</v>
      </c>
      <c r="O19" s="83">
        <v>-3.68</v>
      </c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</row>
    <row r="20" spans="1:28" ht="27" customHeight="1" x14ac:dyDescent="0.25">
      <c r="A20" s="290"/>
      <c r="B20" s="265"/>
      <c r="C20" s="255"/>
      <c r="D20" s="255"/>
      <c r="E20" s="255"/>
      <c r="F20" s="258"/>
      <c r="G20" s="258"/>
      <c r="H20" s="281"/>
      <c r="I20" s="249"/>
      <c r="J20" s="77">
        <v>18</v>
      </c>
      <c r="K20" s="78" t="s">
        <v>376</v>
      </c>
      <c r="L20" s="80">
        <v>85.53</v>
      </c>
      <c r="M20" s="80">
        <v>90.78</v>
      </c>
      <c r="N20" s="79">
        <v>80.94</v>
      </c>
      <c r="O20" s="81">
        <v>-5.25</v>
      </c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</row>
    <row r="21" spans="1:28" ht="27" customHeight="1" x14ac:dyDescent="0.25">
      <c r="A21" s="290"/>
      <c r="B21" s="265" t="s">
        <v>15</v>
      </c>
      <c r="C21" s="253">
        <v>81.34</v>
      </c>
      <c r="D21" s="253">
        <v>83.97</v>
      </c>
      <c r="E21" s="253">
        <v>73.13</v>
      </c>
      <c r="F21" s="256">
        <v>-2.63</v>
      </c>
      <c r="G21" s="256">
        <v>8.2100000000000009</v>
      </c>
      <c r="H21" s="280" t="s">
        <v>15</v>
      </c>
      <c r="I21" s="250" t="s">
        <v>377</v>
      </c>
      <c r="J21" s="77">
        <v>19</v>
      </c>
      <c r="K21" s="78" t="s">
        <v>378</v>
      </c>
      <c r="L21" s="79">
        <v>83.52</v>
      </c>
      <c r="M21" s="80">
        <v>87.23</v>
      </c>
      <c r="N21" s="79">
        <v>76.94</v>
      </c>
      <c r="O21" s="83">
        <v>-3.71</v>
      </c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</row>
    <row r="22" spans="1:28" ht="27" customHeight="1" x14ac:dyDescent="0.25">
      <c r="A22" s="290"/>
      <c r="B22" s="265"/>
      <c r="C22" s="255"/>
      <c r="D22" s="255"/>
      <c r="E22" s="255"/>
      <c r="F22" s="258"/>
      <c r="G22" s="258"/>
      <c r="H22" s="281"/>
      <c r="I22" s="249"/>
      <c r="J22" s="77">
        <v>20</v>
      </c>
      <c r="K22" s="78" t="s">
        <v>379</v>
      </c>
      <c r="L22" s="79">
        <v>79.17</v>
      </c>
      <c r="M22" s="79">
        <v>80.709999999999994</v>
      </c>
      <c r="N22" s="79">
        <v>69.31</v>
      </c>
      <c r="O22" s="83">
        <v>-1.54</v>
      </c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</row>
    <row r="23" spans="1:28" ht="27" customHeight="1" x14ac:dyDescent="0.25">
      <c r="A23" s="290"/>
      <c r="B23" s="265" t="s">
        <v>16</v>
      </c>
      <c r="C23" s="253">
        <v>81.349999999999994</v>
      </c>
      <c r="D23" s="253">
        <v>91.19</v>
      </c>
      <c r="E23" s="253">
        <v>79.02</v>
      </c>
      <c r="F23" s="256">
        <v>-9.84</v>
      </c>
      <c r="G23" s="256">
        <v>2.33</v>
      </c>
      <c r="H23" s="280" t="s">
        <v>16</v>
      </c>
      <c r="I23" s="250" t="s">
        <v>380</v>
      </c>
      <c r="J23" s="77">
        <v>21</v>
      </c>
      <c r="K23" s="78" t="s">
        <v>381</v>
      </c>
      <c r="L23" s="80">
        <v>91.17</v>
      </c>
      <c r="M23" s="80">
        <v>97.93</v>
      </c>
      <c r="N23" s="80">
        <v>89.53</v>
      </c>
      <c r="O23" s="81">
        <v>-6.76</v>
      </c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</row>
    <row r="24" spans="1:28" ht="27" customHeight="1" x14ac:dyDescent="0.25">
      <c r="A24" s="290"/>
      <c r="B24" s="265"/>
      <c r="C24" s="254"/>
      <c r="D24" s="254"/>
      <c r="E24" s="254"/>
      <c r="F24" s="257"/>
      <c r="G24" s="257"/>
      <c r="H24" s="287"/>
      <c r="I24" s="251"/>
      <c r="J24" s="77">
        <v>22</v>
      </c>
      <c r="K24" s="78" t="s">
        <v>382</v>
      </c>
      <c r="L24" s="79">
        <v>69.52</v>
      </c>
      <c r="M24" s="80">
        <v>92.14</v>
      </c>
      <c r="N24" s="79">
        <v>76.599999999999994</v>
      </c>
      <c r="O24" s="81">
        <v>-22.62</v>
      </c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</row>
    <row r="25" spans="1:28" ht="27" customHeight="1" x14ac:dyDescent="0.25">
      <c r="A25" s="290"/>
      <c r="B25" s="265"/>
      <c r="C25" s="254"/>
      <c r="D25" s="254"/>
      <c r="E25" s="254"/>
      <c r="F25" s="257"/>
      <c r="G25" s="257"/>
      <c r="H25" s="287"/>
      <c r="I25" s="249"/>
      <c r="J25" s="77">
        <v>23</v>
      </c>
      <c r="K25" s="78" t="s">
        <v>383</v>
      </c>
      <c r="L25" s="79">
        <v>80.98</v>
      </c>
      <c r="M25" s="80">
        <v>97.87</v>
      </c>
      <c r="N25" s="79">
        <v>80.63</v>
      </c>
      <c r="O25" s="81">
        <v>-16.89</v>
      </c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</row>
    <row r="26" spans="1:28" ht="27" customHeight="1" x14ac:dyDescent="0.25">
      <c r="A26" s="290"/>
      <c r="B26" s="265"/>
      <c r="C26" s="254"/>
      <c r="D26" s="254"/>
      <c r="E26" s="254"/>
      <c r="F26" s="257"/>
      <c r="G26" s="257"/>
      <c r="H26" s="287"/>
      <c r="I26" s="250" t="s">
        <v>384</v>
      </c>
      <c r="J26" s="77">
        <v>24</v>
      </c>
      <c r="K26" s="78" t="s">
        <v>385</v>
      </c>
      <c r="L26" s="79">
        <v>84.76</v>
      </c>
      <c r="M26" s="80">
        <v>90.78</v>
      </c>
      <c r="N26" s="79">
        <v>84.95</v>
      </c>
      <c r="O26" s="81">
        <v>-6.02</v>
      </c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</row>
    <row r="27" spans="1:28" ht="27" customHeight="1" x14ac:dyDescent="0.25">
      <c r="A27" s="290"/>
      <c r="B27" s="265"/>
      <c r="C27" s="254"/>
      <c r="D27" s="254"/>
      <c r="E27" s="254"/>
      <c r="F27" s="257"/>
      <c r="G27" s="257"/>
      <c r="H27" s="287"/>
      <c r="I27" s="251"/>
      <c r="J27" s="77">
        <v>25</v>
      </c>
      <c r="K27" s="78" t="s">
        <v>386</v>
      </c>
      <c r="L27" s="79">
        <v>75.88</v>
      </c>
      <c r="M27" s="79">
        <v>78.010000000000005</v>
      </c>
      <c r="N27" s="79">
        <v>70.97</v>
      </c>
      <c r="O27" s="83">
        <v>-2.13</v>
      </c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</row>
    <row r="28" spans="1:28" ht="27" customHeight="1" x14ac:dyDescent="0.25">
      <c r="A28" s="290"/>
      <c r="B28" s="265"/>
      <c r="C28" s="254"/>
      <c r="D28" s="254"/>
      <c r="E28" s="254"/>
      <c r="F28" s="257"/>
      <c r="G28" s="257"/>
      <c r="H28" s="287"/>
      <c r="I28" s="251"/>
      <c r="J28" s="77">
        <v>26</v>
      </c>
      <c r="K28" s="78" t="s">
        <v>387</v>
      </c>
      <c r="L28" s="79">
        <v>85.43</v>
      </c>
      <c r="M28" s="80">
        <v>87.23</v>
      </c>
      <c r="N28" s="79">
        <v>78.45</v>
      </c>
      <c r="O28" s="83">
        <v>-1.8</v>
      </c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ht="27" customHeight="1" thickBot="1" x14ac:dyDescent="0.3">
      <c r="A29" s="291"/>
      <c r="B29" s="274"/>
      <c r="C29" s="275"/>
      <c r="D29" s="275"/>
      <c r="E29" s="275"/>
      <c r="F29" s="276"/>
      <c r="G29" s="276"/>
      <c r="H29" s="288"/>
      <c r="I29" s="252"/>
      <c r="J29" s="77">
        <v>27</v>
      </c>
      <c r="K29" s="78" t="s">
        <v>388</v>
      </c>
      <c r="L29" s="79">
        <v>81.680000000000007</v>
      </c>
      <c r="M29" s="80">
        <v>94.33</v>
      </c>
      <c r="N29" s="79">
        <v>72.040000000000006</v>
      </c>
      <c r="O29" s="81">
        <v>-12.65</v>
      </c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ht="37.5" customHeight="1" thickBot="1" x14ac:dyDescent="0.3">
      <c r="A30" s="139" t="s">
        <v>327</v>
      </c>
      <c r="B30" s="139" t="s">
        <v>328</v>
      </c>
      <c r="C30" s="139">
        <v>2016</v>
      </c>
      <c r="D30" s="139">
        <v>2016</v>
      </c>
      <c r="E30" s="139" t="s">
        <v>329</v>
      </c>
      <c r="F30" s="139" t="s">
        <v>330</v>
      </c>
      <c r="G30" s="139" t="s">
        <v>331</v>
      </c>
      <c r="H30" s="212" t="s">
        <v>328</v>
      </c>
      <c r="I30" s="212"/>
      <c r="J30" s="139" t="s">
        <v>332</v>
      </c>
      <c r="K30" s="139" t="s">
        <v>333</v>
      </c>
      <c r="L30" s="139">
        <v>2016</v>
      </c>
      <c r="M30" s="139">
        <v>2016</v>
      </c>
      <c r="N30" s="139" t="s">
        <v>329</v>
      </c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ht="27" customHeight="1" x14ac:dyDescent="0.25">
      <c r="A31" s="282" t="s">
        <v>389</v>
      </c>
      <c r="B31" s="264" t="s">
        <v>17</v>
      </c>
      <c r="C31" s="266">
        <v>68.510000000000005</v>
      </c>
      <c r="D31" s="266">
        <v>66.22</v>
      </c>
      <c r="E31" s="266">
        <v>63.26</v>
      </c>
      <c r="F31" s="267">
        <v>2.29</v>
      </c>
      <c r="G31" s="267">
        <v>5.25</v>
      </c>
      <c r="H31" s="285" t="s">
        <v>17</v>
      </c>
      <c r="I31" s="226" t="s">
        <v>390</v>
      </c>
      <c r="J31" s="77">
        <v>28</v>
      </c>
      <c r="K31" s="78" t="s">
        <v>391</v>
      </c>
      <c r="L31" s="79">
        <v>63.94</v>
      </c>
      <c r="M31" s="85">
        <v>41.84</v>
      </c>
      <c r="N31" s="84">
        <v>51.79</v>
      </c>
      <c r="O31" s="148">
        <v>22.1</v>
      </c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ht="27" customHeight="1" x14ac:dyDescent="0.25">
      <c r="A32" s="283"/>
      <c r="B32" s="265"/>
      <c r="C32" s="254"/>
      <c r="D32" s="254"/>
      <c r="E32" s="254"/>
      <c r="F32" s="257"/>
      <c r="G32" s="257"/>
      <c r="H32" s="278"/>
      <c r="I32" s="227"/>
      <c r="J32" s="77">
        <v>29</v>
      </c>
      <c r="K32" s="78" t="s">
        <v>392</v>
      </c>
      <c r="L32" s="84">
        <v>45.85</v>
      </c>
      <c r="M32" s="85">
        <v>41.13</v>
      </c>
      <c r="N32" s="84">
        <v>44.68</v>
      </c>
      <c r="O32" s="83">
        <v>4.72</v>
      </c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</row>
    <row r="33" spans="1:28" ht="27" customHeight="1" x14ac:dyDescent="0.25">
      <c r="A33" s="283"/>
      <c r="B33" s="265"/>
      <c r="C33" s="254"/>
      <c r="D33" s="254"/>
      <c r="E33" s="254"/>
      <c r="F33" s="257"/>
      <c r="G33" s="257"/>
      <c r="H33" s="278"/>
      <c r="I33" s="228" t="s">
        <v>393</v>
      </c>
      <c r="J33" s="77">
        <v>30</v>
      </c>
      <c r="K33" s="78" t="s">
        <v>394</v>
      </c>
      <c r="L33" s="79">
        <v>72.17</v>
      </c>
      <c r="M33" s="80">
        <v>87.59</v>
      </c>
      <c r="N33" s="79">
        <v>65.959999999999994</v>
      </c>
      <c r="O33" s="81">
        <v>-15.42</v>
      </c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</row>
    <row r="34" spans="1:28" ht="27" customHeight="1" x14ac:dyDescent="0.25">
      <c r="A34" s="283"/>
      <c r="B34" s="265"/>
      <c r="C34" s="255"/>
      <c r="D34" s="255"/>
      <c r="E34" s="255"/>
      <c r="F34" s="258"/>
      <c r="G34" s="258"/>
      <c r="H34" s="286"/>
      <c r="I34" s="227"/>
      <c r="J34" s="77">
        <v>31</v>
      </c>
      <c r="K34" s="78" t="s">
        <v>395</v>
      </c>
      <c r="L34" s="80">
        <v>92.08</v>
      </c>
      <c r="M34" s="80">
        <v>94.33</v>
      </c>
      <c r="N34" s="80">
        <v>90.62</v>
      </c>
      <c r="O34" s="83">
        <v>-2.25</v>
      </c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</row>
    <row r="35" spans="1:28" ht="27" customHeight="1" x14ac:dyDescent="0.25">
      <c r="A35" s="283"/>
      <c r="B35" s="265" t="s">
        <v>18</v>
      </c>
      <c r="C35" s="253">
        <v>67.98</v>
      </c>
      <c r="D35" s="253">
        <v>72.180000000000007</v>
      </c>
      <c r="E35" s="253">
        <v>64.150000000000006</v>
      </c>
      <c r="F35" s="256">
        <v>-4.2</v>
      </c>
      <c r="G35" s="256">
        <v>3.83</v>
      </c>
      <c r="H35" s="229" t="s">
        <v>18</v>
      </c>
      <c r="I35" s="230"/>
      <c r="J35" s="77">
        <v>32</v>
      </c>
      <c r="K35" s="78" t="s">
        <v>396</v>
      </c>
      <c r="L35" s="84">
        <v>58.81</v>
      </c>
      <c r="M35" s="79">
        <v>70.510000000000005</v>
      </c>
      <c r="N35" s="84">
        <v>59.33</v>
      </c>
      <c r="O35" s="81">
        <v>-11.7</v>
      </c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7" customHeight="1" x14ac:dyDescent="0.25">
      <c r="A36" s="283"/>
      <c r="B36" s="265"/>
      <c r="C36" s="254"/>
      <c r="D36" s="254"/>
      <c r="E36" s="254"/>
      <c r="F36" s="257"/>
      <c r="G36" s="257"/>
      <c r="H36" s="229"/>
      <c r="I36" s="230"/>
      <c r="J36" s="77">
        <v>33</v>
      </c>
      <c r="K36" s="78" t="s">
        <v>397</v>
      </c>
      <c r="L36" s="79">
        <v>73.19</v>
      </c>
      <c r="M36" s="79">
        <v>71.94</v>
      </c>
      <c r="N36" s="79">
        <v>64.44</v>
      </c>
      <c r="O36" s="83">
        <v>1.25</v>
      </c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</row>
    <row r="37" spans="1:28" ht="27" customHeight="1" x14ac:dyDescent="0.25">
      <c r="A37" s="283"/>
      <c r="B37" s="265"/>
      <c r="C37" s="255"/>
      <c r="D37" s="255"/>
      <c r="E37" s="255"/>
      <c r="F37" s="258"/>
      <c r="G37" s="258"/>
      <c r="H37" s="231"/>
      <c r="I37" s="232"/>
      <c r="J37" s="77">
        <v>34</v>
      </c>
      <c r="K37" s="78" t="s">
        <v>398</v>
      </c>
      <c r="L37" s="79">
        <v>71.930000000000007</v>
      </c>
      <c r="M37" s="79">
        <v>74.099999999999994</v>
      </c>
      <c r="N37" s="79">
        <v>68.69</v>
      </c>
      <c r="O37" s="83">
        <v>-2.17</v>
      </c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</row>
    <row r="38" spans="1:28" ht="27" customHeight="1" x14ac:dyDescent="0.25">
      <c r="A38" s="283"/>
      <c r="B38" s="265" t="s">
        <v>19</v>
      </c>
      <c r="C38" s="253">
        <v>91.08</v>
      </c>
      <c r="D38" s="253">
        <v>95.01</v>
      </c>
      <c r="E38" s="253">
        <v>90.14</v>
      </c>
      <c r="F38" s="256">
        <v>-3.93</v>
      </c>
      <c r="G38" s="256">
        <v>0.94</v>
      </c>
      <c r="H38" s="277" t="s">
        <v>19</v>
      </c>
      <c r="I38" s="233" t="s">
        <v>399</v>
      </c>
      <c r="J38" s="77">
        <v>35</v>
      </c>
      <c r="K38" s="78" t="s">
        <v>400</v>
      </c>
      <c r="L38" s="79">
        <v>85.43</v>
      </c>
      <c r="M38" s="80">
        <v>92.09</v>
      </c>
      <c r="N38" s="80">
        <v>88.19</v>
      </c>
      <c r="O38" s="81">
        <v>-6.66</v>
      </c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</row>
    <row r="39" spans="1:28" ht="27" customHeight="1" x14ac:dyDescent="0.25">
      <c r="A39" s="283"/>
      <c r="B39" s="265"/>
      <c r="C39" s="254"/>
      <c r="D39" s="254"/>
      <c r="E39" s="254"/>
      <c r="F39" s="257"/>
      <c r="G39" s="257"/>
      <c r="H39" s="278"/>
      <c r="I39" s="234"/>
      <c r="J39" s="77">
        <v>36</v>
      </c>
      <c r="K39" s="78" t="s">
        <v>401</v>
      </c>
      <c r="L39" s="80">
        <v>96.52</v>
      </c>
      <c r="M39" s="80">
        <v>97.87</v>
      </c>
      <c r="N39" s="80">
        <v>94.83</v>
      </c>
      <c r="O39" s="83">
        <v>-1.35</v>
      </c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</row>
    <row r="40" spans="1:28" ht="27" customHeight="1" x14ac:dyDescent="0.25">
      <c r="A40" s="283"/>
      <c r="B40" s="265"/>
      <c r="C40" s="254"/>
      <c r="D40" s="254"/>
      <c r="E40" s="254"/>
      <c r="F40" s="257"/>
      <c r="G40" s="257"/>
      <c r="H40" s="278"/>
      <c r="I40" s="234"/>
      <c r="J40" s="77">
        <v>37</v>
      </c>
      <c r="K40" s="78" t="s">
        <v>402</v>
      </c>
      <c r="L40" s="80">
        <v>94.97</v>
      </c>
      <c r="M40" s="80">
        <v>98.58</v>
      </c>
      <c r="N40" s="80">
        <v>93.52</v>
      </c>
      <c r="O40" s="83">
        <v>-3.61</v>
      </c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</row>
    <row r="41" spans="1:28" ht="27" customHeight="1" x14ac:dyDescent="0.25">
      <c r="A41" s="283"/>
      <c r="B41" s="265"/>
      <c r="C41" s="254"/>
      <c r="D41" s="254"/>
      <c r="E41" s="254"/>
      <c r="F41" s="257"/>
      <c r="G41" s="257"/>
      <c r="H41" s="278"/>
      <c r="I41" s="227"/>
      <c r="J41" s="77">
        <v>38</v>
      </c>
      <c r="K41" s="78" t="s">
        <v>403</v>
      </c>
      <c r="L41" s="80">
        <v>93.83</v>
      </c>
      <c r="M41" s="80">
        <v>95.74</v>
      </c>
      <c r="N41" s="80">
        <v>92.24</v>
      </c>
      <c r="O41" s="83">
        <v>-1.91</v>
      </c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</row>
    <row r="42" spans="1:28" ht="27" customHeight="1" thickBot="1" x14ac:dyDescent="0.3">
      <c r="A42" s="284"/>
      <c r="B42" s="274"/>
      <c r="C42" s="275"/>
      <c r="D42" s="275"/>
      <c r="E42" s="275"/>
      <c r="F42" s="276"/>
      <c r="G42" s="276"/>
      <c r="H42" s="279"/>
      <c r="I42" s="141" t="s">
        <v>404</v>
      </c>
      <c r="J42" s="77">
        <v>39</v>
      </c>
      <c r="K42" s="78" t="s">
        <v>442</v>
      </c>
      <c r="L42" s="79">
        <v>84.65</v>
      </c>
      <c r="M42" s="80">
        <v>90.78</v>
      </c>
      <c r="N42" s="79">
        <v>81.91</v>
      </c>
      <c r="O42" s="81">
        <v>-6.13</v>
      </c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</row>
    <row r="43" spans="1:28" ht="37.5" customHeight="1" thickBot="1" x14ac:dyDescent="0.3">
      <c r="A43" s="139" t="s">
        <v>327</v>
      </c>
      <c r="B43" s="139" t="s">
        <v>328</v>
      </c>
      <c r="C43" s="139">
        <v>2016</v>
      </c>
      <c r="D43" s="139">
        <v>2016</v>
      </c>
      <c r="E43" s="139" t="s">
        <v>329</v>
      </c>
      <c r="F43" s="139" t="s">
        <v>330</v>
      </c>
      <c r="G43" s="139" t="s">
        <v>331</v>
      </c>
      <c r="H43" s="212" t="s">
        <v>328</v>
      </c>
      <c r="I43" s="212"/>
      <c r="J43" s="139" t="s">
        <v>332</v>
      </c>
      <c r="K43" s="139" t="s">
        <v>333</v>
      </c>
      <c r="L43" s="139">
        <v>2016</v>
      </c>
      <c r="M43" s="139">
        <v>2016</v>
      </c>
      <c r="N43" s="139" t="s">
        <v>329</v>
      </c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</row>
    <row r="44" spans="1:28" ht="27" customHeight="1" x14ac:dyDescent="0.25">
      <c r="A44" s="268" t="s">
        <v>405</v>
      </c>
      <c r="B44" s="264" t="s">
        <v>20</v>
      </c>
      <c r="C44" s="266">
        <v>80.63</v>
      </c>
      <c r="D44" s="266">
        <v>83.69</v>
      </c>
      <c r="E44" s="266">
        <v>76.319999999999993</v>
      </c>
      <c r="F44" s="267">
        <v>-3.06</v>
      </c>
      <c r="G44" s="267">
        <v>4.3099999999999996</v>
      </c>
      <c r="H44" s="235" t="s">
        <v>20</v>
      </c>
      <c r="I44" s="236"/>
      <c r="J44" s="77">
        <v>40</v>
      </c>
      <c r="K44" s="78" t="s">
        <v>406</v>
      </c>
      <c r="L44" s="79">
        <v>83.95</v>
      </c>
      <c r="M44" s="80">
        <v>87.23</v>
      </c>
      <c r="N44" s="79">
        <v>77.8</v>
      </c>
      <c r="O44" s="83">
        <v>-3.28</v>
      </c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</row>
    <row r="45" spans="1:28" ht="27" customHeight="1" x14ac:dyDescent="0.25">
      <c r="A45" s="269"/>
      <c r="B45" s="265"/>
      <c r="C45" s="255"/>
      <c r="D45" s="255"/>
      <c r="E45" s="255"/>
      <c r="F45" s="258"/>
      <c r="G45" s="258"/>
      <c r="H45" s="237"/>
      <c r="I45" s="238"/>
      <c r="J45" s="77">
        <v>41</v>
      </c>
      <c r="K45" s="78" t="s">
        <v>407</v>
      </c>
      <c r="L45" s="79">
        <v>77.3</v>
      </c>
      <c r="M45" s="79">
        <v>80.14</v>
      </c>
      <c r="N45" s="79">
        <v>74.849999999999994</v>
      </c>
      <c r="O45" s="83">
        <v>-2.84</v>
      </c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</row>
    <row r="46" spans="1:28" ht="27" customHeight="1" x14ac:dyDescent="0.25">
      <c r="A46" s="269"/>
      <c r="B46" s="265" t="s">
        <v>21</v>
      </c>
      <c r="C46" s="253">
        <v>83.99</v>
      </c>
      <c r="D46" s="253">
        <v>91.22</v>
      </c>
      <c r="E46" s="253">
        <v>80.14</v>
      </c>
      <c r="F46" s="256">
        <v>-7.23</v>
      </c>
      <c r="G46" s="256">
        <v>3.85</v>
      </c>
      <c r="H46" s="239" t="s">
        <v>21</v>
      </c>
      <c r="I46" s="240"/>
      <c r="J46" s="77">
        <v>42</v>
      </c>
      <c r="K46" s="78" t="s">
        <v>408</v>
      </c>
      <c r="L46" s="80">
        <v>90.85</v>
      </c>
      <c r="M46" s="80">
        <v>88.65</v>
      </c>
      <c r="N46" s="80">
        <v>87.31</v>
      </c>
      <c r="O46" s="83">
        <v>2.2000000000000002</v>
      </c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</row>
    <row r="47" spans="1:28" ht="27" customHeight="1" x14ac:dyDescent="0.25">
      <c r="A47" s="269"/>
      <c r="B47" s="265"/>
      <c r="C47" s="255"/>
      <c r="D47" s="255"/>
      <c r="E47" s="255"/>
      <c r="F47" s="258"/>
      <c r="G47" s="258"/>
      <c r="H47" s="237"/>
      <c r="I47" s="238"/>
      <c r="J47" s="77">
        <v>43</v>
      </c>
      <c r="K47" s="78" t="s">
        <v>409</v>
      </c>
      <c r="L47" s="79">
        <v>77.12</v>
      </c>
      <c r="M47" s="80">
        <v>93.79</v>
      </c>
      <c r="N47" s="79">
        <v>72.97</v>
      </c>
      <c r="O47" s="81">
        <v>-16.670000000000002</v>
      </c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</row>
    <row r="48" spans="1:28" ht="27" customHeight="1" x14ac:dyDescent="0.25">
      <c r="A48" s="269"/>
      <c r="B48" s="265" t="s">
        <v>22</v>
      </c>
      <c r="C48" s="253">
        <v>84.29</v>
      </c>
      <c r="D48" s="253">
        <v>89.33</v>
      </c>
      <c r="E48" s="253">
        <v>80.72</v>
      </c>
      <c r="F48" s="256">
        <v>-5.04</v>
      </c>
      <c r="G48" s="256">
        <v>3.57</v>
      </c>
      <c r="H48" s="239" t="s">
        <v>22</v>
      </c>
      <c r="I48" s="240"/>
      <c r="J48" s="77">
        <v>44</v>
      </c>
      <c r="K48" s="78" t="s">
        <v>410</v>
      </c>
      <c r="L48" s="80">
        <v>86.83</v>
      </c>
      <c r="M48" s="79">
        <v>80.849999999999994</v>
      </c>
      <c r="N48" s="79">
        <v>79.09</v>
      </c>
      <c r="O48" s="148">
        <v>5.98</v>
      </c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</row>
    <row r="49" spans="1:28" ht="27" customHeight="1" x14ac:dyDescent="0.25">
      <c r="A49" s="269"/>
      <c r="B49" s="265"/>
      <c r="C49" s="254"/>
      <c r="D49" s="254"/>
      <c r="E49" s="254"/>
      <c r="F49" s="257"/>
      <c r="G49" s="257"/>
      <c r="H49" s="241"/>
      <c r="I49" s="242"/>
      <c r="J49" s="77">
        <v>45</v>
      </c>
      <c r="K49" s="78" t="s">
        <v>411</v>
      </c>
      <c r="L49" s="80">
        <v>89.37</v>
      </c>
      <c r="M49" s="80">
        <v>94.33</v>
      </c>
      <c r="N49" s="80">
        <v>85.6</v>
      </c>
      <c r="O49" s="83">
        <v>-4.96</v>
      </c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</row>
    <row r="50" spans="1:28" ht="27" customHeight="1" x14ac:dyDescent="0.25">
      <c r="A50" s="269"/>
      <c r="B50" s="265"/>
      <c r="C50" s="254"/>
      <c r="D50" s="254"/>
      <c r="E50" s="254"/>
      <c r="F50" s="257"/>
      <c r="G50" s="257"/>
      <c r="H50" s="241"/>
      <c r="I50" s="242"/>
      <c r="J50" s="77">
        <v>46</v>
      </c>
      <c r="K50" s="78" t="s">
        <v>412</v>
      </c>
      <c r="L50" s="79">
        <v>79.180000000000007</v>
      </c>
      <c r="M50" s="80">
        <v>95</v>
      </c>
      <c r="N50" s="79">
        <v>78.81</v>
      </c>
      <c r="O50" s="81">
        <v>-15.82</v>
      </c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</row>
    <row r="51" spans="1:28" ht="27" customHeight="1" thickBot="1" x14ac:dyDescent="0.3">
      <c r="A51" s="270"/>
      <c r="B51" s="274"/>
      <c r="C51" s="275"/>
      <c r="D51" s="275"/>
      <c r="E51" s="275"/>
      <c r="F51" s="276"/>
      <c r="G51" s="276"/>
      <c r="H51" s="243"/>
      <c r="I51" s="244"/>
      <c r="J51" s="77">
        <v>47</v>
      </c>
      <c r="K51" s="78" t="s">
        <v>413</v>
      </c>
      <c r="L51" s="79">
        <v>81.77</v>
      </c>
      <c r="M51" s="80">
        <v>87.14</v>
      </c>
      <c r="N51" s="79">
        <v>79.37</v>
      </c>
      <c r="O51" s="81">
        <v>-5.37</v>
      </c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</row>
    <row r="52" spans="1:28" ht="37.5" customHeight="1" thickBot="1" x14ac:dyDescent="0.3">
      <c r="A52" s="139" t="s">
        <v>327</v>
      </c>
      <c r="B52" s="139" t="s">
        <v>328</v>
      </c>
      <c r="C52" s="139">
        <v>2016</v>
      </c>
      <c r="D52" s="139">
        <v>2016</v>
      </c>
      <c r="E52" s="139" t="s">
        <v>329</v>
      </c>
      <c r="F52" s="139" t="s">
        <v>330</v>
      </c>
      <c r="G52" s="139" t="s">
        <v>331</v>
      </c>
      <c r="H52" s="212" t="s">
        <v>328</v>
      </c>
      <c r="I52" s="212"/>
      <c r="J52" s="139" t="s">
        <v>332</v>
      </c>
      <c r="K52" s="139" t="s">
        <v>333</v>
      </c>
      <c r="L52" s="139">
        <v>2016</v>
      </c>
      <c r="M52" s="139">
        <v>2016</v>
      </c>
      <c r="N52" s="139" t="s">
        <v>329</v>
      </c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</row>
    <row r="53" spans="1:28" ht="27" customHeight="1" x14ac:dyDescent="0.25">
      <c r="A53" s="262" t="s">
        <v>414</v>
      </c>
      <c r="B53" s="264" t="s">
        <v>23</v>
      </c>
      <c r="C53" s="266">
        <v>87.27</v>
      </c>
      <c r="D53" s="266">
        <v>92.2</v>
      </c>
      <c r="E53" s="266">
        <v>84.71</v>
      </c>
      <c r="F53" s="267">
        <v>-4.93</v>
      </c>
      <c r="G53" s="267">
        <v>2.56</v>
      </c>
      <c r="H53" s="213" t="s">
        <v>23</v>
      </c>
      <c r="I53" s="214"/>
      <c r="J53" s="77">
        <v>48</v>
      </c>
      <c r="K53" s="78" t="s">
        <v>415</v>
      </c>
      <c r="L53" s="80">
        <v>89.81</v>
      </c>
      <c r="M53" s="80">
        <v>91.49</v>
      </c>
      <c r="N53" s="80">
        <v>87.45</v>
      </c>
      <c r="O53" s="83">
        <v>-1.68</v>
      </c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</row>
    <row r="54" spans="1:28" ht="27" customHeight="1" x14ac:dyDescent="0.25">
      <c r="A54" s="263"/>
      <c r="B54" s="265"/>
      <c r="C54" s="254"/>
      <c r="D54" s="254"/>
      <c r="E54" s="254"/>
      <c r="F54" s="257"/>
      <c r="G54" s="257"/>
      <c r="H54" s="215"/>
      <c r="I54" s="216"/>
      <c r="J54" s="77">
        <v>49</v>
      </c>
      <c r="K54" s="78" t="s">
        <v>416</v>
      </c>
      <c r="L54" s="80">
        <v>88.17</v>
      </c>
      <c r="M54" s="80">
        <v>90.07</v>
      </c>
      <c r="N54" s="79">
        <v>85.47</v>
      </c>
      <c r="O54" s="83">
        <v>-1.9</v>
      </c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</row>
    <row r="55" spans="1:28" ht="27" customHeight="1" x14ac:dyDescent="0.25">
      <c r="A55" s="263"/>
      <c r="B55" s="265"/>
      <c r="C55" s="255"/>
      <c r="D55" s="255"/>
      <c r="E55" s="255"/>
      <c r="F55" s="258"/>
      <c r="G55" s="258"/>
      <c r="H55" s="217"/>
      <c r="I55" s="218"/>
      <c r="J55" s="77">
        <v>50</v>
      </c>
      <c r="K55" s="78" t="s">
        <v>417</v>
      </c>
      <c r="L55" s="79">
        <v>83.84</v>
      </c>
      <c r="M55" s="80">
        <v>95.04</v>
      </c>
      <c r="N55" s="79">
        <v>81.22</v>
      </c>
      <c r="O55" s="81">
        <v>-11.2</v>
      </c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</row>
    <row r="56" spans="1:28" ht="27" customHeight="1" x14ac:dyDescent="0.25">
      <c r="A56" s="263"/>
      <c r="B56" s="265" t="s">
        <v>24</v>
      </c>
      <c r="C56" s="253">
        <v>88.28</v>
      </c>
      <c r="D56" s="253">
        <v>93.8</v>
      </c>
      <c r="E56" s="253">
        <v>86.6</v>
      </c>
      <c r="F56" s="256">
        <v>-5.52</v>
      </c>
      <c r="G56" s="256">
        <v>1.68</v>
      </c>
      <c r="H56" s="271" t="s">
        <v>24</v>
      </c>
      <c r="I56" s="219" t="s">
        <v>418</v>
      </c>
      <c r="J56" s="77">
        <v>51</v>
      </c>
      <c r="K56" s="78" t="s">
        <v>419</v>
      </c>
      <c r="L56" s="80">
        <v>90.49</v>
      </c>
      <c r="M56" s="80">
        <v>97.24</v>
      </c>
      <c r="N56" s="80">
        <v>89.51</v>
      </c>
      <c r="O56" s="81">
        <v>-6.75</v>
      </c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</row>
    <row r="57" spans="1:28" ht="27" customHeight="1" x14ac:dyDescent="0.25">
      <c r="A57" s="263"/>
      <c r="B57" s="265"/>
      <c r="C57" s="254"/>
      <c r="D57" s="254"/>
      <c r="E57" s="254"/>
      <c r="F57" s="257"/>
      <c r="G57" s="257"/>
      <c r="H57" s="272"/>
      <c r="I57" s="220"/>
      <c r="J57" s="77">
        <v>52</v>
      </c>
      <c r="K57" s="78" t="s">
        <v>420</v>
      </c>
      <c r="L57" s="79">
        <v>84.02</v>
      </c>
      <c r="M57" s="80">
        <v>92.2</v>
      </c>
      <c r="N57" s="79">
        <v>82.63</v>
      </c>
      <c r="O57" s="81">
        <v>-8.18</v>
      </c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</row>
    <row r="58" spans="1:28" ht="27" customHeight="1" x14ac:dyDescent="0.25">
      <c r="A58" s="263"/>
      <c r="B58" s="265"/>
      <c r="C58" s="254"/>
      <c r="D58" s="254"/>
      <c r="E58" s="254"/>
      <c r="F58" s="257"/>
      <c r="G58" s="257"/>
      <c r="H58" s="272"/>
      <c r="I58" s="221" t="s">
        <v>421</v>
      </c>
      <c r="J58" s="77">
        <v>53</v>
      </c>
      <c r="K58" s="78" t="s">
        <v>422</v>
      </c>
      <c r="L58" s="80">
        <v>93.54</v>
      </c>
      <c r="M58" s="80">
        <v>95.74</v>
      </c>
      <c r="N58" s="80">
        <v>91.37</v>
      </c>
      <c r="O58" s="83">
        <v>-2.2000000000000002</v>
      </c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</row>
    <row r="59" spans="1:28" ht="27" customHeight="1" x14ac:dyDescent="0.25">
      <c r="A59" s="263"/>
      <c r="B59" s="265"/>
      <c r="C59" s="255"/>
      <c r="D59" s="255"/>
      <c r="E59" s="255"/>
      <c r="F59" s="258"/>
      <c r="G59" s="258"/>
      <c r="H59" s="273"/>
      <c r="I59" s="220"/>
      <c r="J59" s="77">
        <v>54</v>
      </c>
      <c r="K59" s="78" t="s">
        <v>423</v>
      </c>
      <c r="L59" s="79">
        <v>85.06</v>
      </c>
      <c r="M59" s="80">
        <v>90</v>
      </c>
      <c r="N59" s="79">
        <v>82.91</v>
      </c>
      <c r="O59" s="83">
        <v>-4.9400000000000004</v>
      </c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</row>
    <row r="60" spans="1:28" ht="27" customHeight="1" x14ac:dyDescent="0.25">
      <c r="A60" s="263"/>
      <c r="B60" s="265" t="s">
        <v>25</v>
      </c>
      <c r="C60" s="253">
        <v>82.3</v>
      </c>
      <c r="D60" s="253">
        <v>91.3</v>
      </c>
      <c r="E60" s="253">
        <v>78.11</v>
      </c>
      <c r="F60" s="256">
        <v>-9</v>
      </c>
      <c r="G60" s="256">
        <v>4.1900000000000004</v>
      </c>
      <c r="H60" s="215" t="s">
        <v>25</v>
      </c>
      <c r="I60" s="216"/>
      <c r="J60" s="77">
        <v>55</v>
      </c>
      <c r="K60" s="78" t="s">
        <v>424</v>
      </c>
      <c r="L60" s="79">
        <v>81.8</v>
      </c>
      <c r="M60" s="80">
        <v>90.07</v>
      </c>
      <c r="N60" s="79">
        <v>77.45</v>
      </c>
      <c r="O60" s="81">
        <v>-8.27</v>
      </c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</row>
    <row r="61" spans="1:28" ht="27" customHeight="1" x14ac:dyDescent="0.25">
      <c r="A61" s="263"/>
      <c r="B61" s="265"/>
      <c r="C61" s="254"/>
      <c r="D61" s="254"/>
      <c r="E61" s="254"/>
      <c r="F61" s="257"/>
      <c r="G61" s="257"/>
      <c r="H61" s="215"/>
      <c r="I61" s="216"/>
      <c r="J61" s="77">
        <v>56</v>
      </c>
      <c r="K61" s="78" t="s">
        <v>425</v>
      </c>
      <c r="L61" s="79">
        <v>81.81</v>
      </c>
      <c r="M61" s="80">
        <v>88.65</v>
      </c>
      <c r="N61" s="79">
        <v>75.42</v>
      </c>
      <c r="O61" s="81">
        <v>-6.84</v>
      </c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</row>
    <row r="62" spans="1:28" ht="27" customHeight="1" x14ac:dyDescent="0.25">
      <c r="A62" s="263"/>
      <c r="B62" s="265"/>
      <c r="C62" s="255"/>
      <c r="D62" s="255"/>
      <c r="E62" s="255"/>
      <c r="F62" s="258"/>
      <c r="G62" s="258"/>
      <c r="H62" s="217"/>
      <c r="I62" s="218"/>
      <c r="J62" s="77">
        <v>57</v>
      </c>
      <c r="K62" s="78" t="s">
        <v>426</v>
      </c>
      <c r="L62" s="79">
        <v>83.31</v>
      </c>
      <c r="M62" s="80">
        <v>95.17</v>
      </c>
      <c r="N62" s="79">
        <v>81.459999999999994</v>
      </c>
      <c r="O62" s="81">
        <v>-11.86</v>
      </c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</row>
    <row r="63" spans="1:28" ht="15.75" customHeight="1" thickBot="1" x14ac:dyDescent="0.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</row>
    <row r="64" spans="1:28" ht="35.25" customHeight="1" thickBot="1" x14ac:dyDescent="0.3">
      <c r="A64" s="40"/>
      <c r="B64" s="40"/>
      <c r="C64" s="40"/>
      <c r="D64" s="40"/>
      <c r="E64" s="40"/>
      <c r="F64" s="40"/>
      <c r="G64" s="40"/>
      <c r="H64" s="40"/>
      <c r="I64" s="222" t="s">
        <v>427</v>
      </c>
      <c r="J64" s="139" t="s">
        <v>332</v>
      </c>
      <c r="K64" s="139" t="s">
        <v>333</v>
      </c>
      <c r="L64" s="139">
        <v>2016</v>
      </c>
      <c r="M64" s="139">
        <v>2016</v>
      </c>
      <c r="N64" s="139" t="s">
        <v>329</v>
      </c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</row>
    <row r="65" spans="1:28" ht="27" customHeight="1" x14ac:dyDescent="0.25">
      <c r="A65" s="40"/>
      <c r="B65" s="40"/>
      <c r="C65" s="40"/>
      <c r="D65" s="40"/>
      <c r="E65" s="40"/>
      <c r="F65" s="40"/>
      <c r="G65" s="40"/>
      <c r="H65" s="40"/>
      <c r="I65" s="222"/>
      <c r="J65" s="77">
        <v>58</v>
      </c>
      <c r="K65" s="78" t="s">
        <v>153</v>
      </c>
      <c r="L65" s="79">
        <v>84.08</v>
      </c>
      <c r="M65" s="80">
        <v>89.36</v>
      </c>
      <c r="N65" s="79">
        <v>81.900000000000006</v>
      </c>
      <c r="O65" s="83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</row>
    <row r="66" spans="1:28" ht="16.5" customHeight="1" x14ac:dyDescent="0.25">
      <c r="A66" s="40"/>
      <c r="B66" s="40"/>
      <c r="C66" s="40"/>
      <c r="D66" s="40"/>
      <c r="E66" s="40"/>
      <c r="F66" s="40"/>
      <c r="G66" s="40"/>
      <c r="H66" s="40"/>
      <c r="I66" s="222"/>
      <c r="J66" s="86"/>
      <c r="K66" s="86" t="s">
        <v>154</v>
      </c>
      <c r="L66" s="87">
        <v>82.91</v>
      </c>
      <c r="M66" s="87">
        <v>87.57</v>
      </c>
      <c r="N66" s="87">
        <v>78.569999999999993</v>
      </c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</row>
    <row r="67" spans="1:28" ht="15" customHeight="1" x14ac:dyDescent="0.25">
      <c r="A67" s="40"/>
      <c r="B67" s="40"/>
      <c r="C67" s="40"/>
      <c r="D67" s="40"/>
      <c r="E67" s="40"/>
      <c r="F67" s="40"/>
      <c r="G67" s="40"/>
      <c r="H67" s="40"/>
      <c r="I67" s="222"/>
      <c r="J67" s="88"/>
      <c r="K67" s="88" t="s">
        <v>174</v>
      </c>
      <c r="L67" s="89">
        <v>81.97</v>
      </c>
      <c r="M67" s="89">
        <v>86.07</v>
      </c>
      <c r="N67" s="89">
        <v>77.040000000000006</v>
      </c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</row>
    <row r="68" spans="1:28" ht="15.75" customHeight="1" thickBot="1" x14ac:dyDescent="0.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</row>
    <row r="69" spans="1:28" ht="35.25" customHeight="1" thickBot="1" x14ac:dyDescent="0.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139">
        <v>2016</v>
      </c>
      <c r="M69" s="139">
        <v>2016</v>
      </c>
      <c r="N69" s="139" t="s">
        <v>329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</row>
    <row r="70" spans="1:28" ht="14.25" customHeight="1" x14ac:dyDescent="0.25">
      <c r="A70" s="40"/>
      <c r="B70" s="40"/>
      <c r="C70" s="40"/>
      <c r="D70" s="40"/>
      <c r="E70" s="40"/>
      <c r="F70" s="40"/>
      <c r="G70" s="40"/>
      <c r="H70" s="40"/>
      <c r="I70" s="223" t="s">
        <v>26</v>
      </c>
      <c r="J70" s="224" t="s">
        <v>147</v>
      </c>
      <c r="K70" s="225"/>
      <c r="L70" s="90">
        <v>85.93</v>
      </c>
      <c r="M70" s="90">
        <v>87.87</v>
      </c>
      <c r="N70" s="90">
        <v>78.73</v>
      </c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</row>
    <row r="71" spans="1:28" ht="14.25" customHeight="1" x14ac:dyDescent="0.25">
      <c r="A71" s="40"/>
      <c r="B71" s="40"/>
      <c r="C71" s="40"/>
      <c r="D71" s="40"/>
      <c r="E71" s="40"/>
      <c r="F71" s="40"/>
      <c r="G71" s="40"/>
      <c r="H71" s="40"/>
      <c r="I71" s="223"/>
      <c r="J71" s="224" t="s">
        <v>149</v>
      </c>
      <c r="K71" s="225"/>
      <c r="L71" s="91">
        <v>81.56</v>
      </c>
      <c r="M71" s="91">
        <v>90.01</v>
      </c>
      <c r="N71" s="91">
        <v>77.39</v>
      </c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</row>
    <row r="72" spans="1:28" ht="14.25" customHeight="1" x14ac:dyDescent="0.25">
      <c r="A72" s="40"/>
      <c r="B72" s="40"/>
      <c r="C72" s="40"/>
      <c r="D72" s="40"/>
      <c r="E72" s="40"/>
      <c r="F72" s="40"/>
      <c r="G72" s="40"/>
      <c r="H72" s="40"/>
      <c r="I72" s="223"/>
      <c r="J72" s="224" t="s">
        <v>150</v>
      </c>
      <c r="K72" s="225"/>
      <c r="L72" s="92">
        <v>77.78</v>
      </c>
      <c r="M72" s="92">
        <v>79.709999999999994</v>
      </c>
      <c r="N72" s="92">
        <v>74.680000000000007</v>
      </c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</row>
    <row r="73" spans="1:28" ht="14.25" customHeight="1" x14ac:dyDescent="0.25">
      <c r="A73" s="40"/>
      <c r="B73" s="40"/>
      <c r="C73" s="40"/>
      <c r="D73" s="40"/>
      <c r="E73" s="40"/>
      <c r="F73" s="40"/>
      <c r="G73" s="40"/>
      <c r="H73" s="40"/>
      <c r="I73" s="223"/>
      <c r="J73" s="224" t="s">
        <v>151</v>
      </c>
      <c r="K73" s="225"/>
      <c r="L73" s="93">
        <v>83.3</v>
      </c>
      <c r="M73" s="93">
        <v>88.39</v>
      </c>
      <c r="N73" s="93">
        <v>79.47</v>
      </c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</row>
    <row r="74" spans="1:28" ht="14.25" customHeight="1" x14ac:dyDescent="0.25">
      <c r="A74" s="40"/>
      <c r="B74" s="40"/>
      <c r="C74" s="40"/>
      <c r="D74" s="40"/>
      <c r="E74" s="40"/>
      <c r="F74" s="40"/>
      <c r="G74" s="40"/>
      <c r="H74" s="40"/>
      <c r="I74" s="223"/>
      <c r="J74" s="224" t="s">
        <v>152</v>
      </c>
      <c r="K74" s="225"/>
      <c r="L74" s="94">
        <v>86.19</v>
      </c>
      <c r="M74" s="94">
        <v>92.57</v>
      </c>
      <c r="N74" s="94">
        <v>83.49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</row>
    <row r="75" spans="1:28" ht="15" customHeigh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</row>
    <row r="76" spans="1:28" ht="15" customHeight="1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</row>
    <row r="77" spans="1:28" ht="24.75" customHeight="1" x14ac:dyDescent="0.25">
      <c r="A77" s="40"/>
      <c r="B77" s="40"/>
      <c r="C77" s="40"/>
      <c r="D77" s="40"/>
      <c r="E77" s="40"/>
      <c r="F77" s="40"/>
      <c r="G77" s="211" t="s">
        <v>130</v>
      </c>
      <c r="H77" s="211"/>
      <c r="I77" s="150" t="s">
        <v>328</v>
      </c>
      <c r="J77" s="150" t="s">
        <v>332</v>
      </c>
      <c r="K77" s="150" t="s">
        <v>333</v>
      </c>
      <c r="L77" s="150">
        <v>2016</v>
      </c>
      <c r="M77" s="150" t="s">
        <v>428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</row>
    <row r="78" spans="1:28" ht="24.75" customHeight="1" x14ac:dyDescent="0.25">
      <c r="A78" s="40"/>
      <c r="B78" s="40"/>
      <c r="C78" s="40"/>
      <c r="D78" s="40"/>
      <c r="E78" s="40"/>
      <c r="F78" s="151">
        <v>1</v>
      </c>
      <c r="G78" s="202" t="s">
        <v>131</v>
      </c>
      <c r="H78" s="202"/>
      <c r="I78" s="152" t="s">
        <v>399</v>
      </c>
      <c r="J78" s="153">
        <v>36</v>
      </c>
      <c r="K78" s="153" t="s">
        <v>401</v>
      </c>
      <c r="L78" s="154">
        <v>96.52</v>
      </c>
      <c r="M78" s="154">
        <v>13.61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</row>
    <row r="79" spans="1:28" ht="24.75" customHeight="1" x14ac:dyDescent="0.25">
      <c r="A79" s="40"/>
      <c r="B79" s="40"/>
      <c r="C79" s="40"/>
      <c r="D79" s="40"/>
      <c r="E79" s="40"/>
      <c r="F79" s="151">
        <v>2</v>
      </c>
      <c r="G79" s="202" t="s">
        <v>131</v>
      </c>
      <c r="H79" s="202"/>
      <c r="I79" s="152" t="s">
        <v>399</v>
      </c>
      <c r="J79" s="153">
        <v>37</v>
      </c>
      <c r="K79" s="153" t="s">
        <v>402</v>
      </c>
      <c r="L79" s="154">
        <v>94.97</v>
      </c>
      <c r="M79" s="154">
        <v>12.06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</row>
    <row r="80" spans="1:28" ht="24.75" customHeight="1" x14ac:dyDescent="0.25">
      <c r="A80" s="40"/>
      <c r="B80" s="40"/>
      <c r="C80" s="40"/>
      <c r="D80" s="40"/>
      <c r="E80" s="40"/>
      <c r="F80" s="151">
        <v>3</v>
      </c>
      <c r="G80" s="259" t="s">
        <v>131</v>
      </c>
      <c r="H80" s="259"/>
      <c r="I80" s="152" t="s">
        <v>399</v>
      </c>
      <c r="J80" s="153">
        <v>38</v>
      </c>
      <c r="K80" s="153" t="s">
        <v>403</v>
      </c>
      <c r="L80" s="154">
        <v>93.83</v>
      </c>
      <c r="M80" s="154">
        <v>10.92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</row>
    <row r="81" spans="1:28" ht="24.75" customHeight="1" x14ac:dyDescent="0.25">
      <c r="A81" s="40"/>
      <c r="B81" s="40"/>
      <c r="C81" s="40"/>
      <c r="D81" s="40"/>
      <c r="E81" s="40"/>
      <c r="F81" s="151">
        <v>4</v>
      </c>
      <c r="G81" s="260" t="s">
        <v>429</v>
      </c>
      <c r="H81" s="260"/>
      <c r="I81" s="155" t="s">
        <v>421</v>
      </c>
      <c r="J81" s="156">
        <v>53</v>
      </c>
      <c r="K81" s="156" t="s">
        <v>422</v>
      </c>
      <c r="L81" s="157">
        <v>93.54</v>
      </c>
      <c r="M81" s="157">
        <v>10.63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</row>
    <row r="82" spans="1:28" ht="24.75" customHeight="1" x14ac:dyDescent="0.25">
      <c r="A82" s="40"/>
      <c r="B82" s="40"/>
      <c r="C82" s="40"/>
      <c r="D82" s="40"/>
      <c r="E82" s="40"/>
      <c r="F82" s="151">
        <v>5</v>
      </c>
      <c r="G82" s="261" t="s">
        <v>132</v>
      </c>
      <c r="H82" s="261"/>
      <c r="I82" s="158" t="s">
        <v>368</v>
      </c>
      <c r="J82" s="159">
        <v>14</v>
      </c>
      <c r="K82" s="159" t="s">
        <v>369</v>
      </c>
      <c r="L82" s="160">
        <v>92.33</v>
      </c>
      <c r="M82" s="160">
        <v>9.42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</row>
    <row r="83" spans="1:28" ht="24.75" customHeight="1" x14ac:dyDescent="0.25">
      <c r="A83" s="40"/>
      <c r="B83" s="40"/>
      <c r="C83" s="40"/>
      <c r="D83" s="40"/>
      <c r="E83" s="40"/>
      <c r="F83" s="151">
        <v>6</v>
      </c>
      <c r="G83" s="203" t="s">
        <v>131</v>
      </c>
      <c r="H83" s="203"/>
      <c r="I83" s="152" t="s">
        <v>393</v>
      </c>
      <c r="J83" s="153">
        <v>31</v>
      </c>
      <c r="K83" s="153" t="s">
        <v>395</v>
      </c>
      <c r="L83" s="154">
        <v>92.08</v>
      </c>
      <c r="M83" s="154">
        <v>9.17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</row>
    <row r="84" spans="1:28" ht="24.75" customHeight="1" x14ac:dyDescent="0.25">
      <c r="A84" s="40"/>
      <c r="B84" s="40"/>
      <c r="C84" s="40"/>
      <c r="D84" s="40"/>
      <c r="E84" s="40"/>
      <c r="F84" s="151">
        <v>7</v>
      </c>
      <c r="G84" s="207" t="s">
        <v>133</v>
      </c>
      <c r="H84" s="207"/>
      <c r="I84" s="161" t="s">
        <v>380</v>
      </c>
      <c r="J84" s="162">
        <v>21</v>
      </c>
      <c r="K84" s="162" t="s">
        <v>381</v>
      </c>
      <c r="L84" s="163">
        <v>91.17</v>
      </c>
      <c r="M84" s="163">
        <v>8.26</v>
      </c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</row>
    <row r="85" spans="1:28" ht="24.75" customHeight="1" x14ac:dyDescent="0.25">
      <c r="A85" s="40"/>
      <c r="B85" s="40"/>
      <c r="C85" s="40"/>
      <c r="D85" s="40"/>
      <c r="E85" s="40"/>
      <c r="F85" s="151">
        <v>8</v>
      </c>
      <c r="G85" s="208" t="s">
        <v>142</v>
      </c>
      <c r="H85" s="208"/>
      <c r="I85" s="164" t="s">
        <v>21</v>
      </c>
      <c r="J85" s="165">
        <v>42</v>
      </c>
      <c r="K85" s="165" t="s">
        <v>408</v>
      </c>
      <c r="L85" s="166">
        <v>90.85</v>
      </c>
      <c r="M85" s="166">
        <v>7.94</v>
      </c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</row>
    <row r="86" spans="1:28" ht="24.75" customHeight="1" x14ac:dyDescent="0.25">
      <c r="A86" s="40"/>
      <c r="B86" s="40"/>
      <c r="C86" s="40"/>
      <c r="D86" s="40"/>
      <c r="E86" s="40"/>
      <c r="F86" s="151">
        <v>9</v>
      </c>
      <c r="G86" s="209" t="s">
        <v>429</v>
      </c>
      <c r="H86" s="209"/>
      <c r="I86" s="155" t="s">
        <v>418</v>
      </c>
      <c r="J86" s="156">
        <v>51</v>
      </c>
      <c r="K86" s="156" t="s">
        <v>419</v>
      </c>
      <c r="L86" s="157">
        <v>90.49</v>
      </c>
      <c r="M86" s="157">
        <v>7.57</v>
      </c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</row>
    <row r="87" spans="1:28" ht="24.75" customHeight="1" x14ac:dyDescent="0.25">
      <c r="A87" s="40"/>
      <c r="B87" s="40"/>
      <c r="C87" s="40"/>
      <c r="D87" s="40"/>
      <c r="E87" s="40"/>
      <c r="F87" s="151">
        <v>10</v>
      </c>
      <c r="G87" s="210" t="s">
        <v>429</v>
      </c>
      <c r="H87" s="210"/>
      <c r="I87" s="155" t="s">
        <v>23</v>
      </c>
      <c r="J87" s="156">
        <v>48</v>
      </c>
      <c r="K87" s="156" t="s">
        <v>415</v>
      </c>
      <c r="L87" s="157">
        <v>89.81</v>
      </c>
      <c r="M87" s="157">
        <v>6.9</v>
      </c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</row>
    <row r="88" spans="1:28" ht="15" customHeight="1" x14ac:dyDescent="0.25">
      <c r="A88" s="40"/>
      <c r="B88" s="40"/>
      <c r="C88" s="40"/>
      <c r="D88" s="40"/>
      <c r="E88" s="40"/>
      <c r="F88" s="40"/>
      <c r="G88" s="167"/>
      <c r="H88" s="167"/>
      <c r="I88" s="167"/>
      <c r="J88" s="167"/>
      <c r="K88" s="167"/>
      <c r="L88" s="167"/>
      <c r="M88" s="167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</row>
    <row r="89" spans="1:28" ht="24.75" customHeight="1" x14ac:dyDescent="0.25">
      <c r="A89" s="40"/>
      <c r="B89" s="40"/>
      <c r="C89" s="40"/>
      <c r="D89" s="40"/>
      <c r="E89" s="40"/>
      <c r="F89" s="40"/>
      <c r="G89" s="211" t="s">
        <v>130</v>
      </c>
      <c r="H89" s="211"/>
      <c r="I89" s="150" t="s">
        <v>328</v>
      </c>
      <c r="J89" s="150" t="s">
        <v>332</v>
      </c>
      <c r="K89" s="150" t="s">
        <v>333</v>
      </c>
      <c r="L89" s="150">
        <v>2016</v>
      </c>
      <c r="M89" s="150" t="s">
        <v>428</v>
      </c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</row>
    <row r="90" spans="1:28" ht="24.75" customHeight="1" x14ac:dyDescent="0.25">
      <c r="A90" s="40"/>
      <c r="B90" s="40"/>
      <c r="C90" s="40"/>
      <c r="D90" s="40"/>
      <c r="E90" s="40"/>
      <c r="F90" s="151">
        <v>1</v>
      </c>
      <c r="G90" s="202" t="s">
        <v>131</v>
      </c>
      <c r="H90" s="202"/>
      <c r="I90" s="152" t="s">
        <v>390</v>
      </c>
      <c r="J90" s="153">
        <v>29</v>
      </c>
      <c r="K90" s="153" t="s">
        <v>392</v>
      </c>
      <c r="L90" s="154">
        <v>45.85</v>
      </c>
      <c r="M90" s="154">
        <v>-37.06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</row>
    <row r="91" spans="1:28" ht="24.75" customHeight="1" x14ac:dyDescent="0.25">
      <c r="A91" s="40"/>
      <c r="B91" s="40"/>
      <c r="C91" s="40"/>
      <c r="D91" s="40"/>
      <c r="E91" s="40"/>
      <c r="F91" s="151">
        <v>2</v>
      </c>
      <c r="G91" s="202" t="s">
        <v>131</v>
      </c>
      <c r="H91" s="202"/>
      <c r="I91" s="152" t="s">
        <v>18</v>
      </c>
      <c r="J91" s="153">
        <v>32</v>
      </c>
      <c r="K91" s="153" t="s">
        <v>396</v>
      </c>
      <c r="L91" s="154">
        <v>58.81</v>
      </c>
      <c r="M91" s="154">
        <v>-24.11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</row>
    <row r="92" spans="1:28" ht="24.75" customHeight="1" x14ac:dyDescent="0.25">
      <c r="A92" s="40"/>
      <c r="B92" s="40"/>
      <c r="C92" s="40"/>
      <c r="D92" s="40"/>
      <c r="E92" s="40"/>
      <c r="F92" s="151">
        <v>3</v>
      </c>
      <c r="G92" s="203" t="s">
        <v>131</v>
      </c>
      <c r="H92" s="203"/>
      <c r="I92" s="152" t="s">
        <v>390</v>
      </c>
      <c r="J92" s="153">
        <v>28</v>
      </c>
      <c r="K92" s="153" t="s">
        <v>391</v>
      </c>
      <c r="L92" s="154">
        <v>63.94</v>
      </c>
      <c r="M92" s="154">
        <v>-18.97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</row>
    <row r="93" spans="1:28" ht="24.75" customHeight="1" x14ac:dyDescent="0.25">
      <c r="A93" s="40"/>
      <c r="B93" s="40"/>
      <c r="C93" s="40"/>
      <c r="D93" s="40"/>
      <c r="E93" s="40"/>
      <c r="F93" s="151">
        <v>4</v>
      </c>
      <c r="G93" s="201" t="s">
        <v>133</v>
      </c>
      <c r="H93" s="201"/>
      <c r="I93" s="161" t="s">
        <v>380</v>
      </c>
      <c r="J93" s="162">
        <v>22</v>
      </c>
      <c r="K93" s="162" t="s">
        <v>382</v>
      </c>
      <c r="L93" s="163">
        <v>69.52</v>
      </c>
      <c r="M93" s="163">
        <v>-13.39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</row>
    <row r="94" spans="1:28" ht="24.75" customHeight="1" x14ac:dyDescent="0.25">
      <c r="A94" s="40"/>
      <c r="B94" s="40"/>
      <c r="C94" s="40"/>
      <c r="D94" s="40"/>
      <c r="E94" s="40"/>
      <c r="F94" s="151">
        <v>5</v>
      </c>
      <c r="G94" s="202" t="s">
        <v>131</v>
      </c>
      <c r="H94" s="202"/>
      <c r="I94" s="152" t="s">
        <v>18</v>
      </c>
      <c r="J94" s="153">
        <v>34</v>
      </c>
      <c r="K94" s="153" t="s">
        <v>398</v>
      </c>
      <c r="L94" s="154">
        <v>71.930000000000007</v>
      </c>
      <c r="M94" s="154">
        <v>-10.99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</row>
    <row r="95" spans="1:28" ht="24.75" customHeight="1" x14ac:dyDescent="0.25">
      <c r="A95" s="40"/>
      <c r="B95" s="40"/>
      <c r="C95" s="40"/>
      <c r="D95" s="40"/>
      <c r="E95" s="40"/>
      <c r="F95" s="151">
        <v>6</v>
      </c>
      <c r="G95" s="202" t="s">
        <v>131</v>
      </c>
      <c r="H95" s="202"/>
      <c r="I95" s="152" t="s">
        <v>393</v>
      </c>
      <c r="J95" s="153">
        <v>30</v>
      </c>
      <c r="K95" s="153" t="s">
        <v>394</v>
      </c>
      <c r="L95" s="154">
        <v>72.17</v>
      </c>
      <c r="M95" s="154">
        <v>-10.74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</row>
    <row r="96" spans="1:28" ht="24.75" customHeight="1" x14ac:dyDescent="0.25">
      <c r="A96" s="40"/>
      <c r="B96" s="40"/>
      <c r="C96" s="40"/>
      <c r="D96" s="40"/>
      <c r="E96" s="40"/>
      <c r="F96" s="151">
        <v>7</v>
      </c>
      <c r="G96" s="203" t="s">
        <v>131</v>
      </c>
      <c r="H96" s="203"/>
      <c r="I96" s="152" t="s">
        <v>18</v>
      </c>
      <c r="J96" s="153">
        <v>33</v>
      </c>
      <c r="K96" s="153" t="s">
        <v>397</v>
      </c>
      <c r="L96" s="154">
        <v>73.19</v>
      </c>
      <c r="M96" s="154">
        <v>-9.7200000000000006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</row>
    <row r="97" spans="1:28" ht="24.75" customHeight="1" x14ac:dyDescent="0.25">
      <c r="A97" s="40"/>
      <c r="B97" s="40"/>
      <c r="C97" s="40"/>
      <c r="D97" s="40"/>
      <c r="E97" s="40"/>
      <c r="F97" s="151">
        <v>8</v>
      </c>
      <c r="G97" s="204" t="s">
        <v>133</v>
      </c>
      <c r="H97" s="204"/>
      <c r="I97" s="161" t="s">
        <v>384</v>
      </c>
      <c r="J97" s="162">
        <v>25</v>
      </c>
      <c r="K97" s="162" t="s">
        <v>386</v>
      </c>
      <c r="L97" s="163">
        <v>75.88</v>
      </c>
      <c r="M97" s="163">
        <v>-7.03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</row>
    <row r="98" spans="1:28" ht="24.75" customHeight="1" x14ac:dyDescent="0.25">
      <c r="A98" s="40"/>
      <c r="B98" s="40"/>
      <c r="C98" s="40"/>
      <c r="D98" s="40"/>
      <c r="E98" s="40"/>
      <c r="F98" s="151">
        <v>9</v>
      </c>
      <c r="G98" s="205" t="s">
        <v>132</v>
      </c>
      <c r="H98" s="205"/>
      <c r="I98" s="158" t="s">
        <v>353</v>
      </c>
      <c r="J98" s="159">
        <v>7</v>
      </c>
      <c r="K98" s="159" t="s">
        <v>358</v>
      </c>
      <c r="L98" s="160">
        <v>76.25</v>
      </c>
      <c r="M98" s="160">
        <v>-6.66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</row>
    <row r="99" spans="1:28" ht="24.75" customHeight="1" x14ac:dyDescent="0.25">
      <c r="A99" s="40"/>
      <c r="B99" s="40"/>
      <c r="C99" s="40"/>
      <c r="D99" s="40"/>
      <c r="E99" s="40"/>
      <c r="F99" s="151">
        <v>10</v>
      </c>
      <c r="G99" s="206" t="s">
        <v>142</v>
      </c>
      <c r="H99" s="206"/>
      <c r="I99" s="164" t="s">
        <v>21</v>
      </c>
      <c r="J99" s="165">
        <v>43</v>
      </c>
      <c r="K99" s="165" t="s">
        <v>409</v>
      </c>
      <c r="L99" s="166">
        <v>77.12</v>
      </c>
      <c r="M99" s="166">
        <v>-5.79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</row>
    <row r="100" spans="1:28" ht="15" customHeight="1" x14ac:dyDescent="0.25">
      <c r="A100" s="40"/>
      <c r="B100" s="40"/>
      <c r="C100" s="40"/>
      <c r="D100" s="40"/>
      <c r="E100" s="40"/>
      <c r="F100" s="40"/>
      <c r="G100" s="167"/>
      <c r="H100" s="167"/>
      <c r="I100" s="167"/>
      <c r="J100" s="167"/>
      <c r="K100" s="167"/>
      <c r="L100" s="167"/>
      <c r="M100" s="167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F23:F29"/>
    <mergeCell ref="G23:G29"/>
    <mergeCell ref="B21:B22"/>
    <mergeCell ref="C21:C22"/>
    <mergeCell ref="D21:D22"/>
    <mergeCell ref="E21:E22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G81:H81"/>
    <mergeCell ref="G82:H82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G77:H77"/>
    <mergeCell ref="G78:H78"/>
    <mergeCell ref="G79:H79"/>
    <mergeCell ref="G80:H80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H30:I30"/>
    <mergeCell ref="I31:I32"/>
    <mergeCell ref="I33:I34"/>
    <mergeCell ref="H35:I37"/>
    <mergeCell ref="I38:I41"/>
    <mergeCell ref="H43:I43"/>
    <mergeCell ref="H44:I45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showGridLines="0" topLeftCell="D7" workbookViewId="0">
      <selection activeCell="N19" sqref="N19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302" t="s">
        <v>155</v>
      </c>
      <c r="C2" s="302"/>
      <c r="D2" s="302"/>
      <c r="E2" s="302"/>
      <c r="F2" s="302"/>
      <c r="G2" s="302"/>
      <c r="H2" s="302"/>
      <c r="I2" s="302"/>
      <c r="J2" s="302"/>
    </row>
    <row r="3" spans="2:10" ht="20.100000000000001" customHeight="1" x14ac:dyDescent="0.25">
      <c r="B3" s="28" t="s">
        <v>29</v>
      </c>
      <c r="C3" s="28" t="s">
        <v>156</v>
      </c>
      <c r="D3" s="28" t="s">
        <v>157</v>
      </c>
      <c r="E3" s="28" t="s">
        <v>158</v>
      </c>
      <c r="F3" s="28" t="s">
        <v>159</v>
      </c>
      <c r="G3" s="28" t="s">
        <v>160</v>
      </c>
      <c r="H3" s="28" t="s">
        <v>161</v>
      </c>
      <c r="I3" s="28" t="s">
        <v>162</v>
      </c>
      <c r="J3" s="28" t="s">
        <v>163</v>
      </c>
    </row>
    <row r="4" spans="2:10" x14ac:dyDescent="0.25">
      <c r="B4" s="27" t="s">
        <v>164</v>
      </c>
      <c r="C4" s="27" t="s">
        <v>144</v>
      </c>
      <c r="D4" s="27" t="s">
        <v>143</v>
      </c>
      <c r="E4" s="27" t="s">
        <v>165</v>
      </c>
      <c r="F4" s="27" t="s">
        <v>204</v>
      </c>
      <c r="G4" s="27" t="s">
        <v>166</v>
      </c>
      <c r="H4" s="27" t="s">
        <v>205</v>
      </c>
      <c r="I4" s="27">
        <v>1</v>
      </c>
      <c r="J4" s="29"/>
    </row>
    <row r="5" spans="2:10" x14ac:dyDescent="0.25">
      <c r="B5" s="27" t="s">
        <v>167</v>
      </c>
      <c r="C5" s="27" t="s">
        <v>144</v>
      </c>
      <c r="D5" s="27" t="s">
        <v>143</v>
      </c>
      <c r="E5" s="27" t="s">
        <v>165</v>
      </c>
      <c r="F5" s="27" t="s">
        <v>204</v>
      </c>
      <c r="G5" s="27"/>
      <c r="H5" s="27"/>
      <c r="I5" s="27">
        <v>1</v>
      </c>
      <c r="J5" s="29"/>
    </row>
    <row r="6" spans="2:10" x14ac:dyDescent="0.25">
      <c r="B6" s="27" t="s">
        <v>98</v>
      </c>
      <c r="C6" s="27" t="s">
        <v>27</v>
      </c>
      <c r="D6" s="27" t="s">
        <v>143</v>
      </c>
      <c r="E6" s="27" t="s">
        <v>175</v>
      </c>
      <c r="F6" s="27" t="s">
        <v>206</v>
      </c>
      <c r="G6" s="27" t="s">
        <v>176</v>
      </c>
      <c r="H6" s="27" t="s">
        <v>207</v>
      </c>
      <c r="I6" s="27">
        <v>1</v>
      </c>
      <c r="J6" s="29"/>
    </row>
    <row r="7" spans="2:10" x14ac:dyDescent="0.25">
      <c r="B7" s="27" t="s">
        <v>99</v>
      </c>
      <c r="C7" s="27" t="s">
        <v>27</v>
      </c>
      <c r="D7" s="27" t="s">
        <v>143</v>
      </c>
      <c r="E7" s="27" t="s">
        <v>175</v>
      </c>
      <c r="F7" s="27" t="s">
        <v>206</v>
      </c>
      <c r="G7" s="27"/>
      <c r="H7" s="27"/>
      <c r="I7" s="27">
        <v>1</v>
      </c>
      <c r="J7" s="29"/>
    </row>
    <row r="8" spans="2:10" x14ac:dyDescent="0.25">
      <c r="B8" s="27" t="s">
        <v>100</v>
      </c>
      <c r="C8" s="27" t="s">
        <v>28</v>
      </c>
      <c r="D8" s="27" t="s">
        <v>143</v>
      </c>
      <c r="E8" s="27" t="s">
        <v>177</v>
      </c>
      <c r="F8" s="27" t="s">
        <v>208</v>
      </c>
      <c r="G8" s="27" t="s">
        <v>178</v>
      </c>
      <c r="H8" s="27" t="s">
        <v>209</v>
      </c>
      <c r="I8" s="27">
        <v>1</v>
      </c>
      <c r="J8" s="29"/>
    </row>
    <row r="9" spans="2:10" x14ac:dyDescent="0.25">
      <c r="B9" s="27" t="s">
        <v>101</v>
      </c>
      <c r="C9" s="27" t="s">
        <v>28</v>
      </c>
      <c r="D9" s="27" t="s">
        <v>143</v>
      </c>
      <c r="E9" s="27" t="s">
        <v>177</v>
      </c>
      <c r="F9" s="27" t="s">
        <v>208</v>
      </c>
      <c r="G9" s="27"/>
      <c r="H9" s="27"/>
      <c r="I9" s="27">
        <v>1</v>
      </c>
      <c r="J9" s="29"/>
    </row>
    <row r="10" spans="2:10" x14ac:dyDescent="0.25">
      <c r="B10" s="27" t="s">
        <v>102</v>
      </c>
      <c r="C10" s="27" t="s">
        <v>114</v>
      </c>
      <c r="D10" s="27" t="s">
        <v>143</v>
      </c>
      <c r="E10" s="27" t="s">
        <v>179</v>
      </c>
      <c r="F10" s="27" t="s">
        <v>210</v>
      </c>
      <c r="G10" s="27" t="s">
        <v>180</v>
      </c>
      <c r="H10" s="27" t="s">
        <v>211</v>
      </c>
      <c r="I10" s="27">
        <v>1</v>
      </c>
      <c r="J10" s="29"/>
    </row>
    <row r="11" spans="2:10" x14ac:dyDescent="0.25">
      <c r="B11" s="27" t="s">
        <v>103</v>
      </c>
      <c r="C11" s="27" t="s">
        <v>114</v>
      </c>
      <c r="D11" s="27" t="s">
        <v>143</v>
      </c>
      <c r="E11" s="27" t="s">
        <v>179</v>
      </c>
      <c r="F11" s="27" t="s">
        <v>210</v>
      </c>
      <c r="G11" s="27"/>
      <c r="H11" s="27"/>
      <c r="I11" s="27">
        <v>1</v>
      </c>
      <c r="J11" s="29"/>
    </row>
    <row r="12" spans="2:10" x14ac:dyDescent="0.25">
      <c r="B12" s="27" t="s">
        <v>104</v>
      </c>
      <c r="C12" s="27" t="s">
        <v>193</v>
      </c>
      <c r="D12" s="27" t="s">
        <v>143</v>
      </c>
      <c r="E12" s="27" t="s">
        <v>212</v>
      </c>
      <c r="F12" s="27" t="s">
        <v>213</v>
      </c>
      <c r="G12" s="27" t="s">
        <v>214</v>
      </c>
      <c r="H12" s="27" t="s">
        <v>215</v>
      </c>
      <c r="I12" s="27">
        <v>2</v>
      </c>
      <c r="J12" s="29"/>
    </row>
    <row r="13" spans="2:10" x14ac:dyDescent="0.25">
      <c r="B13" s="27" t="s">
        <v>168</v>
      </c>
      <c r="C13" s="27" t="s">
        <v>193</v>
      </c>
      <c r="D13" s="27" t="s">
        <v>143</v>
      </c>
      <c r="E13" s="27" t="s">
        <v>212</v>
      </c>
      <c r="F13" s="27" t="s">
        <v>213</v>
      </c>
      <c r="G13" s="27"/>
      <c r="H13" s="27"/>
      <c r="I13" s="27">
        <v>1</v>
      </c>
      <c r="J13" s="29"/>
    </row>
    <row r="14" spans="2:10" x14ac:dyDescent="0.25">
      <c r="B14" s="27" t="s">
        <v>105</v>
      </c>
      <c r="C14" s="27" t="s">
        <v>115</v>
      </c>
      <c r="D14" s="27" t="s">
        <v>143</v>
      </c>
      <c r="E14" s="27" t="s">
        <v>216</v>
      </c>
      <c r="F14" s="27" t="s">
        <v>217</v>
      </c>
      <c r="G14" s="27" t="s">
        <v>218</v>
      </c>
      <c r="H14" s="27" t="s">
        <v>219</v>
      </c>
      <c r="I14" s="27">
        <v>1</v>
      </c>
      <c r="J14" s="29"/>
    </row>
    <row r="15" spans="2:10" x14ac:dyDescent="0.25">
      <c r="B15" s="27" t="s">
        <v>106</v>
      </c>
      <c r="C15" s="27" t="s">
        <v>115</v>
      </c>
      <c r="D15" s="27" t="s">
        <v>143</v>
      </c>
      <c r="E15" s="27" t="s">
        <v>216</v>
      </c>
      <c r="F15" s="27" t="s">
        <v>217</v>
      </c>
      <c r="G15" s="27"/>
      <c r="H15" s="27"/>
      <c r="I15" s="27">
        <v>1</v>
      </c>
      <c r="J15" s="29"/>
    </row>
    <row r="16" spans="2:10" x14ac:dyDescent="0.25">
      <c r="B16" s="27" t="s">
        <v>107</v>
      </c>
      <c r="C16" s="27" t="s">
        <v>194</v>
      </c>
      <c r="D16" s="27" t="s">
        <v>143</v>
      </c>
      <c r="E16" s="27" t="s">
        <v>169</v>
      </c>
      <c r="F16" s="27" t="s">
        <v>181</v>
      </c>
      <c r="G16" s="27" t="s">
        <v>170</v>
      </c>
      <c r="H16" s="27" t="s">
        <v>182</v>
      </c>
      <c r="I16" s="27">
        <v>3</v>
      </c>
      <c r="J16" s="29"/>
    </row>
    <row r="17" spans="2:10" x14ac:dyDescent="0.25">
      <c r="B17" s="27" t="s">
        <v>171</v>
      </c>
      <c r="C17" s="27" t="s">
        <v>194</v>
      </c>
      <c r="D17" s="27" t="s">
        <v>143</v>
      </c>
      <c r="E17" s="27" t="s">
        <v>169</v>
      </c>
      <c r="F17" s="27" t="s">
        <v>181</v>
      </c>
      <c r="G17" s="27"/>
      <c r="H17" s="27"/>
      <c r="I17" s="27">
        <v>1</v>
      </c>
      <c r="J17" s="29"/>
    </row>
    <row r="18" spans="2:10" x14ac:dyDescent="0.25">
      <c r="B18" s="27" t="s">
        <v>108</v>
      </c>
      <c r="C18" s="27" t="s">
        <v>116</v>
      </c>
      <c r="D18" s="27" t="s">
        <v>143</v>
      </c>
      <c r="E18" s="27" t="s">
        <v>220</v>
      </c>
      <c r="F18" s="27" t="s">
        <v>172</v>
      </c>
      <c r="G18" s="27" t="s">
        <v>221</v>
      </c>
      <c r="H18" s="27" t="s">
        <v>173</v>
      </c>
      <c r="I18" s="27">
        <v>1</v>
      </c>
      <c r="J18" s="29"/>
    </row>
    <row r="19" spans="2:10" x14ac:dyDescent="0.25">
      <c r="B19" s="27" t="s">
        <v>109</v>
      </c>
      <c r="C19" s="27" t="s">
        <v>116</v>
      </c>
      <c r="D19" s="27" t="s">
        <v>143</v>
      </c>
      <c r="E19" s="27" t="s">
        <v>220</v>
      </c>
      <c r="F19" s="27" t="s">
        <v>172</v>
      </c>
      <c r="G19" s="27"/>
      <c r="H19" s="27"/>
      <c r="I19" s="27">
        <v>1</v>
      </c>
      <c r="J19" s="29"/>
    </row>
    <row r="20" spans="2:10" x14ac:dyDescent="0.25">
      <c r="B20" s="27" t="s">
        <v>110</v>
      </c>
      <c r="C20" s="27" t="s">
        <v>97</v>
      </c>
      <c r="D20" s="27" t="s">
        <v>143</v>
      </c>
      <c r="E20" s="27" t="s">
        <v>183</v>
      </c>
      <c r="F20" s="27" t="s">
        <v>222</v>
      </c>
      <c r="G20" s="27" t="s">
        <v>184</v>
      </c>
      <c r="H20" s="27" t="s">
        <v>223</v>
      </c>
      <c r="I20" s="27">
        <v>4</v>
      </c>
      <c r="J20" s="29"/>
    </row>
    <row r="21" spans="2:10" x14ac:dyDescent="0.25">
      <c r="B21" s="27" t="s">
        <v>111</v>
      </c>
      <c r="C21" s="27" t="s">
        <v>97</v>
      </c>
      <c r="D21" s="27" t="s">
        <v>143</v>
      </c>
      <c r="E21" s="27" t="s">
        <v>183</v>
      </c>
      <c r="F21" s="27" t="s">
        <v>222</v>
      </c>
      <c r="G21" s="27"/>
      <c r="H21" s="27"/>
      <c r="I21" s="27">
        <v>1</v>
      </c>
      <c r="J21" s="29"/>
    </row>
    <row r="22" spans="2:10" x14ac:dyDescent="0.25">
      <c r="B22" s="27" t="s">
        <v>112</v>
      </c>
      <c r="C22" s="27" t="s">
        <v>117</v>
      </c>
      <c r="D22" s="27" t="s">
        <v>143</v>
      </c>
      <c r="E22" s="27" t="s">
        <v>224</v>
      </c>
      <c r="F22" s="27" t="s">
        <v>225</v>
      </c>
      <c r="G22" s="27" t="s">
        <v>226</v>
      </c>
      <c r="H22" s="27" t="s">
        <v>227</v>
      </c>
      <c r="I22" s="27">
        <v>1</v>
      </c>
      <c r="J22" s="29"/>
    </row>
    <row r="23" spans="2:10" x14ac:dyDescent="0.25">
      <c r="B23" s="27" t="s">
        <v>113</v>
      </c>
      <c r="C23" s="27" t="s">
        <v>117</v>
      </c>
      <c r="D23" s="27" t="s">
        <v>143</v>
      </c>
      <c r="E23" s="27" t="s">
        <v>224</v>
      </c>
      <c r="F23" s="27" t="s">
        <v>225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B61" workbookViewId="0">
      <selection activeCell="G38" sqref="G38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93</v>
      </c>
      <c r="C3" s="32">
        <v>1</v>
      </c>
    </row>
    <row r="4" spans="2:8" x14ac:dyDescent="0.25">
      <c r="C4" s="12"/>
    </row>
    <row r="5" spans="2:8" x14ac:dyDescent="0.25">
      <c r="B5" s="16" t="s">
        <v>29</v>
      </c>
      <c r="C5" s="303" t="s">
        <v>134</v>
      </c>
      <c r="D5" s="304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3" t="s">
        <v>447</v>
      </c>
      <c r="F6" s="33" t="s">
        <v>448</v>
      </c>
      <c r="G6" s="33"/>
      <c r="H6" s="33"/>
    </row>
    <row r="7" spans="2:8" ht="15" customHeight="1" x14ac:dyDescent="0.25">
      <c r="B7" s="16" t="s">
        <v>29</v>
      </c>
      <c r="C7" s="309" t="s">
        <v>55</v>
      </c>
      <c r="D7" s="310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3" t="s">
        <v>449</v>
      </c>
      <c r="F8" s="33" t="s">
        <v>450</v>
      </c>
      <c r="G8" s="33"/>
      <c r="H8" s="33"/>
    </row>
    <row r="9" spans="2:8" ht="30" x14ac:dyDescent="0.25">
      <c r="B9" s="17" t="s">
        <v>73</v>
      </c>
      <c r="C9" s="14" t="s">
        <v>136</v>
      </c>
      <c r="D9" s="18"/>
      <c r="E9" s="33" t="s">
        <v>445</v>
      </c>
      <c r="F9" s="33" t="s">
        <v>446</v>
      </c>
      <c r="G9" s="33" t="s">
        <v>177</v>
      </c>
      <c r="H9" s="33" t="s">
        <v>177</v>
      </c>
    </row>
    <row r="10" spans="2:8" ht="30.75" customHeight="1" x14ac:dyDescent="0.25">
      <c r="B10" s="17" t="s">
        <v>60</v>
      </c>
      <c r="C10" s="14" t="s">
        <v>26</v>
      </c>
      <c r="D10" s="18"/>
      <c r="E10" s="33" t="s">
        <v>443</v>
      </c>
      <c r="F10" s="33" t="s">
        <v>444</v>
      </c>
      <c r="G10" s="33"/>
      <c r="H10" s="33"/>
    </row>
    <row r="11" spans="2:8" ht="45" x14ac:dyDescent="0.25">
      <c r="B11" s="17" t="s">
        <v>74</v>
      </c>
      <c r="C11" s="14" t="s">
        <v>137</v>
      </c>
      <c r="D11" s="18"/>
      <c r="E11" s="33" t="s">
        <v>208</v>
      </c>
      <c r="F11" s="33" t="s">
        <v>451</v>
      </c>
      <c r="G11" s="33" t="s">
        <v>177</v>
      </c>
      <c r="H11" s="33" t="s">
        <v>177</v>
      </c>
    </row>
    <row r="12" spans="2:8" x14ac:dyDescent="0.25">
      <c r="B12" s="24" t="s">
        <v>29</v>
      </c>
      <c r="C12" s="309" t="s">
        <v>26</v>
      </c>
      <c r="D12" s="310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05" t="s">
        <v>61</v>
      </c>
      <c r="C13" s="14" t="s">
        <v>130</v>
      </c>
      <c r="D13" s="10" t="s">
        <v>33</v>
      </c>
      <c r="E13" s="34" t="s">
        <v>452</v>
      </c>
      <c r="F13" s="34" t="s">
        <v>453</v>
      </c>
      <c r="G13" s="33"/>
      <c r="H13" s="33"/>
    </row>
    <row r="14" spans="2:8" x14ac:dyDescent="0.25">
      <c r="B14" s="306"/>
      <c r="C14" s="313" t="s">
        <v>33</v>
      </c>
      <c r="D14" s="10" t="s">
        <v>11</v>
      </c>
      <c r="E14" s="34" t="s">
        <v>34</v>
      </c>
      <c r="F14" s="34" t="s">
        <v>460</v>
      </c>
      <c r="G14" s="33"/>
      <c r="H14" s="33"/>
    </row>
    <row r="15" spans="2:8" x14ac:dyDescent="0.25">
      <c r="B15" s="306"/>
      <c r="C15" s="313"/>
      <c r="D15" s="10" t="s">
        <v>12</v>
      </c>
      <c r="E15" s="34" t="s">
        <v>35</v>
      </c>
      <c r="F15" s="34" t="s">
        <v>461</v>
      </c>
      <c r="G15" s="33"/>
      <c r="H15" s="33"/>
    </row>
    <row r="16" spans="2:8" x14ac:dyDescent="0.25">
      <c r="B16" s="307"/>
      <c r="C16" s="313"/>
      <c r="D16" s="10" t="s">
        <v>13</v>
      </c>
      <c r="E16" s="34" t="s">
        <v>36</v>
      </c>
      <c r="F16" s="34" t="s">
        <v>462</v>
      </c>
      <c r="G16" s="33"/>
      <c r="H16" s="33"/>
    </row>
    <row r="17" spans="2:8" x14ac:dyDescent="0.25">
      <c r="B17" s="305" t="s">
        <v>62</v>
      </c>
      <c r="C17" s="14" t="s">
        <v>130</v>
      </c>
      <c r="D17" s="10" t="s">
        <v>37</v>
      </c>
      <c r="E17" s="34" t="s">
        <v>454</v>
      </c>
      <c r="F17" s="34" t="s">
        <v>455</v>
      </c>
      <c r="G17" s="33"/>
      <c r="H17" s="33"/>
    </row>
    <row r="18" spans="2:8" x14ac:dyDescent="0.25">
      <c r="B18" s="306"/>
      <c r="C18" s="308" t="s">
        <v>37</v>
      </c>
      <c r="D18" s="10" t="s">
        <v>14</v>
      </c>
      <c r="E18" s="34" t="s">
        <v>38</v>
      </c>
      <c r="F18" s="34" t="s">
        <v>463</v>
      </c>
      <c r="G18" s="33"/>
      <c r="H18" s="33"/>
    </row>
    <row r="19" spans="2:8" x14ac:dyDescent="0.25">
      <c r="B19" s="306"/>
      <c r="C19" s="314"/>
      <c r="D19" s="18" t="s">
        <v>15</v>
      </c>
      <c r="E19" s="33" t="s">
        <v>39</v>
      </c>
      <c r="F19" s="33" t="s">
        <v>464</v>
      </c>
      <c r="G19" s="33"/>
      <c r="H19" s="33"/>
    </row>
    <row r="20" spans="2:8" x14ac:dyDescent="0.25">
      <c r="B20" s="307"/>
      <c r="C20" s="314"/>
      <c r="D20" s="10" t="s">
        <v>16</v>
      </c>
      <c r="E20" s="34" t="s">
        <v>40</v>
      </c>
      <c r="F20" s="34" t="s">
        <v>465</v>
      </c>
      <c r="G20" s="33"/>
      <c r="H20" s="33"/>
    </row>
    <row r="21" spans="2:8" x14ac:dyDescent="0.25">
      <c r="B21" s="305" t="s">
        <v>63</v>
      </c>
      <c r="C21" s="23" t="s">
        <v>130</v>
      </c>
      <c r="D21" s="10" t="s">
        <v>41</v>
      </c>
      <c r="E21" s="34" t="s">
        <v>456</v>
      </c>
      <c r="F21" s="34" t="s">
        <v>326</v>
      </c>
      <c r="G21" s="33"/>
      <c r="H21" s="33"/>
    </row>
    <row r="22" spans="2:8" x14ac:dyDescent="0.25">
      <c r="B22" s="306"/>
      <c r="C22" s="308" t="s">
        <v>41</v>
      </c>
      <c r="D22" s="10" t="s">
        <v>17</v>
      </c>
      <c r="E22" s="34" t="s">
        <v>42</v>
      </c>
      <c r="F22" s="34" t="s">
        <v>466</v>
      </c>
      <c r="G22" s="33"/>
      <c r="H22" s="33"/>
    </row>
    <row r="23" spans="2:8" x14ac:dyDescent="0.25">
      <c r="B23" s="306"/>
      <c r="C23" s="314"/>
      <c r="D23" s="18" t="s">
        <v>18</v>
      </c>
      <c r="E23" s="33" t="s">
        <v>43</v>
      </c>
      <c r="F23" s="33" t="s">
        <v>467</v>
      </c>
      <c r="G23" s="33"/>
      <c r="H23" s="33"/>
    </row>
    <row r="24" spans="2:8" x14ac:dyDescent="0.25">
      <c r="B24" s="307"/>
      <c r="C24" s="314"/>
      <c r="D24" s="10" t="s">
        <v>19</v>
      </c>
      <c r="E24" s="34" t="s">
        <v>44</v>
      </c>
      <c r="F24" s="34" t="s">
        <v>468</v>
      </c>
      <c r="G24" s="33"/>
      <c r="H24" s="33"/>
    </row>
    <row r="25" spans="2:8" ht="15" customHeight="1" x14ac:dyDescent="0.25">
      <c r="B25" s="305" t="s">
        <v>64</v>
      </c>
      <c r="C25" s="23" t="s">
        <v>130</v>
      </c>
      <c r="D25" s="10" t="s">
        <v>45</v>
      </c>
      <c r="E25" s="34" t="s">
        <v>457</v>
      </c>
      <c r="F25" s="34" t="s">
        <v>458</v>
      </c>
      <c r="G25" s="33"/>
      <c r="H25" s="33"/>
    </row>
    <row r="26" spans="2:8" x14ac:dyDescent="0.25">
      <c r="B26" s="306"/>
      <c r="C26" s="313" t="s">
        <v>45</v>
      </c>
      <c r="D26" s="18" t="s">
        <v>20</v>
      </c>
      <c r="E26" s="33" t="s">
        <v>46</v>
      </c>
      <c r="F26" s="33" t="s">
        <v>469</v>
      </c>
      <c r="G26" s="33"/>
      <c r="H26" s="33"/>
    </row>
    <row r="27" spans="2:8" x14ac:dyDescent="0.25">
      <c r="B27" s="306"/>
      <c r="C27" s="313"/>
      <c r="D27" s="18" t="s">
        <v>21</v>
      </c>
      <c r="E27" s="33" t="s">
        <v>47</v>
      </c>
      <c r="F27" s="33" t="s">
        <v>470</v>
      </c>
      <c r="G27" s="33"/>
      <c r="H27" s="33"/>
    </row>
    <row r="28" spans="2:8" x14ac:dyDescent="0.25">
      <c r="B28" s="307"/>
      <c r="C28" s="313"/>
      <c r="D28" s="18" t="s">
        <v>22</v>
      </c>
      <c r="E28" s="33" t="s">
        <v>48</v>
      </c>
      <c r="F28" s="33" t="s">
        <v>471</v>
      </c>
      <c r="G28" s="33"/>
      <c r="H28" s="33"/>
    </row>
    <row r="29" spans="2:8" x14ac:dyDescent="0.25">
      <c r="B29" s="305" t="s">
        <v>65</v>
      </c>
      <c r="C29" s="23" t="s">
        <v>130</v>
      </c>
      <c r="D29" s="10" t="s">
        <v>138</v>
      </c>
      <c r="E29" s="34" t="s">
        <v>459</v>
      </c>
      <c r="F29" s="34" t="s">
        <v>444</v>
      </c>
      <c r="G29" s="33"/>
      <c r="H29" s="33"/>
    </row>
    <row r="30" spans="2:8" x14ac:dyDescent="0.25">
      <c r="B30" s="306"/>
      <c r="C30" s="313" t="s">
        <v>138</v>
      </c>
      <c r="D30" s="18" t="s">
        <v>23</v>
      </c>
      <c r="E30" s="33" t="s">
        <v>49</v>
      </c>
      <c r="F30" s="33" t="s">
        <v>472</v>
      </c>
      <c r="G30" s="33"/>
      <c r="H30" s="33"/>
    </row>
    <row r="31" spans="2:8" x14ac:dyDescent="0.25">
      <c r="B31" s="306"/>
      <c r="C31" s="313"/>
      <c r="D31" s="10" t="s">
        <v>24</v>
      </c>
      <c r="E31" s="34" t="s">
        <v>50</v>
      </c>
      <c r="F31" s="34" t="s">
        <v>473</v>
      </c>
      <c r="G31" s="33"/>
      <c r="H31" s="33"/>
    </row>
    <row r="32" spans="2:8" x14ac:dyDescent="0.25">
      <c r="B32" s="307"/>
      <c r="C32" s="313"/>
      <c r="D32" s="18" t="s">
        <v>25</v>
      </c>
      <c r="E32" s="33" t="s">
        <v>51</v>
      </c>
      <c r="F32" s="33" t="s">
        <v>474</v>
      </c>
      <c r="G32" s="33"/>
      <c r="H32" s="33"/>
    </row>
    <row r="33" spans="2:8" x14ac:dyDescent="0.25">
      <c r="B33" s="24" t="s">
        <v>29</v>
      </c>
      <c r="C33" s="309" t="s">
        <v>57</v>
      </c>
      <c r="D33" s="310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3" t="s">
        <v>480</v>
      </c>
      <c r="F34" s="33" t="s">
        <v>481</v>
      </c>
      <c r="G34" s="33"/>
      <c r="H34" s="33"/>
    </row>
    <row r="35" spans="2:8" x14ac:dyDescent="0.25">
      <c r="B35" s="17" t="s">
        <v>67</v>
      </c>
      <c r="C35" s="14" t="s">
        <v>37</v>
      </c>
      <c r="D35" s="18" t="s">
        <v>58</v>
      </c>
      <c r="E35" s="33" t="s">
        <v>482</v>
      </c>
      <c r="F35" s="33" t="s">
        <v>483</v>
      </c>
      <c r="G35" s="33"/>
      <c r="H35" s="33"/>
    </row>
    <row r="36" spans="2:8" x14ac:dyDescent="0.25">
      <c r="B36" s="17" t="s">
        <v>70</v>
      </c>
      <c r="C36" s="14" t="s">
        <v>41</v>
      </c>
      <c r="D36" s="18" t="s">
        <v>58</v>
      </c>
      <c r="E36" s="33" t="s">
        <v>484</v>
      </c>
      <c r="F36" s="33" t="s">
        <v>487</v>
      </c>
      <c r="G36" s="33"/>
      <c r="H36" s="33"/>
    </row>
    <row r="37" spans="2:8" x14ac:dyDescent="0.25">
      <c r="B37" s="17" t="s">
        <v>68</v>
      </c>
      <c r="C37" s="14" t="s">
        <v>45</v>
      </c>
      <c r="D37" s="18" t="s">
        <v>58</v>
      </c>
      <c r="E37" s="33" t="s">
        <v>485</v>
      </c>
      <c r="F37" s="33" t="s">
        <v>488</v>
      </c>
      <c r="G37" s="33"/>
      <c r="H37" s="33"/>
    </row>
    <row r="38" spans="2:8" x14ac:dyDescent="0.25">
      <c r="B38" s="17" t="s">
        <v>69</v>
      </c>
      <c r="C38" s="14" t="s">
        <v>138</v>
      </c>
      <c r="D38" s="18" t="s">
        <v>58</v>
      </c>
      <c r="E38" s="33" t="s">
        <v>486</v>
      </c>
      <c r="F38" s="33" t="s">
        <v>489</v>
      </c>
      <c r="G38" s="33"/>
      <c r="H38" s="33"/>
    </row>
    <row r="39" spans="2:8" x14ac:dyDescent="0.25">
      <c r="B39" s="24" t="s">
        <v>29</v>
      </c>
      <c r="C39" s="309" t="s">
        <v>135</v>
      </c>
      <c r="D39" s="310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05" t="s">
        <v>92</v>
      </c>
      <c r="C40" s="308" t="s">
        <v>135</v>
      </c>
      <c r="D40" s="10" t="s">
        <v>11</v>
      </c>
      <c r="E40" s="34" t="s">
        <v>77</v>
      </c>
      <c r="F40" s="33"/>
      <c r="G40" s="34" t="s">
        <v>34</v>
      </c>
      <c r="H40" s="33"/>
    </row>
    <row r="41" spans="2:8" x14ac:dyDescent="0.25">
      <c r="B41" s="306"/>
      <c r="C41" s="306"/>
      <c r="D41" s="10" t="s">
        <v>12</v>
      </c>
      <c r="E41" s="34" t="s">
        <v>78</v>
      </c>
      <c r="F41" s="33"/>
      <c r="G41" s="34" t="s">
        <v>35</v>
      </c>
      <c r="H41" s="33"/>
    </row>
    <row r="42" spans="2:8" x14ac:dyDescent="0.25">
      <c r="B42" s="306"/>
      <c r="C42" s="306"/>
      <c r="D42" s="10" t="s">
        <v>13</v>
      </c>
      <c r="E42" s="34" t="s">
        <v>79</v>
      </c>
      <c r="F42" s="33"/>
      <c r="G42" s="34" t="s">
        <v>36</v>
      </c>
      <c r="H42" s="33"/>
    </row>
    <row r="43" spans="2:8" x14ac:dyDescent="0.25">
      <c r="B43" s="306"/>
      <c r="C43" s="306"/>
      <c r="D43" s="10" t="s">
        <v>14</v>
      </c>
      <c r="E43" s="34" t="s">
        <v>80</v>
      </c>
      <c r="F43" s="33"/>
      <c r="G43" s="34" t="s">
        <v>38</v>
      </c>
      <c r="H43" s="33"/>
    </row>
    <row r="44" spans="2:8" x14ac:dyDescent="0.25">
      <c r="B44" s="306"/>
      <c r="C44" s="306"/>
      <c r="D44" s="18" t="s">
        <v>15</v>
      </c>
      <c r="E44" s="33" t="s">
        <v>81</v>
      </c>
      <c r="F44" s="33"/>
      <c r="G44" s="33" t="s">
        <v>39</v>
      </c>
      <c r="H44" s="33"/>
    </row>
    <row r="45" spans="2:8" x14ac:dyDescent="0.25">
      <c r="B45" s="306"/>
      <c r="C45" s="306"/>
      <c r="D45" s="10" t="s">
        <v>16</v>
      </c>
      <c r="E45" s="34" t="s">
        <v>82</v>
      </c>
      <c r="F45" s="33"/>
      <c r="G45" s="34" t="s">
        <v>40</v>
      </c>
      <c r="H45" s="33"/>
    </row>
    <row r="46" spans="2:8" x14ac:dyDescent="0.25">
      <c r="B46" s="306"/>
      <c r="C46" s="306"/>
      <c r="D46" s="10" t="s">
        <v>17</v>
      </c>
      <c r="E46" s="34" t="s">
        <v>83</v>
      </c>
      <c r="F46" s="33"/>
      <c r="G46" s="34" t="s">
        <v>42</v>
      </c>
      <c r="H46" s="33"/>
    </row>
    <row r="47" spans="2:8" x14ac:dyDescent="0.25">
      <c r="B47" s="306"/>
      <c r="C47" s="306"/>
      <c r="D47" s="18" t="s">
        <v>18</v>
      </c>
      <c r="E47" s="33" t="s">
        <v>84</v>
      </c>
      <c r="F47" s="33"/>
      <c r="G47" s="33" t="s">
        <v>43</v>
      </c>
      <c r="H47" s="33"/>
    </row>
    <row r="48" spans="2:8" x14ac:dyDescent="0.25">
      <c r="B48" s="306"/>
      <c r="C48" s="306"/>
      <c r="D48" s="10" t="s">
        <v>19</v>
      </c>
      <c r="E48" s="34" t="s">
        <v>85</v>
      </c>
      <c r="F48" s="33"/>
      <c r="G48" s="34" t="s">
        <v>44</v>
      </c>
      <c r="H48" s="33"/>
    </row>
    <row r="49" spans="2:8" x14ac:dyDescent="0.25">
      <c r="B49" s="306"/>
      <c r="C49" s="306"/>
      <c r="D49" s="18" t="s">
        <v>20</v>
      </c>
      <c r="E49" s="33" t="s">
        <v>86</v>
      </c>
      <c r="F49" s="33"/>
      <c r="G49" s="33" t="s">
        <v>46</v>
      </c>
      <c r="H49" s="33"/>
    </row>
    <row r="50" spans="2:8" x14ac:dyDescent="0.25">
      <c r="B50" s="306"/>
      <c r="C50" s="306"/>
      <c r="D50" s="18" t="s">
        <v>21</v>
      </c>
      <c r="E50" s="33" t="s">
        <v>87</v>
      </c>
      <c r="F50" s="33"/>
      <c r="G50" s="33" t="s">
        <v>47</v>
      </c>
      <c r="H50" s="33"/>
    </row>
    <row r="51" spans="2:8" x14ac:dyDescent="0.25">
      <c r="B51" s="306"/>
      <c r="C51" s="306"/>
      <c r="D51" s="18" t="s">
        <v>22</v>
      </c>
      <c r="E51" s="33" t="s">
        <v>88</v>
      </c>
      <c r="F51" s="33"/>
      <c r="G51" s="33" t="s">
        <v>48</v>
      </c>
      <c r="H51" s="33"/>
    </row>
    <row r="52" spans="2:8" x14ac:dyDescent="0.25">
      <c r="B52" s="306"/>
      <c r="C52" s="306"/>
      <c r="D52" s="18" t="s">
        <v>23</v>
      </c>
      <c r="E52" s="33" t="s">
        <v>89</v>
      </c>
      <c r="F52" s="33"/>
      <c r="G52" s="33" t="s">
        <v>49</v>
      </c>
      <c r="H52" s="33"/>
    </row>
    <row r="53" spans="2:8" x14ac:dyDescent="0.25">
      <c r="B53" s="306"/>
      <c r="C53" s="306"/>
      <c r="D53" s="10" t="s">
        <v>24</v>
      </c>
      <c r="E53" s="34" t="s">
        <v>90</v>
      </c>
      <c r="F53" s="33"/>
      <c r="G53" s="34" t="s">
        <v>50</v>
      </c>
      <c r="H53" s="33"/>
    </row>
    <row r="54" spans="2:8" x14ac:dyDescent="0.25">
      <c r="B54" s="307"/>
      <c r="C54" s="307"/>
      <c r="D54" s="18" t="s">
        <v>25</v>
      </c>
      <c r="E54" s="33" t="s">
        <v>91</v>
      </c>
      <c r="F54" s="33"/>
      <c r="G54" s="33" t="s">
        <v>51</v>
      </c>
      <c r="H54" s="33"/>
    </row>
    <row r="55" spans="2:8" x14ac:dyDescent="0.25">
      <c r="B55" s="305" t="s">
        <v>75</v>
      </c>
      <c r="C55" s="308" t="s">
        <v>135</v>
      </c>
      <c r="D55" s="10" t="s">
        <v>94</v>
      </c>
      <c r="E55" s="34" t="s">
        <v>95</v>
      </c>
      <c r="F55" s="34" t="s">
        <v>475</v>
      </c>
      <c r="G55" s="33"/>
      <c r="H55" s="33"/>
    </row>
    <row r="56" spans="2:8" ht="15" customHeight="1" x14ac:dyDescent="0.25">
      <c r="B56" s="306"/>
      <c r="C56" s="306"/>
      <c r="D56" s="10" t="s">
        <v>11</v>
      </c>
      <c r="E56" s="34" t="s">
        <v>34</v>
      </c>
      <c r="F56" s="34" t="s">
        <v>460</v>
      </c>
      <c r="G56" s="33"/>
      <c r="H56" s="33"/>
    </row>
    <row r="57" spans="2:8" x14ac:dyDescent="0.25">
      <c r="B57" s="306"/>
      <c r="C57" s="306"/>
      <c r="D57" s="10" t="s">
        <v>12</v>
      </c>
      <c r="E57" s="34" t="s">
        <v>35</v>
      </c>
      <c r="F57" s="34" t="s">
        <v>461</v>
      </c>
      <c r="G57" s="33"/>
      <c r="H57" s="33"/>
    </row>
    <row r="58" spans="2:8" x14ac:dyDescent="0.25">
      <c r="B58" s="306"/>
      <c r="C58" s="306"/>
      <c r="D58" s="10" t="s">
        <v>13</v>
      </c>
      <c r="E58" s="34" t="s">
        <v>36</v>
      </c>
      <c r="F58" s="34" t="s">
        <v>462</v>
      </c>
      <c r="G58" s="33"/>
      <c r="H58" s="33"/>
    </row>
    <row r="59" spans="2:8" x14ac:dyDescent="0.25">
      <c r="B59" s="306"/>
      <c r="C59" s="306"/>
      <c r="D59" s="10" t="s">
        <v>14</v>
      </c>
      <c r="E59" s="34" t="s">
        <v>38</v>
      </c>
      <c r="F59" s="34" t="s">
        <v>463</v>
      </c>
      <c r="G59" s="33"/>
      <c r="H59" s="33"/>
    </row>
    <row r="60" spans="2:8" x14ac:dyDescent="0.25">
      <c r="B60" s="306"/>
      <c r="C60" s="306"/>
      <c r="D60" s="18" t="s">
        <v>15</v>
      </c>
      <c r="E60" s="33" t="s">
        <v>39</v>
      </c>
      <c r="F60" s="33" t="s">
        <v>464</v>
      </c>
      <c r="G60" s="33"/>
      <c r="H60" s="33"/>
    </row>
    <row r="61" spans="2:8" x14ac:dyDescent="0.25">
      <c r="B61" s="306"/>
      <c r="C61" s="306"/>
      <c r="D61" s="10" t="s">
        <v>16</v>
      </c>
      <c r="E61" s="34" t="s">
        <v>40</v>
      </c>
      <c r="F61" s="34" t="s">
        <v>465</v>
      </c>
      <c r="G61" s="33"/>
      <c r="H61" s="33"/>
    </row>
    <row r="62" spans="2:8" x14ac:dyDescent="0.25">
      <c r="B62" s="306"/>
      <c r="C62" s="306"/>
      <c r="D62" s="10" t="s">
        <v>17</v>
      </c>
      <c r="E62" s="34" t="s">
        <v>42</v>
      </c>
      <c r="F62" s="34" t="s">
        <v>466</v>
      </c>
      <c r="G62" s="33"/>
      <c r="H62" s="33"/>
    </row>
    <row r="63" spans="2:8" x14ac:dyDescent="0.25">
      <c r="B63" s="306"/>
      <c r="C63" s="306"/>
      <c r="D63" s="18" t="s">
        <v>18</v>
      </c>
      <c r="E63" s="33" t="s">
        <v>43</v>
      </c>
      <c r="F63" s="33" t="s">
        <v>467</v>
      </c>
      <c r="G63" s="33"/>
      <c r="H63" s="33"/>
    </row>
    <row r="64" spans="2:8" x14ac:dyDescent="0.25">
      <c r="B64" s="306"/>
      <c r="C64" s="306"/>
      <c r="D64" s="10" t="s">
        <v>19</v>
      </c>
      <c r="E64" s="34" t="s">
        <v>44</v>
      </c>
      <c r="F64" s="34" t="s">
        <v>468</v>
      </c>
      <c r="G64" s="33"/>
      <c r="H64" s="33"/>
    </row>
    <row r="65" spans="2:8" x14ac:dyDescent="0.25">
      <c r="B65" s="306"/>
      <c r="C65" s="306"/>
      <c r="D65" s="18" t="s">
        <v>20</v>
      </c>
      <c r="E65" s="33" t="s">
        <v>46</v>
      </c>
      <c r="F65" s="33" t="s">
        <v>469</v>
      </c>
      <c r="G65" s="33"/>
      <c r="H65" s="33"/>
    </row>
    <row r="66" spans="2:8" ht="15" customHeight="1" x14ac:dyDescent="0.25">
      <c r="B66" s="306"/>
      <c r="C66" s="306"/>
      <c r="D66" s="18" t="s">
        <v>21</v>
      </c>
      <c r="E66" s="33" t="s">
        <v>47</v>
      </c>
      <c r="F66" s="33" t="s">
        <v>470</v>
      </c>
      <c r="G66" s="33"/>
      <c r="H66" s="33"/>
    </row>
    <row r="67" spans="2:8" x14ac:dyDescent="0.25">
      <c r="B67" s="306"/>
      <c r="C67" s="306"/>
      <c r="D67" s="18" t="s">
        <v>22</v>
      </c>
      <c r="E67" s="33" t="s">
        <v>48</v>
      </c>
      <c r="F67" s="33" t="s">
        <v>471</v>
      </c>
      <c r="G67" s="33"/>
      <c r="H67" s="33"/>
    </row>
    <row r="68" spans="2:8" x14ac:dyDescent="0.25">
      <c r="B68" s="306"/>
      <c r="C68" s="306"/>
      <c r="D68" s="18" t="s">
        <v>23</v>
      </c>
      <c r="E68" s="33" t="s">
        <v>49</v>
      </c>
      <c r="F68" s="33" t="s">
        <v>472</v>
      </c>
      <c r="G68" s="33"/>
      <c r="H68" s="33"/>
    </row>
    <row r="69" spans="2:8" x14ac:dyDescent="0.25">
      <c r="B69" s="306"/>
      <c r="C69" s="306"/>
      <c r="D69" s="10" t="s">
        <v>24</v>
      </c>
      <c r="E69" s="34" t="s">
        <v>50</v>
      </c>
      <c r="F69" s="34" t="s">
        <v>473</v>
      </c>
      <c r="G69" s="33"/>
      <c r="H69" s="33"/>
    </row>
    <row r="70" spans="2:8" x14ac:dyDescent="0.25">
      <c r="B70" s="307"/>
      <c r="C70" s="307"/>
      <c r="D70" s="18" t="s">
        <v>25</v>
      </c>
      <c r="E70" s="33" t="s">
        <v>51</v>
      </c>
      <c r="F70" s="33" t="s">
        <v>474</v>
      </c>
      <c r="G70" s="33"/>
      <c r="H70" s="33"/>
    </row>
    <row r="71" spans="2:8" ht="15" customHeight="1" x14ac:dyDescent="0.25">
      <c r="B71" s="24" t="s">
        <v>29</v>
      </c>
      <c r="C71" s="309" t="s">
        <v>52</v>
      </c>
      <c r="D71" s="311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3"/>
      <c r="F72" s="33"/>
      <c r="G72" s="33"/>
      <c r="H72" s="33"/>
    </row>
    <row r="73" spans="2:8" ht="15" customHeight="1" x14ac:dyDescent="0.25">
      <c r="B73" s="16" t="s">
        <v>29</v>
      </c>
      <c r="C73" s="303" t="s">
        <v>10</v>
      </c>
      <c r="D73" s="312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3" t="s">
        <v>476</v>
      </c>
      <c r="F74" s="33" t="s">
        <v>477</v>
      </c>
      <c r="G74" s="33"/>
      <c r="H74" s="33"/>
    </row>
    <row r="75" spans="2:8" ht="30" x14ac:dyDescent="0.25">
      <c r="B75" s="17" t="s">
        <v>72</v>
      </c>
      <c r="C75" s="21" t="s">
        <v>54</v>
      </c>
      <c r="D75" s="18" t="s">
        <v>58</v>
      </c>
      <c r="E75" s="33" t="s">
        <v>478</v>
      </c>
      <c r="F75" s="33" t="s">
        <v>479</v>
      </c>
      <c r="G75" s="33"/>
      <c r="H75" s="33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94" workbookViewId="0">
      <selection activeCell="M108" sqref="M108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315" t="s">
        <v>228</v>
      </c>
      <c r="C2" s="316"/>
      <c r="D2" s="316"/>
      <c r="E2" s="317"/>
      <c r="F2" s="317"/>
    </row>
    <row r="3" spans="2:10" ht="20.100000000000001" customHeight="1" x14ac:dyDescent="0.25">
      <c r="B3" s="65" t="s">
        <v>247</v>
      </c>
      <c r="C3" s="65" t="s">
        <v>235</v>
      </c>
      <c r="D3" s="65" t="s">
        <v>229</v>
      </c>
      <c r="E3" s="65" t="s">
        <v>230</v>
      </c>
      <c r="F3" s="65" t="s">
        <v>231</v>
      </c>
    </row>
    <row r="4" spans="2:10" x14ac:dyDescent="0.25">
      <c r="B4" s="44">
        <v>1</v>
      </c>
      <c r="C4" s="44" t="s">
        <v>236</v>
      </c>
      <c r="D4" s="44" t="s">
        <v>246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232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240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248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236</v>
      </c>
      <c r="D8" s="64" t="s">
        <v>233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237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236</v>
      </c>
      <c r="D10" s="64" t="s">
        <v>234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241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242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253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236</v>
      </c>
      <c r="D14" s="64" t="s">
        <v>174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238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236</v>
      </c>
      <c r="D16" s="64" t="s">
        <v>243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244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236</v>
      </c>
      <c r="D18" s="64" t="s">
        <v>245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236</v>
      </c>
      <c r="D19" s="64" t="s">
        <v>239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318" t="s">
        <v>254</v>
      </c>
      <c r="C27" s="319"/>
      <c r="D27" s="319"/>
      <c r="E27" s="319"/>
      <c r="F27" s="319"/>
      <c r="G27" s="319"/>
      <c r="H27" s="319"/>
      <c r="I27" s="319"/>
      <c r="J27" s="319"/>
    </row>
    <row r="28" spans="2:10" ht="18.75" x14ac:dyDescent="0.25">
      <c r="B28" s="66" t="s">
        <v>255</v>
      </c>
      <c r="C28" s="66" t="s">
        <v>256</v>
      </c>
      <c r="D28" s="66" t="s">
        <v>257</v>
      </c>
      <c r="E28" s="66" t="s">
        <v>258</v>
      </c>
      <c r="F28" s="66" t="s">
        <v>259</v>
      </c>
      <c r="G28" s="66" t="s">
        <v>260</v>
      </c>
      <c r="H28" s="66" t="s">
        <v>261</v>
      </c>
      <c r="I28" s="66" t="s">
        <v>262</v>
      </c>
      <c r="J28" s="66" t="s">
        <v>263</v>
      </c>
    </row>
    <row r="29" spans="2:10" x14ac:dyDescent="0.25">
      <c r="B29" s="44">
        <v>1</v>
      </c>
      <c r="C29" s="44">
        <v>1</v>
      </c>
      <c r="D29" s="44"/>
      <c r="E29" s="44" t="s">
        <v>236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236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236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236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236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236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236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236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236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236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236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236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236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236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236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236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236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134</v>
      </c>
      <c r="E46" s="44" t="s">
        <v>1</v>
      </c>
      <c r="F46" s="44" t="s">
        <v>118</v>
      </c>
      <c r="G46" s="44">
        <v>250</v>
      </c>
      <c r="H46" s="44">
        <v>50</v>
      </c>
      <c r="I46" s="44">
        <v>220</v>
      </c>
      <c r="J46" s="44">
        <v>850</v>
      </c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98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100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114</v>
      </c>
      <c r="E49" s="44" t="s">
        <v>0</v>
      </c>
      <c r="F49" s="44" t="s">
        <v>102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193</v>
      </c>
      <c r="E50" s="44" t="s">
        <v>0</v>
      </c>
      <c r="F50" s="44" t="s">
        <v>104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115</v>
      </c>
      <c r="E51" s="44" t="s">
        <v>0</v>
      </c>
      <c r="F51" s="44" t="s">
        <v>105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194</v>
      </c>
      <c r="E52" s="44" t="s">
        <v>0</v>
      </c>
      <c r="F52" s="44" t="s">
        <v>107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116</v>
      </c>
      <c r="E53" s="44" t="s">
        <v>0</v>
      </c>
      <c r="F53" s="44" t="s">
        <v>108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97</v>
      </c>
      <c r="E54" s="44" t="s">
        <v>0</v>
      </c>
      <c r="F54" s="44" t="s">
        <v>110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117</v>
      </c>
      <c r="E55" s="44" t="s">
        <v>0</v>
      </c>
      <c r="F55" s="44" t="s">
        <v>112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236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59</v>
      </c>
      <c r="G57" s="44">
        <v>95</v>
      </c>
      <c r="H57" s="44">
        <v>129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73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60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74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236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236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236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61</v>
      </c>
      <c r="G64" s="44">
        <v>200</v>
      </c>
      <c r="H64" s="44">
        <v>35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66</v>
      </c>
      <c r="G65" s="44">
        <v>90</v>
      </c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62</v>
      </c>
      <c r="G66" s="44">
        <v>200</v>
      </c>
      <c r="H66" s="44">
        <v>35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67</v>
      </c>
      <c r="G67" s="44">
        <v>90</v>
      </c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63</v>
      </c>
      <c r="G68" s="44">
        <v>200</v>
      </c>
      <c r="H68" s="44">
        <v>35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70</v>
      </c>
      <c r="G69" s="44">
        <v>90</v>
      </c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64</v>
      </c>
      <c r="G70" s="44">
        <v>200</v>
      </c>
      <c r="H70" s="44">
        <v>35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68</v>
      </c>
      <c r="G71" s="44">
        <v>90</v>
      </c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65</v>
      </c>
      <c r="G72" s="44">
        <v>200</v>
      </c>
      <c r="H72" s="44">
        <v>35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69</v>
      </c>
      <c r="G73" s="44">
        <v>90</v>
      </c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92</v>
      </c>
      <c r="G74" s="44">
        <v>100</v>
      </c>
      <c r="H74" s="44">
        <v>1</v>
      </c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75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236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71</v>
      </c>
      <c r="G77" s="44">
        <v>120</v>
      </c>
      <c r="H77" s="44">
        <v>25</v>
      </c>
      <c r="I77" s="44"/>
      <c r="J77" s="44">
        <v>772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72</v>
      </c>
      <c r="G78" s="44">
        <v>120</v>
      </c>
      <c r="H78" s="44">
        <v>25</v>
      </c>
      <c r="I78" s="44"/>
      <c r="J78" s="44">
        <v>772</v>
      </c>
    </row>
    <row r="79" spans="2:10" x14ac:dyDescent="0.25">
      <c r="B79" s="44">
        <v>51</v>
      </c>
      <c r="C79" s="44">
        <v>43</v>
      </c>
      <c r="D79" s="44"/>
      <c r="E79" s="44" t="s">
        <v>236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316</v>
      </c>
      <c r="E80" s="44" t="s">
        <v>0</v>
      </c>
      <c r="F80" s="44" t="s">
        <v>99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316</v>
      </c>
      <c r="E81" s="44" t="s">
        <v>0</v>
      </c>
      <c r="F81" s="44" t="s">
        <v>121</v>
      </c>
      <c r="G81" s="44">
        <v>335</v>
      </c>
      <c r="H81" s="44">
        <v>53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317</v>
      </c>
      <c r="E82" s="44" t="s">
        <v>0</v>
      </c>
      <c r="F82" s="44" t="s">
        <v>101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317</v>
      </c>
      <c r="E83" s="44" t="s">
        <v>0</v>
      </c>
      <c r="F83" s="44" t="s">
        <v>120</v>
      </c>
      <c r="G83" s="44">
        <v>335</v>
      </c>
      <c r="H83" s="44">
        <v>53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318</v>
      </c>
      <c r="E84" s="44" t="s">
        <v>0</v>
      </c>
      <c r="F84" s="44" t="s">
        <v>103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318</v>
      </c>
      <c r="E85" s="44" t="s">
        <v>0</v>
      </c>
      <c r="F85" s="44" t="s">
        <v>119</v>
      </c>
      <c r="G85" s="44">
        <v>335</v>
      </c>
      <c r="H85" s="44">
        <v>53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319</v>
      </c>
      <c r="E86" s="44" t="s">
        <v>0</v>
      </c>
      <c r="F86" s="44" t="s">
        <v>126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319</v>
      </c>
      <c r="E87" s="44" t="s">
        <v>0</v>
      </c>
      <c r="F87" s="44" t="s">
        <v>249</v>
      </c>
      <c r="G87" s="44">
        <v>335</v>
      </c>
      <c r="H87" s="44">
        <v>53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319</v>
      </c>
      <c r="E88" s="44" t="s">
        <v>0</v>
      </c>
      <c r="F88" s="44" t="s">
        <v>127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319</v>
      </c>
      <c r="E89" s="44" t="s">
        <v>0</v>
      </c>
      <c r="F89" s="44" t="s">
        <v>250</v>
      </c>
      <c r="G89" s="44">
        <v>335</v>
      </c>
      <c r="H89" s="44">
        <v>53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320</v>
      </c>
      <c r="E90" s="44" t="s">
        <v>0</v>
      </c>
      <c r="F90" s="44" t="s">
        <v>106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320</v>
      </c>
      <c r="E91" s="44" t="s">
        <v>0</v>
      </c>
      <c r="F91" s="44" t="s">
        <v>122</v>
      </c>
      <c r="G91" s="44">
        <v>335</v>
      </c>
      <c r="H91" s="44">
        <v>53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321</v>
      </c>
      <c r="E92" s="44" t="s">
        <v>0</v>
      </c>
      <c r="F92" s="44" t="s">
        <v>128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321</v>
      </c>
      <c r="E93" s="44" t="s">
        <v>0</v>
      </c>
      <c r="F93" s="44" t="s">
        <v>251</v>
      </c>
      <c r="G93" s="44">
        <v>335</v>
      </c>
      <c r="H93" s="44">
        <v>53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321</v>
      </c>
      <c r="E94" s="44" t="s">
        <v>0</v>
      </c>
      <c r="F94" s="44" t="s">
        <v>129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321</v>
      </c>
      <c r="E95" s="44" t="s">
        <v>0</v>
      </c>
      <c r="F95" s="44" t="s">
        <v>252</v>
      </c>
      <c r="G95" s="44">
        <v>335</v>
      </c>
      <c r="H95" s="44">
        <v>53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322</v>
      </c>
      <c r="E96" s="44" t="s">
        <v>0</v>
      </c>
      <c r="F96" s="44" t="s">
        <v>109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322</v>
      </c>
      <c r="E97" s="44" t="s">
        <v>0</v>
      </c>
      <c r="F97" s="44" t="s">
        <v>123</v>
      </c>
      <c r="G97" s="44">
        <v>335</v>
      </c>
      <c r="H97" s="44">
        <v>53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323</v>
      </c>
      <c r="E98" s="44" t="s">
        <v>0</v>
      </c>
      <c r="F98" s="44" t="s">
        <v>111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323</v>
      </c>
      <c r="E99" s="44" t="s">
        <v>0</v>
      </c>
      <c r="F99" s="44" t="s">
        <v>124</v>
      </c>
      <c r="G99" s="44">
        <v>335</v>
      </c>
      <c r="H99" s="44">
        <v>53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324</v>
      </c>
      <c r="E100" s="44" t="s">
        <v>0</v>
      </c>
      <c r="F100" s="44" t="s">
        <v>113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324</v>
      </c>
      <c r="E101" s="44" t="s">
        <v>0</v>
      </c>
      <c r="F101" s="44" t="s">
        <v>125</v>
      </c>
      <c r="G101" s="44">
        <v>335</v>
      </c>
      <c r="H101" s="44">
        <v>53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236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236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236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236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236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236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236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236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236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236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236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5" r:id="rId5" name="Button 71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showGridLines="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35" t="s">
        <v>264</v>
      </c>
      <c r="E75" s="135" t="s">
        <v>265</v>
      </c>
      <c r="F75" s="135" t="s">
        <v>266</v>
      </c>
      <c r="G75" s="135" t="s">
        <v>267</v>
      </c>
      <c r="H75" s="135" t="s">
        <v>268</v>
      </c>
    </row>
    <row r="76" spans="1:8" ht="21.95" customHeight="1" x14ac:dyDescent="0.25">
      <c r="C76" s="123" t="s">
        <v>132</v>
      </c>
      <c r="D76" s="124">
        <v>90.45</v>
      </c>
      <c r="E76" s="124">
        <v>86.08</v>
      </c>
      <c r="F76" s="124">
        <v>84.35</v>
      </c>
      <c r="G76" s="124">
        <v>87.74</v>
      </c>
      <c r="H76" s="124">
        <v>90.43</v>
      </c>
    </row>
    <row r="77" spans="1:8" ht="21.95" customHeight="1" x14ac:dyDescent="0.25">
      <c r="C77" s="126" t="s">
        <v>133</v>
      </c>
      <c r="D77" s="124">
        <v>84.9</v>
      </c>
      <c r="E77" s="124">
        <v>80.59</v>
      </c>
      <c r="F77" s="124">
        <v>81</v>
      </c>
      <c r="G77" s="124">
        <v>84.36</v>
      </c>
      <c r="H77" s="124">
        <v>87.34</v>
      </c>
    </row>
    <row r="78" spans="1:8" ht="21.95" customHeight="1" x14ac:dyDescent="0.25">
      <c r="C78" s="127" t="s">
        <v>131</v>
      </c>
      <c r="D78" s="124">
        <v>85.2</v>
      </c>
      <c r="E78" s="124">
        <v>77.400000000000006</v>
      </c>
      <c r="F78" s="124">
        <v>75.959999999999994</v>
      </c>
      <c r="G78" s="124">
        <v>79.81</v>
      </c>
      <c r="H78" s="124">
        <v>83.12</v>
      </c>
    </row>
    <row r="79" spans="1:8" ht="21.95" customHeight="1" x14ac:dyDescent="0.25">
      <c r="C79" s="128" t="s">
        <v>142</v>
      </c>
      <c r="D79" s="124">
        <v>83.54</v>
      </c>
      <c r="E79" s="124">
        <v>81.03</v>
      </c>
      <c r="F79" s="124">
        <v>83.26</v>
      </c>
      <c r="G79" s="124">
        <v>88.56</v>
      </c>
      <c r="H79" s="124">
        <v>91.07</v>
      </c>
    </row>
    <row r="80" spans="1:8" ht="21.95" customHeight="1" x14ac:dyDescent="0.25">
      <c r="C80" s="129" t="s">
        <v>435</v>
      </c>
      <c r="D80" s="125">
        <v>90.58</v>
      </c>
      <c r="E80" s="125">
        <v>85.89</v>
      </c>
      <c r="F80" s="125">
        <v>85.08</v>
      </c>
      <c r="G80" s="125">
        <v>88.42</v>
      </c>
      <c r="H80" s="125">
        <v>90.24</v>
      </c>
    </row>
    <row r="81" spans="1:8" x14ac:dyDescent="0.25">
      <c r="C81" t="s">
        <v>436</v>
      </c>
      <c r="D81" s="130">
        <v>87.13</v>
      </c>
      <c r="E81" s="130">
        <v>82.26</v>
      </c>
      <c r="F81" s="130">
        <v>81.83</v>
      </c>
      <c r="G81" s="130">
        <v>85.57</v>
      </c>
      <c r="H81" s="130">
        <v>88.33</v>
      </c>
    </row>
    <row r="82" spans="1:8" x14ac:dyDescent="0.25">
      <c r="C82" t="s">
        <v>437</v>
      </c>
      <c r="D82" s="131">
        <v>292</v>
      </c>
      <c r="E82" s="131">
        <v>1996</v>
      </c>
      <c r="F82" s="131">
        <v>1426</v>
      </c>
      <c r="G82" s="131">
        <v>736</v>
      </c>
      <c r="H82" s="131">
        <v>248</v>
      </c>
    </row>
    <row r="83" spans="1:8" x14ac:dyDescent="0.25">
      <c r="C83" t="s">
        <v>438</v>
      </c>
      <c r="D83" s="132">
        <v>82.41</v>
      </c>
      <c r="E83" s="132">
        <v>77.44</v>
      </c>
      <c r="F83" s="132">
        <v>78.069999999999993</v>
      </c>
      <c r="G83" s="132">
        <v>82.57</v>
      </c>
      <c r="H83" s="132">
        <v>86.36</v>
      </c>
    </row>
    <row r="84" spans="1:8" x14ac:dyDescent="0.25">
      <c r="C84" t="s">
        <v>439</v>
      </c>
      <c r="D84" s="133">
        <v>249</v>
      </c>
      <c r="E84" s="133">
        <v>1965</v>
      </c>
      <c r="F84" s="133">
        <v>1426</v>
      </c>
      <c r="G84" s="133">
        <v>733</v>
      </c>
      <c r="H84" s="133">
        <v>256</v>
      </c>
    </row>
    <row r="85" spans="1:8" x14ac:dyDescent="0.25">
      <c r="C85" t="s">
        <v>130</v>
      </c>
      <c r="D85" s="134" t="s">
        <v>264</v>
      </c>
      <c r="E85" s="134" t="s">
        <v>265</v>
      </c>
      <c r="F85" s="134" t="s">
        <v>266</v>
      </c>
      <c r="G85" s="134" t="s">
        <v>267</v>
      </c>
      <c r="H85" s="134" t="s">
        <v>268</v>
      </c>
    </row>
    <row r="86" spans="1:8" x14ac:dyDescent="0.25">
      <c r="C86" t="s">
        <v>440</v>
      </c>
      <c r="D86" s="130">
        <v>82.91</v>
      </c>
      <c r="E86" s="130">
        <v>82.91</v>
      </c>
      <c r="F86" s="130">
        <v>82.91</v>
      </c>
      <c r="G86" s="130">
        <v>82.91</v>
      </c>
      <c r="H86" s="130">
        <v>82.91</v>
      </c>
    </row>
    <row r="87" spans="1:8" x14ac:dyDescent="0.25">
      <c r="C87" t="s">
        <v>441</v>
      </c>
      <c r="D87" s="136">
        <v>87.33</v>
      </c>
      <c r="E87" s="136">
        <v>82.4</v>
      </c>
      <c r="F87" s="136">
        <v>83.7</v>
      </c>
      <c r="G87" s="136">
        <v>87.89</v>
      </c>
      <c r="H87" s="136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35" t="s">
        <v>269</v>
      </c>
      <c r="E166" s="135" t="s">
        <v>270</v>
      </c>
    </row>
    <row r="167" spans="1:5" ht="21.95" customHeight="1" x14ac:dyDescent="0.25">
      <c r="C167" s="123" t="s">
        <v>132</v>
      </c>
      <c r="D167" s="124">
        <v>86.53</v>
      </c>
      <c r="E167" s="124">
        <v>86.24</v>
      </c>
    </row>
    <row r="168" spans="1:5" ht="21.95" customHeight="1" x14ac:dyDescent="0.25">
      <c r="C168" s="126" t="s">
        <v>133</v>
      </c>
      <c r="D168" s="124">
        <v>82.52</v>
      </c>
      <c r="E168" s="124">
        <v>81.34</v>
      </c>
    </row>
    <row r="169" spans="1:5" ht="21.95" customHeight="1" x14ac:dyDescent="0.25">
      <c r="C169" s="127" t="s">
        <v>131</v>
      </c>
      <c r="D169" s="124">
        <v>78.27</v>
      </c>
      <c r="E169" s="124">
        <v>78.02</v>
      </c>
    </row>
    <row r="170" spans="1:5" ht="21.95" customHeight="1" x14ac:dyDescent="0.25">
      <c r="C170" s="128" t="s">
        <v>142</v>
      </c>
      <c r="D170" s="124">
        <v>83.68</v>
      </c>
      <c r="E170" s="124">
        <v>83.52</v>
      </c>
    </row>
    <row r="171" spans="1:5" ht="21.95" customHeight="1" x14ac:dyDescent="0.25">
      <c r="C171" s="129" t="s">
        <v>435</v>
      </c>
      <c r="D171" s="125">
        <v>86.39</v>
      </c>
      <c r="E171" s="125">
        <v>86.83</v>
      </c>
    </row>
    <row r="172" spans="1:5" x14ac:dyDescent="0.25">
      <c r="C172" t="s">
        <v>436</v>
      </c>
      <c r="D172" s="130">
        <v>83.48</v>
      </c>
      <c r="E172" s="130">
        <v>83.12</v>
      </c>
    </row>
    <row r="173" spans="1:5" x14ac:dyDescent="0.25">
      <c r="C173" t="s">
        <v>437</v>
      </c>
      <c r="D173" s="131">
        <v>2476</v>
      </c>
      <c r="E173" s="131">
        <v>2191</v>
      </c>
    </row>
    <row r="174" spans="1:5" x14ac:dyDescent="0.25">
      <c r="C174" t="s">
        <v>438</v>
      </c>
      <c r="D174" s="132">
        <v>79.62</v>
      </c>
      <c r="E174" s="132">
        <v>78.790000000000006</v>
      </c>
    </row>
    <row r="175" spans="1:5" x14ac:dyDescent="0.25">
      <c r="C175" t="s">
        <v>439</v>
      </c>
      <c r="D175" s="133">
        <v>2382</v>
      </c>
      <c r="E175" s="133">
        <v>2218</v>
      </c>
    </row>
    <row r="176" spans="1:5" x14ac:dyDescent="0.25">
      <c r="C176" t="s">
        <v>130</v>
      </c>
      <c r="D176" s="134" t="s">
        <v>269</v>
      </c>
      <c r="E176" s="134" t="s">
        <v>270</v>
      </c>
    </row>
    <row r="177" spans="1:5" x14ac:dyDescent="0.25">
      <c r="C177" t="s">
        <v>440</v>
      </c>
      <c r="D177" s="130">
        <v>82.91</v>
      </c>
      <c r="E177" s="130">
        <v>82.91</v>
      </c>
    </row>
    <row r="178" spans="1:5" x14ac:dyDescent="0.25">
      <c r="C178" t="s">
        <v>441</v>
      </c>
      <c r="D178" s="136">
        <v>85.32</v>
      </c>
      <c r="E178" s="136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35" t="s">
        <v>271</v>
      </c>
      <c r="E257" s="135" t="s">
        <v>272</v>
      </c>
      <c r="F257" s="135" t="s">
        <v>273</v>
      </c>
      <c r="G257" s="135" t="s">
        <v>274</v>
      </c>
      <c r="H257" s="135" t="s">
        <v>275</v>
      </c>
    </row>
    <row r="258" spans="1:8" ht="21.95" customHeight="1" x14ac:dyDescent="0.25">
      <c r="C258" s="123" t="s">
        <v>132</v>
      </c>
      <c r="D258" s="124">
        <v>76.19</v>
      </c>
      <c r="E258" s="124">
        <v>87.14</v>
      </c>
      <c r="F258" s="124">
        <v>86.86</v>
      </c>
      <c r="G258" s="124">
        <v>85.18</v>
      </c>
      <c r="H258" s="124">
        <v>87.05</v>
      </c>
    </row>
    <row r="259" spans="1:8" ht="21.95" customHeight="1" x14ac:dyDescent="0.25">
      <c r="C259" s="126" t="s">
        <v>133</v>
      </c>
      <c r="D259" s="124">
        <v>78.209999999999994</v>
      </c>
      <c r="E259" s="124">
        <v>80.63</v>
      </c>
      <c r="F259" s="124">
        <v>81.92</v>
      </c>
      <c r="G259" s="124">
        <v>81.260000000000005</v>
      </c>
      <c r="H259" s="124">
        <v>85.26</v>
      </c>
    </row>
    <row r="260" spans="1:8" ht="21.95" customHeight="1" x14ac:dyDescent="0.25">
      <c r="C260" s="127" t="s">
        <v>131</v>
      </c>
      <c r="D260" s="124">
        <v>80.489999999999995</v>
      </c>
      <c r="E260" s="124">
        <v>78.47</v>
      </c>
      <c r="F260" s="124">
        <v>78.739999999999995</v>
      </c>
      <c r="G260" s="124">
        <v>76.790000000000006</v>
      </c>
      <c r="H260" s="124">
        <v>79.03</v>
      </c>
    </row>
    <row r="261" spans="1:8" ht="21.95" customHeight="1" x14ac:dyDescent="0.25">
      <c r="C261" s="128" t="s">
        <v>142</v>
      </c>
      <c r="D261" s="124">
        <v>84.38</v>
      </c>
      <c r="E261" s="124">
        <v>84.66</v>
      </c>
      <c r="F261" s="124">
        <v>83.78</v>
      </c>
      <c r="G261" s="124">
        <v>82.02</v>
      </c>
      <c r="H261" s="124">
        <v>86.82</v>
      </c>
    </row>
    <row r="262" spans="1:8" ht="21.95" customHeight="1" x14ac:dyDescent="0.25">
      <c r="C262" s="129" t="s">
        <v>435</v>
      </c>
      <c r="D262" s="125">
        <v>78.33</v>
      </c>
      <c r="E262" s="125">
        <v>85.6</v>
      </c>
      <c r="F262" s="125">
        <v>86.75</v>
      </c>
      <c r="G262" s="125">
        <v>85.69</v>
      </c>
      <c r="H262" s="125">
        <v>89.35</v>
      </c>
    </row>
    <row r="263" spans="1:8" x14ac:dyDescent="0.25">
      <c r="C263" t="s">
        <v>436</v>
      </c>
      <c r="D263" s="130">
        <v>79.010000000000005</v>
      </c>
      <c r="E263" s="130">
        <v>83.26</v>
      </c>
      <c r="F263" s="130">
        <v>83.59</v>
      </c>
      <c r="G263" s="130">
        <v>82.17</v>
      </c>
      <c r="H263" s="130">
        <v>85.4</v>
      </c>
    </row>
    <row r="264" spans="1:8" x14ac:dyDescent="0.25">
      <c r="C264" t="s">
        <v>437</v>
      </c>
      <c r="D264" s="131">
        <v>12</v>
      </c>
      <c r="E264" s="131">
        <v>360</v>
      </c>
      <c r="F264" s="131">
        <v>2276</v>
      </c>
      <c r="G264" s="131">
        <v>1542</v>
      </c>
      <c r="H264" s="131">
        <v>500</v>
      </c>
    </row>
    <row r="265" spans="1:8" x14ac:dyDescent="0.25">
      <c r="C265" t="s">
        <v>438</v>
      </c>
      <c r="D265" s="132">
        <v>68.069999999999993</v>
      </c>
      <c r="E265" s="132">
        <v>79.69</v>
      </c>
      <c r="F265" s="132">
        <v>79.13</v>
      </c>
      <c r="G265" s="132">
        <v>78.17</v>
      </c>
      <c r="H265" s="132">
        <v>82.9</v>
      </c>
    </row>
    <row r="266" spans="1:8" x14ac:dyDescent="0.25">
      <c r="C266" t="s">
        <v>439</v>
      </c>
      <c r="D266" s="133">
        <v>14</v>
      </c>
      <c r="E266" s="133">
        <v>413</v>
      </c>
      <c r="F266" s="133">
        <v>2318</v>
      </c>
      <c r="G266" s="133">
        <v>1467</v>
      </c>
      <c r="H266" s="133">
        <v>425</v>
      </c>
    </row>
    <row r="267" spans="1:8" ht="22.5" x14ac:dyDescent="0.25">
      <c r="C267" t="s">
        <v>130</v>
      </c>
      <c r="D267" s="134" t="s">
        <v>271</v>
      </c>
      <c r="E267" s="134" t="s">
        <v>272</v>
      </c>
      <c r="F267" s="134" t="s">
        <v>273</v>
      </c>
      <c r="G267" s="134" t="s">
        <v>274</v>
      </c>
      <c r="H267" s="134" t="s">
        <v>275</v>
      </c>
    </row>
    <row r="268" spans="1:8" x14ac:dyDescent="0.25">
      <c r="C268" t="s">
        <v>440</v>
      </c>
      <c r="D268" s="130">
        <v>82.91</v>
      </c>
      <c r="E268" s="130">
        <v>82.91</v>
      </c>
      <c r="F268" s="130">
        <v>82.91</v>
      </c>
      <c r="G268" s="130">
        <v>82.91</v>
      </c>
      <c r="H268" s="130">
        <v>82.91</v>
      </c>
    </row>
    <row r="269" spans="1:8" x14ac:dyDescent="0.25">
      <c r="C269" t="s">
        <v>441</v>
      </c>
      <c r="D269" s="136">
        <v>75</v>
      </c>
      <c r="E269" s="136">
        <v>86.11</v>
      </c>
      <c r="F269" s="136">
        <v>84.66</v>
      </c>
      <c r="G269" s="136">
        <v>82.38</v>
      </c>
      <c r="H269" s="136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249</v>
      </c>
      <c r="D318" s="138" t="s">
        <v>276</v>
      </c>
      <c r="E318" s="138" t="s">
        <v>277</v>
      </c>
      <c r="F318" s="138" t="s">
        <v>278</v>
      </c>
      <c r="G318" s="138" t="s">
        <v>279</v>
      </c>
      <c r="H318" s="138" t="s">
        <v>280</v>
      </c>
    </row>
    <row r="319" spans="1:8" ht="21.95" customHeight="1" x14ac:dyDescent="0.25">
      <c r="C319" s="123" t="s">
        <v>132</v>
      </c>
      <c r="D319" s="124">
        <v>93.53</v>
      </c>
      <c r="E319" s="124">
        <v>91.83</v>
      </c>
      <c r="F319" s="124">
        <v>88.97</v>
      </c>
      <c r="G319" s="124">
        <v>83.86</v>
      </c>
      <c r="H319" s="124">
        <v>84.1</v>
      </c>
    </row>
    <row r="320" spans="1:8" ht="21.95" customHeight="1" x14ac:dyDescent="0.25">
      <c r="C320" s="126" t="s">
        <v>133</v>
      </c>
      <c r="D320" s="124">
        <v>93.66</v>
      </c>
      <c r="E320" s="124">
        <v>89.43</v>
      </c>
      <c r="F320" s="124">
        <v>85.92</v>
      </c>
      <c r="G320" s="124">
        <v>81.99</v>
      </c>
      <c r="H320" s="124">
        <v>79.41</v>
      </c>
    </row>
    <row r="321" spans="1:8" ht="21.95" customHeight="1" x14ac:dyDescent="0.25">
      <c r="C321" s="127" t="s">
        <v>131</v>
      </c>
      <c r="D321" s="124">
        <v>87.16</v>
      </c>
      <c r="E321" s="124">
        <v>83.33</v>
      </c>
      <c r="F321" s="124">
        <v>81.790000000000006</v>
      </c>
      <c r="G321" s="124">
        <v>75.37</v>
      </c>
      <c r="H321" s="124">
        <v>74.319999999999993</v>
      </c>
    </row>
    <row r="322" spans="1:8" ht="21.95" customHeight="1" x14ac:dyDescent="0.25">
      <c r="C322" s="128" t="s">
        <v>142</v>
      </c>
      <c r="D322" s="124">
        <v>94.93</v>
      </c>
      <c r="E322" s="124">
        <v>92.27</v>
      </c>
      <c r="F322" s="124">
        <v>89.09</v>
      </c>
      <c r="G322" s="124">
        <v>82.97</v>
      </c>
      <c r="H322" s="124">
        <v>81.58</v>
      </c>
    </row>
    <row r="323" spans="1:8" ht="21.95" customHeight="1" x14ac:dyDescent="0.25">
      <c r="C323" s="129" t="s">
        <v>435</v>
      </c>
      <c r="D323" s="125">
        <v>94.86</v>
      </c>
      <c r="E323" s="125">
        <v>92.88</v>
      </c>
      <c r="F323" s="125">
        <v>90.23</v>
      </c>
      <c r="G323" s="125">
        <v>86.42</v>
      </c>
      <c r="H323" s="125">
        <v>83.34</v>
      </c>
    </row>
    <row r="324" spans="1:8" x14ac:dyDescent="0.25">
      <c r="C324" t="s">
        <v>436</v>
      </c>
      <c r="D324" s="130">
        <v>92.75</v>
      </c>
      <c r="E324" s="130">
        <v>89.82</v>
      </c>
      <c r="F324" s="130">
        <v>87.04</v>
      </c>
      <c r="G324" s="130">
        <v>82.03</v>
      </c>
      <c r="H324" s="130">
        <v>80.510000000000005</v>
      </c>
    </row>
    <row r="325" spans="1:8" x14ac:dyDescent="0.25">
      <c r="C325" t="s">
        <v>437</v>
      </c>
      <c r="D325" s="131">
        <v>74</v>
      </c>
      <c r="E325" s="131">
        <v>139</v>
      </c>
      <c r="F325" s="131">
        <v>979</v>
      </c>
      <c r="G325" s="131">
        <v>794</v>
      </c>
      <c r="H325" s="131">
        <v>386</v>
      </c>
    </row>
    <row r="326" spans="1:8" x14ac:dyDescent="0.25">
      <c r="C326" t="s">
        <v>438</v>
      </c>
      <c r="D326" s="132">
        <v>91.91</v>
      </c>
      <c r="E326" s="132">
        <v>88.05</v>
      </c>
      <c r="F326" s="132">
        <v>86.33</v>
      </c>
      <c r="G326" s="132">
        <v>77.510000000000005</v>
      </c>
      <c r="H326" s="132">
        <v>73.2</v>
      </c>
    </row>
    <row r="327" spans="1:8" x14ac:dyDescent="0.25">
      <c r="C327" t="s">
        <v>439</v>
      </c>
      <c r="D327" s="133">
        <v>65</v>
      </c>
      <c r="E327" s="133">
        <v>121</v>
      </c>
      <c r="F327" s="133">
        <v>895</v>
      </c>
      <c r="G327" s="133">
        <v>768</v>
      </c>
      <c r="H327" s="133">
        <v>265</v>
      </c>
    </row>
    <row r="328" spans="1:8" ht="67.5" x14ac:dyDescent="0.25">
      <c r="C328" t="s">
        <v>130</v>
      </c>
      <c r="D328" s="137" t="s">
        <v>276</v>
      </c>
      <c r="E328" s="137" t="s">
        <v>277</v>
      </c>
      <c r="F328" s="137" t="s">
        <v>278</v>
      </c>
      <c r="G328" s="137" t="s">
        <v>279</v>
      </c>
      <c r="H328" s="137" t="s">
        <v>280</v>
      </c>
    </row>
    <row r="329" spans="1:8" x14ac:dyDescent="0.25">
      <c r="C329" t="s">
        <v>440</v>
      </c>
      <c r="D329" s="130">
        <v>82.91</v>
      </c>
      <c r="E329" s="130">
        <v>82.91</v>
      </c>
      <c r="F329" s="130">
        <v>82.91</v>
      </c>
      <c r="G329" s="130">
        <v>82.91</v>
      </c>
      <c r="H329" s="130">
        <v>82.91</v>
      </c>
    </row>
    <row r="330" spans="1:8" x14ac:dyDescent="0.25">
      <c r="C330" t="s">
        <v>441</v>
      </c>
      <c r="D330" s="136">
        <v>98.65</v>
      </c>
      <c r="E330" s="136">
        <v>94.24</v>
      </c>
      <c r="F330" s="136">
        <v>89.27</v>
      </c>
      <c r="G330" s="136">
        <v>85.34</v>
      </c>
      <c r="H330" s="136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250</v>
      </c>
      <c r="D349" s="138" t="s">
        <v>281</v>
      </c>
      <c r="E349" s="138" t="s">
        <v>282</v>
      </c>
      <c r="F349" s="138" t="s">
        <v>283</v>
      </c>
      <c r="G349" s="138" t="s">
        <v>284</v>
      </c>
      <c r="H349" s="138" t="s">
        <v>285</v>
      </c>
    </row>
    <row r="350" spans="1:8" ht="21.95" customHeight="1" x14ac:dyDescent="0.25">
      <c r="C350" s="123" t="s">
        <v>132</v>
      </c>
      <c r="D350" s="124">
        <v>78.73</v>
      </c>
      <c r="E350" s="124">
        <v>86.35</v>
      </c>
      <c r="F350" s="124">
        <v>87.52</v>
      </c>
      <c r="G350" s="124">
        <v>90.4</v>
      </c>
      <c r="H350" s="124">
        <v>79.88</v>
      </c>
    </row>
    <row r="351" spans="1:8" ht="21.95" customHeight="1" x14ac:dyDescent="0.25">
      <c r="C351" s="126" t="s">
        <v>133</v>
      </c>
      <c r="D351" s="124">
        <v>74.709999999999994</v>
      </c>
      <c r="E351" s="124">
        <v>79.209999999999994</v>
      </c>
      <c r="F351" s="124">
        <v>81.94</v>
      </c>
      <c r="G351" s="124">
        <v>82.09</v>
      </c>
      <c r="H351" s="124">
        <v>80.540000000000006</v>
      </c>
    </row>
    <row r="352" spans="1:8" ht="21.95" customHeight="1" x14ac:dyDescent="0.25">
      <c r="C352" s="127" t="s">
        <v>131</v>
      </c>
      <c r="D352" s="124">
        <v>69.97</v>
      </c>
      <c r="E352" s="124">
        <v>77.64</v>
      </c>
      <c r="F352" s="124">
        <v>79.180000000000007</v>
      </c>
      <c r="G352" s="124">
        <v>83.27</v>
      </c>
      <c r="H352" s="124">
        <v>72.260000000000005</v>
      </c>
    </row>
    <row r="353" spans="1:8" ht="21.95" customHeight="1" x14ac:dyDescent="0.25">
      <c r="C353" s="128" t="s">
        <v>142</v>
      </c>
      <c r="D353" s="124">
        <v>76.73</v>
      </c>
      <c r="E353" s="124">
        <v>80.61</v>
      </c>
      <c r="F353" s="124">
        <v>83.49</v>
      </c>
      <c r="G353" s="124">
        <v>80.66</v>
      </c>
      <c r="H353" s="124">
        <v>76.23</v>
      </c>
    </row>
    <row r="354" spans="1:8" ht="21.95" customHeight="1" x14ac:dyDescent="0.25">
      <c r="C354" s="129" t="s">
        <v>435</v>
      </c>
      <c r="D354" s="125">
        <v>79.400000000000006</v>
      </c>
      <c r="E354" s="125">
        <v>84.13</v>
      </c>
      <c r="F354" s="125">
        <v>86.8</v>
      </c>
      <c r="G354" s="125">
        <v>89.26</v>
      </c>
      <c r="H354" s="125">
        <v>80.28</v>
      </c>
    </row>
    <row r="355" spans="1:8" x14ac:dyDescent="0.25">
      <c r="C355" t="s">
        <v>436</v>
      </c>
      <c r="D355" s="130">
        <v>75.88</v>
      </c>
      <c r="E355" s="130">
        <v>81.69</v>
      </c>
      <c r="F355" s="130">
        <v>83.78</v>
      </c>
      <c r="G355" s="130">
        <v>85.39</v>
      </c>
      <c r="H355" s="130">
        <v>77.95</v>
      </c>
    </row>
    <row r="356" spans="1:8" x14ac:dyDescent="0.25">
      <c r="C356" t="s">
        <v>437</v>
      </c>
      <c r="D356" s="131">
        <v>426</v>
      </c>
      <c r="E356" s="131">
        <v>536</v>
      </c>
      <c r="F356" s="131">
        <v>877</v>
      </c>
      <c r="G356" s="131">
        <v>396</v>
      </c>
      <c r="H356" s="131">
        <v>42</v>
      </c>
    </row>
    <row r="357" spans="1:8" x14ac:dyDescent="0.25">
      <c r="C357" t="s">
        <v>438</v>
      </c>
      <c r="D357" s="132">
        <v>71.02</v>
      </c>
      <c r="E357" s="132">
        <v>74.760000000000005</v>
      </c>
      <c r="F357" s="132">
        <v>80.2</v>
      </c>
      <c r="G357" s="132">
        <v>80.39</v>
      </c>
      <c r="H357" s="132" t="s">
        <v>148</v>
      </c>
    </row>
    <row r="358" spans="1:8" x14ac:dyDescent="0.25">
      <c r="C358" t="s">
        <v>439</v>
      </c>
      <c r="D358" s="133">
        <v>519</v>
      </c>
      <c r="E358" s="133">
        <v>572</v>
      </c>
      <c r="F358" s="133">
        <v>937</v>
      </c>
      <c r="G358" s="133">
        <v>444</v>
      </c>
      <c r="H358" s="133" t="s">
        <v>146</v>
      </c>
    </row>
    <row r="359" spans="1:8" ht="56.25" x14ac:dyDescent="0.25">
      <c r="C359" t="s">
        <v>130</v>
      </c>
      <c r="D359" s="137" t="s">
        <v>281</v>
      </c>
      <c r="E359" s="137" t="s">
        <v>282</v>
      </c>
      <c r="F359" s="137" t="s">
        <v>283</v>
      </c>
      <c r="G359" s="137" t="s">
        <v>284</v>
      </c>
      <c r="H359" s="137" t="s">
        <v>285</v>
      </c>
    </row>
    <row r="360" spans="1:8" x14ac:dyDescent="0.25">
      <c r="C360" t="s">
        <v>440</v>
      </c>
      <c r="D360" s="130">
        <v>82.91</v>
      </c>
      <c r="E360" s="130">
        <v>82.91</v>
      </c>
      <c r="F360" s="130">
        <v>82.91</v>
      </c>
      <c r="G360" s="130">
        <v>82.91</v>
      </c>
      <c r="H360" s="130">
        <v>82.91</v>
      </c>
    </row>
    <row r="361" spans="1:8" x14ac:dyDescent="0.25">
      <c r="C361" t="s">
        <v>441</v>
      </c>
      <c r="D361" s="136">
        <v>80</v>
      </c>
      <c r="E361" s="136">
        <v>81.459999999999994</v>
      </c>
      <c r="F361" s="136">
        <v>82.78</v>
      </c>
      <c r="G361" s="136">
        <v>82.83</v>
      </c>
      <c r="H361" s="136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35" t="s">
        <v>286</v>
      </c>
      <c r="E440" s="135" t="s">
        <v>287</v>
      </c>
      <c r="F440" s="135" t="s">
        <v>288</v>
      </c>
      <c r="G440" s="135" t="s">
        <v>289</v>
      </c>
      <c r="H440" s="135" t="s">
        <v>290</v>
      </c>
      <c r="I440" s="135" t="s">
        <v>291</v>
      </c>
    </row>
    <row r="441" spans="1:9" ht="21.95" customHeight="1" x14ac:dyDescent="0.25">
      <c r="C441" s="123" t="s">
        <v>132</v>
      </c>
      <c r="D441" s="124">
        <v>91.75</v>
      </c>
      <c r="E441" s="124">
        <v>87.14</v>
      </c>
      <c r="F441" s="124">
        <v>84.41</v>
      </c>
      <c r="G441" s="124">
        <v>79.94</v>
      </c>
      <c r="H441" s="124">
        <v>87.42</v>
      </c>
      <c r="I441" s="124">
        <v>88.24</v>
      </c>
    </row>
    <row r="442" spans="1:9" ht="21.95" customHeight="1" x14ac:dyDescent="0.25">
      <c r="C442" s="126" t="s">
        <v>133</v>
      </c>
      <c r="D442" s="124">
        <v>87.01</v>
      </c>
      <c r="E442" s="124">
        <v>82.15</v>
      </c>
      <c r="F442" s="124">
        <v>78.97</v>
      </c>
      <c r="G442" s="124">
        <v>76.930000000000007</v>
      </c>
      <c r="H442" s="124">
        <v>83.93</v>
      </c>
      <c r="I442" s="124">
        <v>84.79</v>
      </c>
    </row>
    <row r="443" spans="1:9" ht="21.95" customHeight="1" x14ac:dyDescent="0.25">
      <c r="C443" s="127" t="s">
        <v>131</v>
      </c>
      <c r="D443" s="124">
        <v>87.17</v>
      </c>
      <c r="E443" s="124">
        <v>79.760000000000005</v>
      </c>
      <c r="F443" s="124">
        <v>74.66</v>
      </c>
      <c r="G443" s="124">
        <v>72.42</v>
      </c>
      <c r="H443" s="124">
        <v>77.63</v>
      </c>
      <c r="I443" s="124">
        <v>80.38</v>
      </c>
    </row>
    <row r="444" spans="1:9" ht="21.95" customHeight="1" x14ac:dyDescent="0.25">
      <c r="C444" s="128" t="s">
        <v>142</v>
      </c>
      <c r="D444" s="124">
        <v>86.67</v>
      </c>
      <c r="E444" s="124">
        <v>82.73</v>
      </c>
      <c r="F444" s="124">
        <v>79.88</v>
      </c>
      <c r="G444" s="124">
        <v>80.069999999999993</v>
      </c>
      <c r="H444" s="124">
        <v>86.61</v>
      </c>
      <c r="I444" s="124">
        <v>88.62</v>
      </c>
    </row>
    <row r="445" spans="1:9" ht="21.95" customHeight="1" x14ac:dyDescent="0.25">
      <c r="C445" s="129" t="s">
        <v>435</v>
      </c>
      <c r="D445" s="125">
        <v>91.77</v>
      </c>
      <c r="E445" s="125">
        <v>87.67</v>
      </c>
      <c r="F445" s="125">
        <v>83.75</v>
      </c>
      <c r="G445" s="125">
        <v>81.36</v>
      </c>
      <c r="H445" s="125">
        <v>88.32</v>
      </c>
      <c r="I445" s="125">
        <v>88.26</v>
      </c>
    </row>
    <row r="446" spans="1:9" x14ac:dyDescent="0.25">
      <c r="C446" t="s">
        <v>436</v>
      </c>
      <c r="D446" s="130">
        <v>89.02</v>
      </c>
      <c r="E446" s="130">
        <v>83.93</v>
      </c>
      <c r="F446" s="130">
        <v>80.37</v>
      </c>
      <c r="G446" s="130">
        <v>77.959999999999994</v>
      </c>
      <c r="H446" s="130">
        <v>84.65</v>
      </c>
      <c r="I446" s="130">
        <v>85.91</v>
      </c>
    </row>
    <row r="447" spans="1:9" x14ac:dyDescent="0.25">
      <c r="C447" t="s">
        <v>437</v>
      </c>
      <c r="D447" s="131">
        <v>425</v>
      </c>
      <c r="E447" s="131">
        <v>1125</v>
      </c>
      <c r="F447" s="131">
        <v>1198</v>
      </c>
      <c r="G447" s="131">
        <v>412</v>
      </c>
      <c r="H447" s="131">
        <v>791</v>
      </c>
      <c r="I447" s="131">
        <v>719</v>
      </c>
    </row>
    <row r="448" spans="1:9" x14ac:dyDescent="0.25">
      <c r="C448" t="s">
        <v>438</v>
      </c>
      <c r="D448" s="132">
        <v>83.99</v>
      </c>
      <c r="E448" s="132">
        <v>78.19</v>
      </c>
      <c r="F448" s="132">
        <v>76.42</v>
      </c>
      <c r="G448" s="132">
        <v>76.36</v>
      </c>
      <c r="H448" s="132">
        <v>80.75</v>
      </c>
      <c r="I448" s="132">
        <v>84.02</v>
      </c>
    </row>
    <row r="449" spans="1:9" x14ac:dyDescent="0.25">
      <c r="C449" t="s">
        <v>439</v>
      </c>
      <c r="D449" s="133">
        <v>305</v>
      </c>
      <c r="E449" s="133">
        <v>1135</v>
      </c>
      <c r="F449" s="133">
        <v>1202</v>
      </c>
      <c r="G449" s="133">
        <v>481</v>
      </c>
      <c r="H449" s="133">
        <v>715</v>
      </c>
      <c r="I449" s="133">
        <v>773</v>
      </c>
    </row>
    <row r="450" spans="1:9" x14ac:dyDescent="0.25">
      <c r="C450" t="s">
        <v>130</v>
      </c>
      <c r="D450" s="134" t="s">
        <v>286</v>
      </c>
      <c r="E450" s="134" t="s">
        <v>287</v>
      </c>
      <c r="F450" s="134" t="s">
        <v>288</v>
      </c>
      <c r="G450" s="134" t="s">
        <v>289</v>
      </c>
      <c r="H450" s="134" t="s">
        <v>290</v>
      </c>
      <c r="I450" s="134" t="s">
        <v>291</v>
      </c>
    </row>
    <row r="451" spans="1:9" x14ac:dyDescent="0.25">
      <c r="C451" t="s">
        <v>440</v>
      </c>
      <c r="D451" s="130">
        <v>82.91</v>
      </c>
      <c r="E451" s="130">
        <v>82.91</v>
      </c>
      <c r="F451" s="130">
        <v>82.91</v>
      </c>
      <c r="G451" s="130">
        <v>82.91</v>
      </c>
      <c r="H451" s="130">
        <v>82.91</v>
      </c>
      <c r="I451" s="130">
        <v>82.91</v>
      </c>
    </row>
    <row r="452" spans="1:9" x14ac:dyDescent="0.25">
      <c r="C452" t="s">
        <v>441</v>
      </c>
      <c r="D452" s="136">
        <v>90.59</v>
      </c>
      <c r="E452" s="136">
        <v>84.53</v>
      </c>
      <c r="F452" s="136">
        <v>80.75</v>
      </c>
      <c r="G452" s="136">
        <v>79.08</v>
      </c>
      <c r="H452" s="136">
        <v>86.71</v>
      </c>
      <c r="I452" s="136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251</v>
      </c>
      <c r="D501" s="135" t="s">
        <v>292</v>
      </c>
      <c r="E501" s="135" t="s">
        <v>293</v>
      </c>
      <c r="F501" s="135" t="s">
        <v>294</v>
      </c>
      <c r="G501" s="135" t="s">
        <v>295</v>
      </c>
      <c r="H501" s="135" t="s">
        <v>296</v>
      </c>
      <c r="I501" s="135" t="s">
        <v>297</v>
      </c>
      <c r="J501" s="135" t="s">
        <v>298</v>
      </c>
    </row>
    <row r="502" spans="1:10" ht="21.95" customHeight="1" x14ac:dyDescent="0.25">
      <c r="C502" s="123" t="s">
        <v>132</v>
      </c>
      <c r="D502" s="124">
        <v>70.28</v>
      </c>
      <c r="E502" s="124">
        <v>93.52</v>
      </c>
      <c r="F502" s="124">
        <v>81.7</v>
      </c>
      <c r="G502" s="124">
        <v>85.8</v>
      </c>
      <c r="H502" s="124">
        <v>86.78</v>
      </c>
      <c r="I502" s="124">
        <v>83.81</v>
      </c>
      <c r="J502" s="124">
        <v>96.24</v>
      </c>
    </row>
    <row r="503" spans="1:10" ht="21.95" customHeight="1" x14ac:dyDescent="0.25">
      <c r="C503" s="126" t="s">
        <v>133</v>
      </c>
      <c r="D503" s="124">
        <v>62.23</v>
      </c>
      <c r="E503" s="124">
        <v>94.29</v>
      </c>
      <c r="F503" s="124">
        <v>80.44</v>
      </c>
      <c r="G503" s="124">
        <v>83.68</v>
      </c>
      <c r="H503" s="124">
        <v>81.459999999999994</v>
      </c>
      <c r="I503" s="124">
        <v>84.28</v>
      </c>
      <c r="J503" s="124">
        <v>91.48</v>
      </c>
    </row>
    <row r="504" spans="1:10" ht="21.95" customHeight="1" x14ac:dyDescent="0.25">
      <c r="C504" s="127" t="s">
        <v>131</v>
      </c>
      <c r="D504" s="124">
        <v>67.959999999999994</v>
      </c>
      <c r="E504" s="124">
        <v>91.07</v>
      </c>
      <c r="F504" s="124">
        <v>74.040000000000006</v>
      </c>
      <c r="G504" s="124">
        <v>74.45</v>
      </c>
      <c r="H504" s="124">
        <v>78.72</v>
      </c>
      <c r="I504" s="124">
        <v>76.58</v>
      </c>
      <c r="J504" s="124">
        <v>81.349999999999994</v>
      </c>
    </row>
    <row r="505" spans="1:10" ht="21.95" customHeight="1" x14ac:dyDescent="0.25">
      <c r="C505" s="128" t="s">
        <v>142</v>
      </c>
      <c r="D505" s="124">
        <v>72.989999999999995</v>
      </c>
      <c r="E505" s="124">
        <v>99.04</v>
      </c>
      <c r="F505" s="124">
        <v>80</v>
      </c>
      <c r="G505" s="124">
        <v>84.75</v>
      </c>
      <c r="H505" s="124">
        <v>83.95</v>
      </c>
      <c r="I505" s="124">
        <v>89.61</v>
      </c>
      <c r="J505" s="124">
        <v>93.45</v>
      </c>
    </row>
    <row r="506" spans="1:10" ht="21.95" customHeight="1" x14ac:dyDescent="0.25">
      <c r="C506" s="129" t="s">
        <v>435</v>
      </c>
      <c r="D506" s="125">
        <v>60.71</v>
      </c>
      <c r="E506" s="125">
        <v>98.57</v>
      </c>
      <c r="F506" s="125">
        <v>79.77</v>
      </c>
      <c r="G506" s="125">
        <v>87.66</v>
      </c>
      <c r="H506" s="125">
        <v>86.3</v>
      </c>
      <c r="I506" s="125">
        <v>90.11</v>
      </c>
      <c r="J506" s="125">
        <v>93.76</v>
      </c>
    </row>
    <row r="507" spans="1:10" x14ac:dyDescent="0.25">
      <c r="C507" t="s">
        <v>436</v>
      </c>
      <c r="D507" s="130">
        <v>66.8</v>
      </c>
      <c r="E507" s="130">
        <v>94.93</v>
      </c>
      <c r="F507" s="130">
        <v>79.16</v>
      </c>
      <c r="G507" s="130">
        <v>83.16</v>
      </c>
      <c r="H507" s="130">
        <v>83.39</v>
      </c>
      <c r="I507" s="130">
        <v>84.44</v>
      </c>
      <c r="J507" s="130">
        <v>91.35</v>
      </c>
    </row>
    <row r="508" spans="1:10" x14ac:dyDescent="0.25">
      <c r="C508" t="s">
        <v>437</v>
      </c>
      <c r="D508" s="131">
        <v>8</v>
      </c>
      <c r="E508" s="131">
        <v>14</v>
      </c>
      <c r="F508" s="131">
        <v>41</v>
      </c>
      <c r="G508" s="131">
        <v>199</v>
      </c>
      <c r="H508" s="131">
        <v>2612</v>
      </c>
      <c r="I508" s="131">
        <v>95</v>
      </c>
      <c r="J508" s="131">
        <v>21</v>
      </c>
    </row>
    <row r="509" spans="1:10" x14ac:dyDescent="0.25">
      <c r="C509" t="s">
        <v>438</v>
      </c>
      <c r="D509" s="132">
        <v>71.709999999999994</v>
      </c>
      <c r="E509" s="132">
        <v>94.66</v>
      </c>
      <c r="F509" s="132">
        <v>78.58</v>
      </c>
      <c r="G509" s="132">
        <v>74.38</v>
      </c>
      <c r="H509" s="132">
        <v>80.41</v>
      </c>
      <c r="I509" s="132">
        <v>84.16</v>
      </c>
      <c r="J509" s="132" t="s">
        <v>148</v>
      </c>
    </row>
    <row r="510" spans="1:10" x14ac:dyDescent="0.25">
      <c r="C510" t="s">
        <v>439</v>
      </c>
      <c r="D510" s="133">
        <v>22</v>
      </c>
      <c r="E510" s="133">
        <v>10</v>
      </c>
      <c r="F510" s="133">
        <v>47</v>
      </c>
      <c r="G510" s="133">
        <v>187</v>
      </c>
      <c r="H510" s="133">
        <v>2535</v>
      </c>
      <c r="I510" s="133">
        <v>89</v>
      </c>
      <c r="J510" s="133" t="s">
        <v>146</v>
      </c>
    </row>
    <row r="511" spans="1:10" ht="22.5" x14ac:dyDescent="0.25">
      <c r="C511" t="s">
        <v>130</v>
      </c>
      <c r="D511" s="134" t="s">
        <v>292</v>
      </c>
      <c r="E511" s="134" t="s">
        <v>293</v>
      </c>
      <c r="F511" s="134" t="s">
        <v>294</v>
      </c>
      <c r="G511" s="134" t="s">
        <v>295</v>
      </c>
      <c r="H511" s="134" t="s">
        <v>296</v>
      </c>
      <c r="I511" s="134" t="s">
        <v>297</v>
      </c>
      <c r="J511" s="134" t="s">
        <v>298</v>
      </c>
    </row>
    <row r="512" spans="1:10" x14ac:dyDescent="0.25">
      <c r="C512" t="s">
        <v>440</v>
      </c>
      <c r="D512" s="130">
        <v>82.91</v>
      </c>
      <c r="E512" s="130">
        <v>82.91</v>
      </c>
      <c r="F512" s="130">
        <v>82.91</v>
      </c>
      <c r="G512" s="130">
        <v>82.91</v>
      </c>
      <c r="H512" s="130">
        <v>82.91</v>
      </c>
      <c r="I512" s="130">
        <v>82.91</v>
      </c>
      <c r="J512" s="130">
        <v>82.91</v>
      </c>
    </row>
    <row r="513" spans="1:10" x14ac:dyDescent="0.25">
      <c r="C513" t="s">
        <v>441</v>
      </c>
      <c r="D513" s="136">
        <v>75</v>
      </c>
      <c r="E513" s="136">
        <v>100</v>
      </c>
      <c r="F513" s="136">
        <v>75.61</v>
      </c>
      <c r="G513" s="136">
        <v>86.36</v>
      </c>
      <c r="H513" s="136">
        <v>83.41</v>
      </c>
      <c r="I513" s="136">
        <v>91.58</v>
      </c>
      <c r="J513" s="136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252</v>
      </c>
      <c r="D532" s="135" t="s">
        <v>299</v>
      </c>
      <c r="E532" s="135" t="s">
        <v>300</v>
      </c>
      <c r="F532" s="135" t="s">
        <v>301</v>
      </c>
      <c r="G532" s="135" t="s">
        <v>302</v>
      </c>
      <c r="H532" s="135" t="s">
        <v>303</v>
      </c>
      <c r="I532" s="135" t="s">
        <v>304</v>
      </c>
      <c r="J532" s="135" t="s">
        <v>305</v>
      </c>
    </row>
    <row r="533" spans="1:10" ht="21.95" customHeight="1" x14ac:dyDescent="0.25">
      <c r="C533" s="123" t="s">
        <v>132</v>
      </c>
      <c r="D533" s="124">
        <v>90.49</v>
      </c>
      <c r="E533" s="124">
        <v>78.42</v>
      </c>
      <c r="F533" s="124">
        <v>89.17</v>
      </c>
      <c r="G533" s="124">
        <v>84.63</v>
      </c>
      <c r="H533" s="124">
        <v>81.78</v>
      </c>
      <c r="I533" s="124" t="s">
        <v>148</v>
      </c>
      <c r="J533" s="124">
        <v>97.14</v>
      </c>
    </row>
    <row r="534" spans="1:10" ht="21.95" customHeight="1" x14ac:dyDescent="0.25">
      <c r="C534" s="126" t="s">
        <v>133</v>
      </c>
      <c r="D534" s="124">
        <v>90.16</v>
      </c>
      <c r="E534" s="124">
        <v>79.81</v>
      </c>
      <c r="F534" s="124">
        <v>87.3</v>
      </c>
      <c r="G534" s="124">
        <v>79.87</v>
      </c>
      <c r="H534" s="124">
        <v>83.85</v>
      </c>
      <c r="I534" s="124" t="s">
        <v>148</v>
      </c>
      <c r="J534" s="124">
        <v>95.38</v>
      </c>
    </row>
    <row r="535" spans="1:10" ht="21.95" customHeight="1" x14ac:dyDescent="0.25">
      <c r="C535" s="127" t="s">
        <v>131</v>
      </c>
      <c r="D535" s="124">
        <v>80.63</v>
      </c>
      <c r="E535" s="124">
        <v>70.56</v>
      </c>
      <c r="F535" s="124">
        <v>81.760000000000005</v>
      </c>
      <c r="G535" s="124">
        <v>76.849999999999994</v>
      </c>
      <c r="H535" s="124">
        <v>73.540000000000006</v>
      </c>
      <c r="I535" s="124" t="s">
        <v>148</v>
      </c>
      <c r="J535" s="124">
        <v>85</v>
      </c>
    </row>
    <row r="536" spans="1:10" ht="21.95" customHeight="1" x14ac:dyDescent="0.25">
      <c r="C536" s="128" t="s">
        <v>142</v>
      </c>
      <c r="D536" s="124">
        <v>88.73</v>
      </c>
      <c r="E536" s="124">
        <v>76.319999999999993</v>
      </c>
      <c r="F536" s="124">
        <v>90.11</v>
      </c>
      <c r="G536" s="124">
        <v>80.97</v>
      </c>
      <c r="H536" s="124">
        <v>81.84</v>
      </c>
      <c r="I536" s="124" t="s">
        <v>148</v>
      </c>
      <c r="J536" s="124">
        <v>96.25</v>
      </c>
    </row>
    <row r="537" spans="1:10" ht="21.95" customHeight="1" x14ac:dyDescent="0.25">
      <c r="C537" s="129" t="s">
        <v>435</v>
      </c>
      <c r="D537" s="125">
        <v>92.57</v>
      </c>
      <c r="E537" s="125">
        <v>79.37</v>
      </c>
      <c r="F537" s="125">
        <v>91.39</v>
      </c>
      <c r="G537" s="125">
        <v>85.14</v>
      </c>
      <c r="H537" s="125">
        <v>86.85</v>
      </c>
      <c r="I537" s="125" t="s">
        <v>148</v>
      </c>
      <c r="J537" s="125">
        <v>91</v>
      </c>
    </row>
    <row r="538" spans="1:10" x14ac:dyDescent="0.25">
      <c r="C538" t="s">
        <v>436</v>
      </c>
      <c r="D538" s="130">
        <v>88.51</v>
      </c>
      <c r="E538" s="130">
        <v>77.03</v>
      </c>
      <c r="F538" s="130">
        <v>87.77</v>
      </c>
      <c r="G538" s="130">
        <v>81.510000000000005</v>
      </c>
      <c r="H538" s="130">
        <v>81.52</v>
      </c>
      <c r="I538" s="130" t="s">
        <v>148</v>
      </c>
      <c r="J538" s="130">
        <v>93.1</v>
      </c>
    </row>
    <row r="539" spans="1:10" x14ac:dyDescent="0.25">
      <c r="C539" t="s">
        <v>437</v>
      </c>
      <c r="D539" s="131">
        <v>170</v>
      </c>
      <c r="E539" s="131">
        <v>102</v>
      </c>
      <c r="F539" s="131">
        <v>60</v>
      </c>
      <c r="G539" s="131">
        <v>1478</v>
      </c>
      <c r="H539" s="131">
        <v>73</v>
      </c>
      <c r="I539" s="131">
        <v>3</v>
      </c>
      <c r="J539" s="131">
        <v>10</v>
      </c>
    </row>
    <row r="540" spans="1:10" x14ac:dyDescent="0.25">
      <c r="C540" t="s">
        <v>438</v>
      </c>
      <c r="D540" s="132">
        <v>87.49</v>
      </c>
      <c r="E540" s="132">
        <v>80.099999999999994</v>
      </c>
      <c r="F540" s="132">
        <v>77.22</v>
      </c>
      <c r="G540" s="132">
        <v>75.45</v>
      </c>
      <c r="H540" s="132">
        <v>82.2</v>
      </c>
      <c r="I540" s="132" t="s">
        <v>148</v>
      </c>
      <c r="J540" s="132">
        <v>91.82</v>
      </c>
    </row>
    <row r="541" spans="1:10" x14ac:dyDescent="0.25">
      <c r="C541" t="s">
        <v>439</v>
      </c>
      <c r="D541" s="133">
        <v>159</v>
      </c>
      <c r="E541" s="133">
        <v>99</v>
      </c>
      <c r="F541" s="133">
        <v>55</v>
      </c>
      <c r="G541" s="133">
        <v>1432</v>
      </c>
      <c r="H541" s="133">
        <v>77</v>
      </c>
      <c r="I541" s="133">
        <v>5</v>
      </c>
      <c r="J541" s="133">
        <v>11</v>
      </c>
    </row>
    <row r="542" spans="1:10" ht="22.5" x14ac:dyDescent="0.25">
      <c r="C542" t="s">
        <v>130</v>
      </c>
      <c r="D542" s="134" t="s">
        <v>299</v>
      </c>
      <c r="E542" s="134" t="s">
        <v>300</v>
      </c>
      <c r="F542" s="134" t="s">
        <v>301</v>
      </c>
      <c r="G542" s="134" t="s">
        <v>302</v>
      </c>
      <c r="H542" s="134" t="s">
        <v>303</v>
      </c>
      <c r="I542" s="134" t="s">
        <v>304</v>
      </c>
      <c r="J542" s="134" t="s">
        <v>305</v>
      </c>
    </row>
    <row r="543" spans="1:10" x14ac:dyDescent="0.25">
      <c r="C543" t="s">
        <v>440</v>
      </c>
      <c r="D543" s="130">
        <v>82.91</v>
      </c>
      <c r="E543" s="130">
        <v>82.91</v>
      </c>
      <c r="F543" s="130">
        <v>82.91</v>
      </c>
      <c r="G543" s="130">
        <v>82.91</v>
      </c>
      <c r="H543" s="130">
        <v>82.91</v>
      </c>
      <c r="I543" s="130">
        <v>82.91</v>
      </c>
      <c r="J543" s="130">
        <v>82.91</v>
      </c>
    </row>
    <row r="544" spans="1:10" x14ac:dyDescent="0.25">
      <c r="C544" t="s">
        <v>441</v>
      </c>
      <c r="D544" s="136">
        <v>91.12</v>
      </c>
      <c r="E544" s="136">
        <v>81.37</v>
      </c>
      <c r="F544" s="136">
        <v>91.53</v>
      </c>
      <c r="G544" s="136">
        <v>83.23</v>
      </c>
      <c r="H544" s="136">
        <v>87.67</v>
      </c>
      <c r="I544" s="136" t="s">
        <v>148</v>
      </c>
      <c r="J544" s="136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35" t="s">
        <v>306</v>
      </c>
      <c r="E623" s="135" t="s">
        <v>307</v>
      </c>
      <c r="F623" s="135" t="s">
        <v>308</v>
      </c>
      <c r="G623" s="135" t="s">
        <v>309</v>
      </c>
    </row>
    <row r="624" spans="1:7" ht="21.95" customHeight="1" x14ac:dyDescent="0.25">
      <c r="C624" s="123" t="s">
        <v>132</v>
      </c>
      <c r="D624" s="124">
        <v>92.06</v>
      </c>
      <c r="E624" s="124">
        <v>82.99</v>
      </c>
      <c r="F624" s="124">
        <v>73.010000000000005</v>
      </c>
      <c r="G624" s="124">
        <v>58.22</v>
      </c>
    </row>
    <row r="625" spans="1:7" ht="21.95" customHeight="1" x14ac:dyDescent="0.25">
      <c r="C625" s="126" t="s">
        <v>133</v>
      </c>
      <c r="D625" s="124">
        <v>87.65</v>
      </c>
      <c r="E625" s="124">
        <v>78.34</v>
      </c>
      <c r="F625" s="124">
        <v>69.09</v>
      </c>
      <c r="G625" s="124">
        <v>54.71</v>
      </c>
    </row>
    <row r="626" spans="1:7" ht="21.95" customHeight="1" x14ac:dyDescent="0.25">
      <c r="C626" s="127" t="s">
        <v>131</v>
      </c>
      <c r="D626" s="124">
        <v>83.2</v>
      </c>
      <c r="E626" s="124">
        <v>74.31</v>
      </c>
      <c r="F626" s="124">
        <v>66.7</v>
      </c>
      <c r="G626" s="124">
        <v>56.94</v>
      </c>
    </row>
    <row r="627" spans="1:7" ht="21.95" customHeight="1" x14ac:dyDescent="0.25">
      <c r="C627" s="128" t="s">
        <v>142</v>
      </c>
      <c r="D627" s="124">
        <v>87.6</v>
      </c>
      <c r="E627" s="124">
        <v>81.8</v>
      </c>
      <c r="F627" s="124">
        <v>71.7</v>
      </c>
      <c r="G627" s="124">
        <v>66.19</v>
      </c>
    </row>
    <row r="628" spans="1:7" ht="21.95" customHeight="1" x14ac:dyDescent="0.25">
      <c r="C628" s="129" t="s">
        <v>435</v>
      </c>
      <c r="D628" s="125">
        <v>90.98</v>
      </c>
      <c r="E628" s="125">
        <v>84.03</v>
      </c>
      <c r="F628" s="125">
        <v>75.88</v>
      </c>
      <c r="G628" s="125">
        <v>65.92</v>
      </c>
    </row>
    <row r="629" spans="1:7" x14ac:dyDescent="0.25">
      <c r="C629" t="s">
        <v>436</v>
      </c>
      <c r="D629" s="130">
        <v>88.39</v>
      </c>
      <c r="E629" s="130">
        <v>80.150000000000006</v>
      </c>
      <c r="F629" s="130">
        <v>71.099999999999994</v>
      </c>
      <c r="G629" s="130">
        <v>59.77</v>
      </c>
    </row>
    <row r="630" spans="1:7" x14ac:dyDescent="0.25">
      <c r="C630" t="s">
        <v>437</v>
      </c>
      <c r="D630" s="131">
        <v>2444</v>
      </c>
      <c r="E630" s="131">
        <v>1088</v>
      </c>
      <c r="F630" s="131">
        <v>501</v>
      </c>
      <c r="G630" s="131">
        <v>116</v>
      </c>
    </row>
    <row r="631" spans="1:7" x14ac:dyDescent="0.25">
      <c r="C631" t="s">
        <v>438</v>
      </c>
      <c r="D631" s="132">
        <v>84.86</v>
      </c>
      <c r="E631" s="132">
        <v>74.510000000000005</v>
      </c>
      <c r="F631" s="132">
        <v>66.599999999999994</v>
      </c>
      <c r="G631" s="132">
        <v>55.18</v>
      </c>
    </row>
    <row r="632" spans="1:7" x14ac:dyDescent="0.25">
      <c r="C632" t="s">
        <v>439</v>
      </c>
      <c r="D632" s="133">
        <v>2773</v>
      </c>
      <c r="E632" s="133">
        <v>1087</v>
      </c>
      <c r="F632" s="133">
        <v>595</v>
      </c>
      <c r="G632" s="133">
        <v>110</v>
      </c>
    </row>
    <row r="633" spans="1:7" x14ac:dyDescent="0.25">
      <c r="C633" t="s">
        <v>130</v>
      </c>
      <c r="D633" s="134" t="s">
        <v>306</v>
      </c>
      <c r="E633" s="134" t="s">
        <v>307</v>
      </c>
      <c r="F633" s="134" t="s">
        <v>308</v>
      </c>
      <c r="G633" s="134" t="s">
        <v>309</v>
      </c>
    </row>
    <row r="634" spans="1:7" x14ac:dyDescent="0.25">
      <c r="C634" t="s">
        <v>440</v>
      </c>
      <c r="D634" s="130">
        <v>82.91</v>
      </c>
      <c r="E634" s="130">
        <v>82.91</v>
      </c>
      <c r="F634" s="130">
        <v>82.91</v>
      </c>
      <c r="G634" s="130">
        <v>82.91</v>
      </c>
    </row>
    <row r="635" spans="1:7" x14ac:dyDescent="0.25">
      <c r="C635" t="s">
        <v>441</v>
      </c>
      <c r="D635" s="136">
        <v>89.51</v>
      </c>
      <c r="E635" s="136">
        <v>82.26</v>
      </c>
      <c r="F635" s="136">
        <v>70.599999999999994</v>
      </c>
      <c r="G635" s="136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35" t="s">
        <v>310</v>
      </c>
      <c r="E714" s="135" t="s">
        <v>311</v>
      </c>
      <c r="F714" s="135" t="s">
        <v>312</v>
      </c>
      <c r="G714" s="135" t="s">
        <v>313</v>
      </c>
      <c r="H714" s="135" t="s">
        <v>314</v>
      </c>
    </row>
    <row r="715" spans="1:8" ht="21.95" customHeight="1" x14ac:dyDescent="0.25">
      <c r="C715" s="123" t="s">
        <v>132</v>
      </c>
      <c r="D715" s="124">
        <v>88.46</v>
      </c>
      <c r="E715" s="124">
        <v>81.81</v>
      </c>
      <c r="F715" s="124">
        <v>69.47</v>
      </c>
      <c r="G715" s="124">
        <v>90.75</v>
      </c>
      <c r="H715" s="124">
        <v>71.900000000000006</v>
      </c>
    </row>
    <row r="716" spans="1:8" ht="21.95" customHeight="1" x14ac:dyDescent="0.25">
      <c r="C716" s="126" t="s">
        <v>133</v>
      </c>
      <c r="D716" s="124">
        <v>84.45</v>
      </c>
      <c r="E716" s="124">
        <v>75.67</v>
      </c>
      <c r="F716" s="124">
        <v>62.34</v>
      </c>
      <c r="G716" s="124">
        <v>87.24</v>
      </c>
      <c r="H716" s="124">
        <v>66.099999999999994</v>
      </c>
    </row>
    <row r="717" spans="1:8" ht="21.95" customHeight="1" x14ac:dyDescent="0.25">
      <c r="C717" s="127" t="s">
        <v>131</v>
      </c>
      <c r="D717" s="124">
        <v>79.25</v>
      </c>
      <c r="E717" s="124">
        <v>73.47</v>
      </c>
      <c r="F717" s="124">
        <v>59.43</v>
      </c>
      <c r="G717" s="124">
        <v>82.97</v>
      </c>
      <c r="H717" s="124">
        <v>62.41</v>
      </c>
    </row>
    <row r="718" spans="1:8" ht="21.95" customHeight="1" x14ac:dyDescent="0.25">
      <c r="C718" s="128" t="s">
        <v>142</v>
      </c>
      <c r="D718" s="124">
        <v>84.85</v>
      </c>
      <c r="E718" s="124">
        <v>75.930000000000007</v>
      </c>
      <c r="F718" s="124">
        <v>67.13</v>
      </c>
      <c r="G718" s="124">
        <v>89.76</v>
      </c>
      <c r="H718" s="124">
        <v>66.989999999999995</v>
      </c>
    </row>
    <row r="719" spans="1:8" ht="21.95" customHeight="1" x14ac:dyDescent="0.25">
      <c r="C719" s="129" t="s">
        <v>435</v>
      </c>
      <c r="D719" s="125">
        <v>88.44</v>
      </c>
      <c r="E719" s="125">
        <v>81.05</v>
      </c>
      <c r="F719" s="125">
        <v>68.94</v>
      </c>
      <c r="G719" s="125">
        <v>91.63</v>
      </c>
      <c r="H719" s="125">
        <v>70.739999999999995</v>
      </c>
    </row>
    <row r="720" spans="1:8" x14ac:dyDescent="0.25">
      <c r="C720" t="s">
        <v>436</v>
      </c>
      <c r="D720" s="130">
        <v>85.13</v>
      </c>
      <c r="E720" s="130">
        <v>77.69</v>
      </c>
      <c r="F720" s="130">
        <v>65.31</v>
      </c>
      <c r="G720" s="130">
        <v>88.38</v>
      </c>
      <c r="H720" s="130">
        <v>67.58</v>
      </c>
    </row>
    <row r="721" spans="1:8" x14ac:dyDescent="0.25">
      <c r="C721" t="s">
        <v>437</v>
      </c>
      <c r="D721" s="131">
        <v>680</v>
      </c>
      <c r="E721" s="131">
        <v>940</v>
      </c>
      <c r="F721" s="131">
        <v>101</v>
      </c>
      <c r="G721" s="131">
        <v>1993</v>
      </c>
      <c r="H721" s="131">
        <v>218</v>
      </c>
    </row>
    <row r="722" spans="1:8" x14ac:dyDescent="0.25">
      <c r="C722" t="s">
        <v>438</v>
      </c>
      <c r="D722" s="132">
        <v>80.739999999999995</v>
      </c>
      <c r="E722" s="132">
        <v>74.11</v>
      </c>
      <c r="F722" s="132">
        <v>60.51</v>
      </c>
      <c r="G722" s="132">
        <v>85.59</v>
      </c>
      <c r="H722" s="132">
        <v>59.82</v>
      </c>
    </row>
    <row r="723" spans="1:8" x14ac:dyDescent="0.25">
      <c r="C723" t="s">
        <v>439</v>
      </c>
      <c r="D723" s="133">
        <v>764</v>
      </c>
      <c r="E723" s="133">
        <v>1235</v>
      </c>
      <c r="F723" s="133">
        <v>132</v>
      </c>
      <c r="G723" s="133">
        <v>2149</v>
      </c>
      <c r="H723" s="133">
        <v>297</v>
      </c>
    </row>
    <row r="724" spans="1:8" ht="33.75" x14ac:dyDescent="0.25">
      <c r="C724" t="s">
        <v>130</v>
      </c>
      <c r="D724" s="134" t="s">
        <v>310</v>
      </c>
      <c r="E724" s="134" t="s">
        <v>311</v>
      </c>
      <c r="F724" s="134" t="s">
        <v>312</v>
      </c>
      <c r="G724" s="134" t="s">
        <v>313</v>
      </c>
      <c r="H724" s="134" t="s">
        <v>314</v>
      </c>
    </row>
    <row r="725" spans="1:8" x14ac:dyDescent="0.25">
      <c r="C725" t="s">
        <v>440</v>
      </c>
      <c r="D725" s="130">
        <v>82.91</v>
      </c>
      <c r="E725" s="130">
        <v>82.91</v>
      </c>
      <c r="F725" s="130">
        <v>82.91</v>
      </c>
      <c r="G725" s="130">
        <v>82.91</v>
      </c>
      <c r="H725" s="130">
        <v>82.91</v>
      </c>
    </row>
    <row r="726" spans="1:8" x14ac:dyDescent="0.25">
      <c r="C726" t="s">
        <v>441</v>
      </c>
      <c r="D726" s="136">
        <v>87.3</v>
      </c>
      <c r="E726" s="136">
        <v>77.290000000000006</v>
      </c>
      <c r="F726" s="136">
        <v>65.349999999999994</v>
      </c>
      <c r="G726" s="136">
        <v>91.62</v>
      </c>
      <c r="H726" s="136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35" t="s">
        <v>315</v>
      </c>
      <c r="E805" s="135" t="s">
        <v>307</v>
      </c>
      <c r="F805" s="135" t="s">
        <v>308</v>
      </c>
      <c r="G805" s="135" t="s">
        <v>309</v>
      </c>
    </row>
    <row r="806" spans="1:7" ht="21.95" customHeight="1" x14ac:dyDescent="0.25">
      <c r="C806" s="123" t="s">
        <v>132</v>
      </c>
      <c r="D806" s="124">
        <v>93.66</v>
      </c>
      <c r="E806" s="124">
        <v>88.03</v>
      </c>
      <c r="F806" s="124">
        <v>82.62</v>
      </c>
      <c r="G806" s="124">
        <v>65.010000000000005</v>
      </c>
    </row>
    <row r="807" spans="1:7" ht="21.95" customHeight="1" x14ac:dyDescent="0.25">
      <c r="C807" s="126" t="s">
        <v>133</v>
      </c>
      <c r="D807" s="124">
        <v>89.83</v>
      </c>
      <c r="E807" s="124">
        <v>83.54</v>
      </c>
      <c r="F807" s="124">
        <v>77.73</v>
      </c>
      <c r="G807" s="124">
        <v>61.02</v>
      </c>
    </row>
    <row r="808" spans="1:7" ht="21.95" customHeight="1" x14ac:dyDescent="0.25">
      <c r="C808" s="127" t="s">
        <v>131</v>
      </c>
      <c r="D808" s="124">
        <v>85.29</v>
      </c>
      <c r="E808" s="124">
        <v>79.36</v>
      </c>
      <c r="F808" s="124">
        <v>73.209999999999994</v>
      </c>
      <c r="G808" s="124">
        <v>61.49</v>
      </c>
    </row>
    <row r="809" spans="1:7" ht="21.95" customHeight="1" x14ac:dyDescent="0.25">
      <c r="C809" s="128" t="s">
        <v>142</v>
      </c>
      <c r="D809" s="124">
        <v>89.45</v>
      </c>
      <c r="E809" s="124">
        <v>84.49</v>
      </c>
      <c r="F809" s="124">
        <v>80.319999999999993</v>
      </c>
      <c r="G809" s="124">
        <v>67.36</v>
      </c>
    </row>
    <row r="810" spans="1:7" ht="21.95" customHeight="1" x14ac:dyDescent="0.25">
      <c r="C810" s="129" t="s">
        <v>435</v>
      </c>
      <c r="D810" s="125">
        <v>93.27</v>
      </c>
      <c r="E810" s="125">
        <v>88.22</v>
      </c>
      <c r="F810" s="125">
        <v>84</v>
      </c>
      <c r="G810" s="125">
        <v>70.72</v>
      </c>
    </row>
    <row r="811" spans="1:7" x14ac:dyDescent="0.25">
      <c r="C811" t="s">
        <v>436</v>
      </c>
      <c r="D811" s="130">
        <v>90.42</v>
      </c>
      <c r="E811" s="130">
        <v>84.77</v>
      </c>
      <c r="F811" s="130">
        <v>79.48</v>
      </c>
      <c r="G811" s="130">
        <v>64.67</v>
      </c>
    </row>
    <row r="812" spans="1:7" x14ac:dyDescent="0.25">
      <c r="C812" t="s">
        <v>437</v>
      </c>
      <c r="D812" s="131">
        <v>789</v>
      </c>
      <c r="E812" s="131">
        <v>283</v>
      </c>
      <c r="F812" s="131">
        <v>450</v>
      </c>
      <c r="G812" s="131">
        <v>317</v>
      </c>
    </row>
    <row r="813" spans="1:7" x14ac:dyDescent="0.25">
      <c r="C813" t="s">
        <v>438</v>
      </c>
      <c r="D813" s="132" t="s">
        <v>148</v>
      </c>
      <c r="E813" s="132" t="s">
        <v>148</v>
      </c>
      <c r="F813" s="132" t="s">
        <v>148</v>
      </c>
      <c r="G813" s="132" t="s">
        <v>148</v>
      </c>
    </row>
    <row r="814" spans="1:7" x14ac:dyDescent="0.25">
      <c r="C814" t="s">
        <v>439</v>
      </c>
      <c r="D814" s="133" t="s">
        <v>146</v>
      </c>
      <c r="E814" s="133" t="s">
        <v>146</v>
      </c>
      <c r="F814" s="133" t="s">
        <v>146</v>
      </c>
      <c r="G814" s="133" t="s">
        <v>146</v>
      </c>
    </row>
    <row r="815" spans="1:7" x14ac:dyDescent="0.25">
      <c r="C815" t="s">
        <v>130</v>
      </c>
      <c r="D815" s="134" t="s">
        <v>315</v>
      </c>
      <c r="E815" s="134" t="s">
        <v>307</v>
      </c>
      <c r="F815" s="134" t="s">
        <v>308</v>
      </c>
      <c r="G815" s="134" t="s">
        <v>309</v>
      </c>
    </row>
    <row r="816" spans="1:7" x14ac:dyDescent="0.25">
      <c r="C816" t="s">
        <v>440</v>
      </c>
      <c r="D816" s="130">
        <v>82.91</v>
      </c>
      <c r="E816" s="130">
        <v>82.91</v>
      </c>
      <c r="F816" s="130">
        <v>82.91</v>
      </c>
      <c r="G816" s="130">
        <v>82.91</v>
      </c>
    </row>
    <row r="817" spans="3:7" x14ac:dyDescent="0.25">
      <c r="C817" t="s">
        <v>441</v>
      </c>
      <c r="D817" s="136">
        <v>93.54</v>
      </c>
      <c r="E817" s="136">
        <v>87.99</v>
      </c>
      <c r="F817" s="136">
        <v>81.739999999999995</v>
      </c>
      <c r="G817" s="136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A505"/>
  <sheetViews>
    <sheetView showGridLines="0" topLeftCell="AL499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95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76" t="s">
        <v>342</v>
      </c>
    </row>
    <row r="2" spans="1:53" ht="27" customHeight="1" thickBot="1" x14ac:dyDescent="0.3">
      <c r="BA2" s="82" t="s">
        <v>346</v>
      </c>
    </row>
    <row r="3" spans="1:53" ht="27" customHeight="1" thickTop="1" thickBot="1" x14ac:dyDescent="0.3">
      <c r="BA3" s="82" t="s">
        <v>145</v>
      </c>
    </row>
    <row r="4" spans="1:53" ht="27" customHeight="1" thickTop="1" thickBot="1" x14ac:dyDescent="0.3">
      <c r="BA4" s="82" t="s">
        <v>350</v>
      </c>
    </row>
    <row r="5" spans="1:53" ht="27" customHeight="1" thickTop="1" thickBot="1" x14ac:dyDescent="0.3">
      <c r="BA5" s="82" t="s">
        <v>352</v>
      </c>
    </row>
    <row r="6" spans="1:53" ht="27" customHeight="1" thickTop="1" thickBot="1" x14ac:dyDescent="0.3">
      <c r="BA6" s="82" t="s">
        <v>355</v>
      </c>
    </row>
    <row r="7" spans="1:53" ht="27" customHeight="1" thickTop="1" thickBot="1" x14ac:dyDescent="0.3">
      <c r="BA7" s="82" t="s">
        <v>357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430</v>
      </c>
    </row>
    <row r="160" spans="1:1" x14ac:dyDescent="0.25">
      <c r="A160" t="s">
        <v>431</v>
      </c>
    </row>
    <row r="187" spans="1:1" x14ac:dyDescent="0.25">
      <c r="A187" t="s">
        <v>432</v>
      </c>
    </row>
    <row r="213" spans="1:1" x14ac:dyDescent="0.25">
      <c r="A213" t="s">
        <v>433</v>
      </c>
    </row>
    <row r="240" spans="1:1" x14ac:dyDescent="0.25">
      <c r="A240" t="s">
        <v>434</v>
      </c>
    </row>
    <row r="266" spans="1:33" ht="15.75" thickBot="1" x14ac:dyDescent="0.3"/>
    <row r="267" spans="1:33" ht="37.5" customHeight="1" thickBot="1" x14ac:dyDescent="0.3">
      <c r="A267" t="s">
        <v>66</v>
      </c>
      <c r="AA267" s="212" t="s">
        <v>328</v>
      </c>
      <c r="AB267" s="212"/>
      <c r="AC267" s="143" t="s">
        <v>332</v>
      </c>
      <c r="AD267" s="143" t="s">
        <v>333</v>
      </c>
      <c r="AE267" s="143">
        <v>2016</v>
      </c>
      <c r="AF267" s="143">
        <v>2016</v>
      </c>
      <c r="AG267" s="143" t="s">
        <v>329</v>
      </c>
    </row>
    <row r="268" spans="1:33" ht="27" customHeight="1" x14ac:dyDescent="0.25">
      <c r="AA268" s="299" t="s">
        <v>11</v>
      </c>
      <c r="AB268" s="301" t="s">
        <v>344</v>
      </c>
      <c r="AC268" s="77">
        <v>1</v>
      </c>
      <c r="AD268" s="78" t="s">
        <v>345</v>
      </c>
      <c r="AE268" s="79">
        <v>85.48</v>
      </c>
      <c r="AF268" s="79">
        <v>80.14</v>
      </c>
      <c r="AG268" s="79">
        <v>71.930000000000007</v>
      </c>
    </row>
    <row r="269" spans="1:33" ht="27" customHeight="1" x14ac:dyDescent="0.25">
      <c r="AA269" s="294"/>
      <c r="AB269" s="246"/>
      <c r="AC269" s="77">
        <v>2</v>
      </c>
      <c r="AD269" s="78" t="s">
        <v>347</v>
      </c>
      <c r="AE269" s="79">
        <v>84.05</v>
      </c>
      <c r="AF269" s="79">
        <v>80</v>
      </c>
      <c r="AG269" s="79">
        <v>72.400000000000006</v>
      </c>
    </row>
    <row r="270" spans="1:33" ht="27" customHeight="1" x14ac:dyDescent="0.25">
      <c r="AA270" s="294"/>
      <c r="AB270" s="245" t="s">
        <v>348</v>
      </c>
      <c r="AC270" s="77">
        <v>3</v>
      </c>
      <c r="AD270" s="78" t="s">
        <v>349</v>
      </c>
      <c r="AE270" s="80">
        <v>87.08</v>
      </c>
      <c r="AF270" s="80">
        <v>88.28</v>
      </c>
      <c r="AG270" s="79">
        <v>81.36</v>
      </c>
    </row>
    <row r="271" spans="1:33" ht="27" customHeight="1" x14ac:dyDescent="0.25">
      <c r="AA271" s="300"/>
      <c r="AB271" s="246"/>
      <c r="AC271" s="77">
        <v>4</v>
      </c>
      <c r="AD271" s="78" t="s">
        <v>351</v>
      </c>
      <c r="AE271" s="80">
        <v>89.51</v>
      </c>
      <c r="AF271" s="80">
        <v>90.78</v>
      </c>
      <c r="AG271" s="79">
        <v>84.9</v>
      </c>
    </row>
    <row r="272" spans="1:33" ht="27" customHeight="1" x14ac:dyDescent="0.25">
      <c r="AA272" s="293" t="s">
        <v>12</v>
      </c>
      <c r="AB272" s="245" t="s">
        <v>353</v>
      </c>
      <c r="AC272" s="77">
        <v>5</v>
      </c>
      <c r="AD272" s="78" t="s">
        <v>354</v>
      </c>
      <c r="AE272" s="80">
        <v>89.01</v>
      </c>
      <c r="AF272" s="80">
        <v>87.14</v>
      </c>
      <c r="AG272" s="79">
        <v>82.09</v>
      </c>
    </row>
    <row r="273" spans="27:33" ht="27" customHeight="1" x14ac:dyDescent="0.25">
      <c r="AA273" s="294"/>
      <c r="AB273" s="247"/>
      <c r="AC273" s="77">
        <v>6</v>
      </c>
      <c r="AD273" s="78" t="s">
        <v>356</v>
      </c>
      <c r="AE273" s="79">
        <v>84.34</v>
      </c>
      <c r="AF273" s="80">
        <v>92.91</v>
      </c>
      <c r="AG273" s="79">
        <v>78.010000000000005</v>
      </c>
    </row>
    <row r="274" spans="27:33" ht="27" customHeight="1" x14ac:dyDescent="0.25">
      <c r="AA274" s="294"/>
      <c r="AB274" s="246"/>
      <c r="AC274" s="77">
        <v>7</v>
      </c>
      <c r="AD274" s="78" t="s">
        <v>358</v>
      </c>
      <c r="AE274" s="79">
        <v>76.25</v>
      </c>
      <c r="AF274" s="79">
        <v>82.01</v>
      </c>
      <c r="AG274" s="79">
        <v>68.849999999999994</v>
      </c>
    </row>
    <row r="275" spans="27:33" ht="27" customHeight="1" x14ac:dyDescent="0.25">
      <c r="AA275" s="294"/>
      <c r="AB275" s="245" t="s">
        <v>359</v>
      </c>
      <c r="AC275" s="77">
        <v>8</v>
      </c>
      <c r="AD275" s="78" t="s">
        <v>360</v>
      </c>
      <c r="AE275" s="80">
        <v>87.18</v>
      </c>
      <c r="AF275" s="80">
        <v>89.29</v>
      </c>
      <c r="AG275" s="79">
        <v>82.88</v>
      </c>
    </row>
    <row r="276" spans="27:33" ht="27" customHeight="1" x14ac:dyDescent="0.25">
      <c r="AA276" s="294"/>
      <c r="AB276" s="246"/>
      <c r="AC276" s="77">
        <v>9</v>
      </c>
      <c r="AD276" s="78" t="s">
        <v>361</v>
      </c>
      <c r="AE276" s="80">
        <v>89.17</v>
      </c>
      <c r="AF276" s="80">
        <v>95</v>
      </c>
      <c r="AG276" s="80">
        <v>86.01</v>
      </c>
    </row>
    <row r="277" spans="27:33" ht="27" customHeight="1" x14ac:dyDescent="0.25">
      <c r="AA277" s="300"/>
      <c r="AB277" s="144" t="s">
        <v>362</v>
      </c>
      <c r="AC277" s="77">
        <v>10</v>
      </c>
      <c r="AD277" s="78" t="s">
        <v>363</v>
      </c>
      <c r="AE277" s="80">
        <v>88.56</v>
      </c>
      <c r="AF277" s="79">
        <v>81.56</v>
      </c>
      <c r="AG277" s="79">
        <v>77.41</v>
      </c>
    </row>
    <row r="278" spans="27:33" ht="27" customHeight="1" x14ac:dyDescent="0.25">
      <c r="AA278" s="293" t="s">
        <v>13</v>
      </c>
      <c r="AB278" s="245" t="s">
        <v>364</v>
      </c>
      <c r="AC278" s="77">
        <v>11</v>
      </c>
      <c r="AD278" s="78" t="s">
        <v>365</v>
      </c>
      <c r="AE278" s="79">
        <v>82.4</v>
      </c>
      <c r="AF278" s="80">
        <v>90.07</v>
      </c>
      <c r="AG278" s="79">
        <v>74.319999999999993</v>
      </c>
    </row>
    <row r="279" spans="27:33" ht="27" customHeight="1" x14ac:dyDescent="0.25">
      <c r="AA279" s="294"/>
      <c r="AB279" s="247"/>
      <c r="AC279" s="77">
        <v>12</v>
      </c>
      <c r="AD279" s="78" t="s">
        <v>366</v>
      </c>
      <c r="AE279" s="79">
        <v>82.42</v>
      </c>
      <c r="AF279" s="80">
        <v>85.82</v>
      </c>
      <c r="AG279" s="79">
        <v>74.2</v>
      </c>
    </row>
    <row r="280" spans="27:33" ht="27" customHeight="1" x14ac:dyDescent="0.25">
      <c r="AA280" s="294"/>
      <c r="AB280" s="246"/>
      <c r="AC280" s="77">
        <v>13</v>
      </c>
      <c r="AD280" s="78" t="s">
        <v>367</v>
      </c>
      <c r="AE280" s="79">
        <v>85.31</v>
      </c>
      <c r="AF280" s="80">
        <v>93.62</v>
      </c>
      <c r="AG280" s="79">
        <v>81.02</v>
      </c>
    </row>
    <row r="281" spans="27:33" ht="27" customHeight="1" thickBot="1" x14ac:dyDescent="0.3">
      <c r="AA281" s="295"/>
      <c r="AB281" s="144" t="s">
        <v>368</v>
      </c>
      <c r="AC281" s="77">
        <v>14</v>
      </c>
      <c r="AD281" s="78" t="s">
        <v>369</v>
      </c>
      <c r="AE281" s="80">
        <v>92.33</v>
      </c>
      <c r="AF281" s="80">
        <v>93.57</v>
      </c>
      <c r="AG281" s="80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12" t="s">
        <v>328</v>
      </c>
      <c r="AB293" s="212"/>
      <c r="AC293" s="143" t="s">
        <v>332</v>
      </c>
      <c r="AD293" s="143" t="s">
        <v>333</v>
      </c>
      <c r="AE293" s="143">
        <v>2016</v>
      </c>
      <c r="AF293" s="143">
        <v>2016</v>
      </c>
      <c r="AG293" s="143" t="s">
        <v>329</v>
      </c>
    </row>
    <row r="294" spans="1:33" ht="27" customHeight="1" x14ac:dyDescent="0.25">
      <c r="AA294" s="292" t="s">
        <v>14</v>
      </c>
      <c r="AB294" s="248" t="s">
        <v>371</v>
      </c>
      <c r="AC294" s="77">
        <v>15</v>
      </c>
      <c r="AD294" s="78" t="s">
        <v>372</v>
      </c>
      <c r="AE294" s="79">
        <v>79.709999999999994</v>
      </c>
      <c r="AF294" s="80">
        <v>93.1</v>
      </c>
      <c r="AG294" s="79">
        <v>73.25</v>
      </c>
    </row>
    <row r="295" spans="1:33" ht="27" customHeight="1" x14ac:dyDescent="0.25">
      <c r="AA295" s="287"/>
      <c r="AB295" s="249"/>
      <c r="AC295" s="77">
        <v>16</v>
      </c>
      <c r="AD295" s="78" t="s">
        <v>373</v>
      </c>
      <c r="AE295" s="79">
        <v>83.11</v>
      </c>
      <c r="AF295" s="80">
        <v>96.55</v>
      </c>
      <c r="AG295" s="79">
        <v>82.08</v>
      </c>
    </row>
    <row r="296" spans="1:33" ht="27" customHeight="1" x14ac:dyDescent="0.25">
      <c r="AA296" s="287"/>
      <c r="AB296" s="250" t="s">
        <v>374</v>
      </c>
      <c r="AC296" s="77">
        <v>17</v>
      </c>
      <c r="AD296" s="78" t="s">
        <v>375</v>
      </c>
      <c r="AE296" s="79">
        <v>79.77</v>
      </c>
      <c r="AF296" s="79">
        <v>83.45</v>
      </c>
      <c r="AG296" s="79">
        <v>70.37</v>
      </c>
    </row>
    <row r="297" spans="1:33" ht="27" customHeight="1" x14ac:dyDescent="0.25">
      <c r="AA297" s="281"/>
      <c r="AB297" s="249"/>
      <c r="AC297" s="77">
        <v>18</v>
      </c>
      <c r="AD297" s="78" t="s">
        <v>376</v>
      </c>
      <c r="AE297" s="80">
        <v>85.53</v>
      </c>
      <c r="AF297" s="80">
        <v>90.78</v>
      </c>
      <c r="AG297" s="79">
        <v>80.94</v>
      </c>
    </row>
    <row r="298" spans="1:33" ht="27" customHeight="1" x14ac:dyDescent="0.25">
      <c r="AA298" s="280" t="s">
        <v>15</v>
      </c>
      <c r="AB298" s="250" t="s">
        <v>377</v>
      </c>
      <c r="AC298" s="77">
        <v>19</v>
      </c>
      <c r="AD298" s="78" t="s">
        <v>378</v>
      </c>
      <c r="AE298" s="79">
        <v>83.52</v>
      </c>
      <c r="AF298" s="80">
        <v>87.23</v>
      </c>
      <c r="AG298" s="79">
        <v>76.94</v>
      </c>
    </row>
    <row r="299" spans="1:33" ht="27" customHeight="1" x14ac:dyDescent="0.25">
      <c r="AA299" s="281"/>
      <c r="AB299" s="249"/>
      <c r="AC299" s="77">
        <v>20</v>
      </c>
      <c r="AD299" s="78" t="s">
        <v>379</v>
      </c>
      <c r="AE299" s="79">
        <v>79.17</v>
      </c>
      <c r="AF299" s="79">
        <v>80.709999999999994</v>
      </c>
      <c r="AG299" s="79">
        <v>69.31</v>
      </c>
    </row>
    <row r="300" spans="1:33" ht="27" customHeight="1" x14ac:dyDescent="0.25">
      <c r="AA300" s="280" t="s">
        <v>16</v>
      </c>
      <c r="AB300" s="250" t="s">
        <v>380</v>
      </c>
      <c r="AC300" s="77">
        <v>21</v>
      </c>
      <c r="AD300" s="78" t="s">
        <v>381</v>
      </c>
      <c r="AE300" s="80">
        <v>91.17</v>
      </c>
      <c r="AF300" s="80">
        <v>97.93</v>
      </c>
      <c r="AG300" s="80">
        <v>89.53</v>
      </c>
    </row>
    <row r="301" spans="1:33" ht="27" customHeight="1" x14ac:dyDescent="0.25">
      <c r="AA301" s="287"/>
      <c r="AB301" s="251"/>
      <c r="AC301" s="77">
        <v>22</v>
      </c>
      <c r="AD301" s="78" t="s">
        <v>382</v>
      </c>
      <c r="AE301" s="79">
        <v>69.52</v>
      </c>
      <c r="AF301" s="80">
        <v>92.14</v>
      </c>
      <c r="AG301" s="79">
        <v>76.599999999999994</v>
      </c>
    </row>
    <row r="302" spans="1:33" ht="27" customHeight="1" x14ac:dyDescent="0.25">
      <c r="AA302" s="287"/>
      <c r="AB302" s="249"/>
      <c r="AC302" s="77">
        <v>23</v>
      </c>
      <c r="AD302" s="78" t="s">
        <v>383</v>
      </c>
      <c r="AE302" s="79">
        <v>80.98</v>
      </c>
      <c r="AF302" s="80">
        <v>97.87</v>
      </c>
      <c r="AG302" s="79">
        <v>80.63</v>
      </c>
    </row>
    <row r="303" spans="1:33" ht="27" customHeight="1" x14ac:dyDescent="0.25">
      <c r="AA303" s="287"/>
      <c r="AB303" s="250" t="s">
        <v>384</v>
      </c>
      <c r="AC303" s="77">
        <v>24</v>
      </c>
      <c r="AD303" s="78" t="s">
        <v>385</v>
      </c>
      <c r="AE303" s="79">
        <v>84.76</v>
      </c>
      <c r="AF303" s="80">
        <v>90.78</v>
      </c>
      <c r="AG303" s="79">
        <v>84.95</v>
      </c>
    </row>
    <row r="304" spans="1:33" ht="27" customHeight="1" x14ac:dyDescent="0.25">
      <c r="AA304" s="287"/>
      <c r="AB304" s="251"/>
      <c r="AC304" s="77">
        <v>25</v>
      </c>
      <c r="AD304" s="78" t="s">
        <v>386</v>
      </c>
      <c r="AE304" s="79">
        <v>75.88</v>
      </c>
      <c r="AF304" s="79">
        <v>78.010000000000005</v>
      </c>
      <c r="AG304" s="79">
        <v>70.97</v>
      </c>
    </row>
    <row r="305" spans="1:33" ht="27" customHeight="1" x14ac:dyDescent="0.25">
      <c r="AA305" s="287"/>
      <c r="AB305" s="251"/>
      <c r="AC305" s="77">
        <v>26</v>
      </c>
      <c r="AD305" s="78" t="s">
        <v>387</v>
      </c>
      <c r="AE305" s="79">
        <v>85.43</v>
      </c>
      <c r="AF305" s="80">
        <v>87.23</v>
      </c>
      <c r="AG305" s="79">
        <v>78.45</v>
      </c>
    </row>
    <row r="306" spans="1:33" ht="27" customHeight="1" thickBot="1" x14ac:dyDescent="0.3">
      <c r="AA306" s="288"/>
      <c r="AB306" s="252"/>
      <c r="AC306" s="77">
        <v>27</v>
      </c>
      <c r="AD306" s="78" t="s">
        <v>388</v>
      </c>
      <c r="AE306" s="79">
        <v>81.680000000000007</v>
      </c>
      <c r="AF306" s="80">
        <v>94.33</v>
      </c>
      <c r="AG306" s="79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12" t="s">
        <v>328</v>
      </c>
      <c r="AB320" s="212"/>
      <c r="AC320" s="143" t="s">
        <v>332</v>
      </c>
      <c r="AD320" s="143" t="s">
        <v>333</v>
      </c>
      <c r="AE320" s="143">
        <v>2016</v>
      </c>
      <c r="AF320" s="143">
        <v>2016</v>
      </c>
      <c r="AG320" s="143" t="s">
        <v>329</v>
      </c>
    </row>
    <row r="321" spans="27:33" ht="27" customHeight="1" x14ac:dyDescent="0.25">
      <c r="AA321" s="285" t="s">
        <v>17</v>
      </c>
      <c r="AB321" s="226" t="s">
        <v>390</v>
      </c>
      <c r="AC321" s="77">
        <v>28</v>
      </c>
      <c r="AD321" s="78" t="s">
        <v>391</v>
      </c>
      <c r="AE321" s="79">
        <v>63.94</v>
      </c>
      <c r="AF321" s="85">
        <v>41.84</v>
      </c>
      <c r="AG321" s="84">
        <v>51.79</v>
      </c>
    </row>
    <row r="322" spans="27:33" ht="27" customHeight="1" x14ac:dyDescent="0.25">
      <c r="AA322" s="278"/>
      <c r="AB322" s="227"/>
      <c r="AC322" s="77">
        <v>29</v>
      </c>
      <c r="AD322" s="78" t="s">
        <v>392</v>
      </c>
      <c r="AE322" s="84">
        <v>45.85</v>
      </c>
      <c r="AF322" s="85">
        <v>41.13</v>
      </c>
      <c r="AG322" s="84">
        <v>44.68</v>
      </c>
    </row>
    <row r="323" spans="27:33" ht="27" customHeight="1" x14ac:dyDescent="0.25">
      <c r="AA323" s="278"/>
      <c r="AB323" s="228" t="s">
        <v>393</v>
      </c>
      <c r="AC323" s="77">
        <v>30</v>
      </c>
      <c r="AD323" s="78" t="s">
        <v>394</v>
      </c>
      <c r="AE323" s="79">
        <v>72.17</v>
      </c>
      <c r="AF323" s="80">
        <v>87.59</v>
      </c>
      <c r="AG323" s="79">
        <v>65.959999999999994</v>
      </c>
    </row>
    <row r="324" spans="27:33" ht="27" customHeight="1" x14ac:dyDescent="0.25">
      <c r="AA324" s="286"/>
      <c r="AB324" s="227"/>
      <c r="AC324" s="77">
        <v>31</v>
      </c>
      <c r="AD324" s="78" t="s">
        <v>395</v>
      </c>
      <c r="AE324" s="80">
        <v>92.08</v>
      </c>
      <c r="AF324" s="80">
        <v>94.33</v>
      </c>
      <c r="AG324" s="80">
        <v>90.62</v>
      </c>
    </row>
    <row r="325" spans="27:33" ht="27" customHeight="1" x14ac:dyDescent="0.25">
      <c r="AA325" s="229" t="s">
        <v>18</v>
      </c>
      <c r="AB325" s="230"/>
      <c r="AC325" s="77">
        <v>32</v>
      </c>
      <c r="AD325" s="78" t="s">
        <v>396</v>
      </c>
      <c r="AE325" s="84">
        <v>58.81</v>
      </c>
      <c r="AF325" s="79">
        <v>70.510000000000005</v>
      </c>
      <c r="AG325" s="84">
        <v>59.33</v>
      </c>
    </row>
    <row r="326" spans="27:33" ht="27" customHeight="1" x14ac:dyDescent="0.25">
      <c r="AA326" s="229"/>
      <c r="AB326" s="230"/>
      <c r="AC326" s="77">
        <v>33</v>
      </c>
      <c r="AD326" s="78" t="s">
        <v>397</v>
      </c>
      <c r="AE326" s="79">
        <v>73.19</v>
      </c>
      <c r="AF326" s="79">
        <v>71.94</v>
      </c>
      <c r="AG326" s="79">
        <v>64.44</v>
      </c>
    </row>
    <row r="327" spans="27:33" ht="27" customHeight="1" x14ac:dyDescent="0.25">
      <c r="AA327" s="231"/>
      <c r="AB327" s="232"/>
      <c r="AC327" s="77">
        <v>34</v>
      </c>
      <c r="AD327" s="78" t="s">
        <v>398</v>
      </c>
      <c r="AE327" s="79">
        <v>71.930000000000007</v>
      </c>
      <c r="AF327" s="79">
        <v>74.099999999999994</v>
      </c>
      <c r="AG327" s="79">
        <v>68.69</v>
      </c>
    </row>
    <row r="328" spans="27:33" ht="27" customHeight="1" x14ac:dyDescent="0.25">
      <c r="AA328" s="277" t="s">
        <v>19</v>
      </c>
      <c r="AB328" s="233" t="s">
        <v>399</v>
      </c>
      <c r="AC328" s="77">
        <v>35</v>
      </c>
      <c r="AD328" s="78" t="s">
        <v>400</v>
      </c>
      <c r="AE328" s="79">
        <v>85.43</v>
      </c>
      <c r="AF328" s="80">
        <v>92.09</v>
      </c>
      <c r="AG328" s="80">
        <v>88.19</v>
      </c>
    </row>
    <row r="329" spans="27:33" ht="27" customHeight="1" x14ac:dyDescent="0.25">
      <c r="AA329" s="278"/>
      <c r="AB329" s="234"/>
      <c r="AC329" s="77">
        <v>36</v>
      </c>
      <c r="AD329" s="78" t="s">
        <v>401</v>
      </c>
      <c r="AE329" s="80">
        <v>96.52</v>
      </c>
      <c r="AF329" s="80">
        <v>97.87</v>
      </c>
      <c r="AG329" s="80">
        <v>94.83</v>
      </c>
    </row>
    <row r="330" spans="27:33" ht="27" customHeight="1" x14ac:dyDescent="0.25">
      <c r="AA330" s="278"/>
      <c r="AB330" s="234"/>
      <c r="AC330" s="77">
        <v>37</v>
      </c>
      <c r="AD330" s="78" t="s">
        <v>402</v>
      </c>
      <c r="AE330" s="80">
        <v>94.97</v>
      </c>
      <c r="AF330" s="80">
        <v>98.58</v>
      </c>
      <c r="AG330" s="80">
        <v>93.52</v>
      </c>
    </row>
    <row r="331" spans="27:33" ht="27" customHeight="1" x14ac:dyDescent="0.25">
      <c r="AA331" s="278"/>
      <c r="AB331" s="227"/>
      <c r="AC331" s="77">
        <v>38</v>
      </c>
      <c r="AD331" s="78" t="s">
        <v>403</v>
      </c>
      <c r="AE331" s="80">
        <v>93.83</v>
      </c>
      <c r="AF331" s="80">
        <v>95.74</v>
      </c>
      <c r="AG331" s="80">
        <v>92.24</v>
      </c>
    </row>
    <row r="332" spans="27:33" ht="27" customHeight="1" thickBot="1" x14ac:dyDescent="0.3">
      <c r="AA332" s="279"/>
      <c r="AB332" s="145" t="s">
        <v>404</v>
      </c>
      <c r="AC332" s="77">
        <v>39</v>
      </c>
      <c r="AD332" s="78" t="s">
        <v>442</v>
      </c>
      <c r="AE332" s="79">
        <v>84.65</v>
      </c>
      <c r="AF332" s="80">
        <v>90.78</v>
      </c>
      <c r="AG332" s="79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12" t="s">
        <v>328</v>
      </c>
      <c r="AB347" s="212"/>
      <c r="AC347" s="143" t="s">
        <v>332</v>
      </c>
      <c r="AD347" s="143" t="s">
        <v>333</v>
      </c>
      <c r="AE347" s="143">
        <v>2016</v>
      </c>
      <c r="AF347" s="143">
        <v>2016</v>
      </c>
      <c r="AG347" s="143" t="s">
        <v>329</v>
      </c>
    </row>
    <row r="348" spans="1:33" ht="27" customHeight="1" x14ac:dyDescent="0.25">
      <c r="AA348" s="235" t="s">
        <v>20</v>
      </c>
      <c r="AB348" s="236"/>
      <c r="AC348" s="77">
        <v>40</v>
      </c>
      <c r="AD348" s="78" t="s">
        <v>406</v>
      </c>
      <c r="AE348" s="79">
        <v>83.95</v>
      </c>
      <c r="AF348" s="80">
        <v>87.23</v>
      </c>
      <c r="AG348" s="79">
        <v>77.8</v>
      </c>
    </row>
    <row r="349" spans="1:33" ht="27" customHeight="1" x14ac:dyDescent="0.25">
      <c r="AA349" s="237"/>
      <c r="AB349" s="238"/>
      <c r="AC349" s="77">
        <v>41</v>
      </c>
      <c r="AD349" s="78" t="s">
        <v>407</v>
      </c>
      <c r="AE349" s="79">
        <v>77.3</v>
      </c>
      <c r="AF349" s="79">
        <v>80.14</v>
      </c>
      <c r="AG349" s="79">
        <v>74.849999999999994</v>
      </c>
    </row>
    <row r="350" spans="1:33" ht="27" customHeight="1" x14ac:dyDescent="0.25">
      <c r="AA350" s="239" t="s">
        <v>21</v>
      </c>
      <c r="AB350" s="240"/>
      <c r="AC350" s="77">
        <v>42</v>
      </c>
      <c r="AD350" s="78" t="s">
        <v>408</v>
      </c>
      <c r="AE350" s="80">
        <v>90.85</v>
      </c>
      <c r="AF350" s="80">
        <v>88.65</v>
      </c>
      <c r="AG350" s="80">
        <v>87.31</v>
      </c>
    </row>
    <row r="351" spans="1:33" ht="27" customHeight="1" x14ac:dyDescent="0.25">
      <c r="AA351" s="237"/>
      <c r="AB351" s="238"/>
      <c r="AC351" s="77">
        <v>43</v>
      </c>
      <c r="AD351" s="78" t="s">
        <v>409</v>
      </c>
      <c r="AE351" s="79">
        <v>77.12</v>
      </c>
      <c r="AF351" s="80">
        <v>93.79</v>
      </c>
      <c r="AG351" s="79">
        <v>72.97</v>
      </c>
    </row>
    <row r="352" spans="1:33" ht="27" customHeight="1" x14ac:dyDescent="0.25">
      <c r="AA352" s="239" t="s">
        <v>22</v>
      </c>
      <c r="AB352" s="240"/>
      <c r="AC352" s="77">
        <v>44</v>
      </c>
      <c r="AD352" s="78" t="s">
        <v>410</v>
      </c>
      <c r="AE352" s="80">
        <v>86.83</v>
      </c>
      <c r="AF352" s="79">
        <v>80.849999999999994</v>
      </c>
      <c r="AG352" s="79">
        <v>79.09</v>
      </c>
    </row>
    <row r="353" spans="27:33" ht="27" customHeight="1" x14ac:dyDescent="0.25">
      <c r="AA353" s="241"/>
      <c r="AB353" s="242"/>
      <c r="AC353" s="77">
        <v>45</v>
      </c>
      <c r="AD353" s="78" t="s">
        <v>411</v>
      </c>
      <c r="AE353" s="80">
        <v>89.37</v>
      </c>
      <c r="AF353" s="80">
        <v>94.33</v>
      </c>
      <c r="AG353" s="80">
        <v>85.6</v>
      </c>
    </row>
    <row r="354" spans="27:33" ht="27" customHeight="1" x14ac:dyDescent="0.25">
      <c r="AA354" s="241"/>
      <c r="AB354" s="242"/>
      <c r="AC354" s="77">
        <v>46</v>
      </c>
      <c r="AD354" s="78" t="s">
        <v>412</v>
      </c>
      <c r="AE354" s="79">
        <v>79.180000000000007</v>
      </c>
      <c r="AF354" s="80">
        <v>95</v>
      </c>
      <c r="AG354" s="79">
        <v>78.81</v>
      </c>
    </row>
    <row r="355" spans="27:33" ht="27" customHeight="1" thickBot="1" x14ac:dyDescent="0.3">
      <c r="AA355" s="243"/>
      <c r="AB355" s="244"/>
      <c r="AC355" s="77">
        <v>47</v>
      </c>
      <c r="AD355" s="78" t="s">
        <v>413</v>
      </c>
      <c r="AE355" s="79">
        <v>81.77</v>
      </c>
      <c r="AF355" s="80">
        <v>87.14</v>
      </c>
      <c r="AG355" s="79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12" t="s">
        <v>328</v>
      </c>
      <c r="AB373" s="212"/>
      <c r="AC373" s="143" t="s">
        <v>332</v>
      </c>
      <c r="AD373" s="143" t="s">
        <v>333</v>
      </c>
      <c r="AE373" s="143">
        <v>2016</v>
      </c>
      <c r="AF373" s="143">
        <v>2016</v>
      </c>
      <c r="AG373" s="143" t="s">
        <v>329</v>
      </c>
    </row>
    <row r="374" spans="1:33" ht="27" customHeight="1" x14ac:dyDescent="0.25">
      <c r="AA374" s="213" t="s">
        <v>23</v>
      </c>
      <c r="AB374" s="214"/>
      <c r="AC374" s="77">
        <v>48</v>
      </c>
      <c r="AD374" s="78" t="s">
        <v>415</v>
      </c>
      <c r="AE374" s="80">
        <v>89.81</v>
      </c>
      <c r="AF374" s="80">
        <v>91.49</v>
      </c>
      <c r="AG374" s="80">
        <v>87.45</v>
      </c>
    </row>
    <row r="375" spans="1:33" ht="27" customHeight="1" x14ac:dyDescent="0.25">
      <c r="AA375" s="215"/>
      <c r="AB375" s="216"/>
      <c r="AC375" s="77">
        <v>49</v>
      </c>
      <c r="AD375" s="78" t="s">
        <v>416</v>
      </c>
      <c r="AE375" s="80">
        <v>88.17</v>
      </c>
      <c r="AF375" s="80">
        <v>90.07</v>
      </c>
      <c r="AG375" s="79">
        <v>85.47</v>
      </c>
    </row>
    <row r="376" spans="1:33" ht="27" customHeight="1" x14ac:dyDescent="0.25">
      <c r="AA376" s="217"/>
      <c r="AB376" s="218"/>
      <c r="AC376" s="77">
        <v>50</v>
      </c>
      <c r="AD376" s="78" t="s">
        <v>417</v>
      </c>
      <c r="AE376" s="79">
        <v>83.84</v>
      </c>
      <c r="AF376" s="80">
        <v>95.04</v>
      </c>
      <c r="AG376" s="79">
        <v>81.22</v>
      </c>
    </row>
    <row r="377" spans="1:33" ht="27" customHeight="1" x14ac:dyDescent="0.25">
      <c r="AA377" s="271" t="s">
        <v>24</v>
      </c>
      <c r="AB377" s="219" t="s">
        <v>418</v>
      </c>
      <c r="AC377" s="77">
        <v>51</v>
      </c>
      <c r="AD377" s="78" t="s">
        <v>419</v>
      </c>
      <c r="AE377" s="80">
        <v>90.49</v>
      </c>
      <c r="AF377" s="80">
        <v>97.24</v>
      </c>
      <c r="AG377" s="80">
        <v>89.51</v>
      </c>
    </row>
    <row r="378" spans="1:33" ht="27" customHeight="1" x14ac:dyDescent="0.25">
      <c r="AA378" s="272"/>
      <c r="AB378" s="220"/>
      <c r="AC378" s="77">
        <v>52</v>
      </c>
      <c r="AD378" s="78" t="s">
        <v>420</v>
      </c>
      <c r="AE378" s="79">
        <v>84.02</v>
      </c>
      <c r="AF378" s="80">
        <v>92.2</v>
      </c>
      <c r="AG378" s="79">
        <v>82.63</v>
      </c>
    </row>
    <row r="379" spans="1:33" ht="27" customHeight="1" x14ac:dyDescent="0.25">
      <c r="AA379" s="272"/>
      <c r="AB379" s="221" t="s">
        <v>421</v>
      </c>
      <c r="AC379" s="77">
        <v>53</v>
      </c>
      <c r="AD379" s="78" t="s">
        <v>422</v>
      </c>
      <c r="AE379" s="80">
        <v>93.54</v>
      </c>
      <c r="AF379" s="80">
        <v>95.74</v>
      </c>
      <c r="AG379" s="80">
        <v>91.37</v>
      </c>
    </row>
    <row r="380" spans="1:33" ht="27" customHeight="1" x14ac:dyDescent="0.25">
      <c r="AA380" s="273"/>
      <c r="AB380" s="220"/>
      <c r="AC380" s="77">
        <v>54</v>
      </c>
      <c r="AD380" s="78" t="s">
        <v>423</v>
      </c>
      <c r="AE380" s="79">
        <v>85.06</v>
      </c>
      <c r="AF380" s="80">
        <v>90</v>
      </c>
      <c r="AG380" s="79">
        <v>82.91</v>
      </c>
    </row>
    <row r="381" spans="1:33" ht="27" customHeight="1" x14ac:dyDescent="0.25">
      <c r="AA381" s="215" t="s">
        <v>25</v>
      </c>
      <c r="AB381" s="216"/>
      <c r="AC381" s="77">
        <v>55</v>
      </c>
      <c r="AD381" s="78" t="s">
        <v>424</v>
      </c>
      <c r="AE381" s="79">
        <v>81.8</v>
      </c>
      <c r="AF381" s="80">
        <v>90.07</v>
      </c>
      <c r="AG381" s="79">
        <v>77.45</v>
      </c>
    </row>
    <row r="382" spans="1:33" ht="27" customHeight="1" x14ac:dyDescent="0.25">
      <c r="AA382" s="215"/>
      <c r="AB382" s="216"/>
      <c r="AC382" s="77">
        <v>56</v>
      </c>
      <c r="AD382" s="78" t="s">
        <v>425</v>
      </c>
      <c r="AE382" s="79">
        <v>81.81</v>
      </c>
      <c r="AF382" s="80">
        <v>88.65</v>
      </c>
      <c r="AG382" s="79">
        <v>75.42</v>
      </c>
    </row>
    <row r="383" spans="1:33" ht="27" customHeight="1" x14ac:dyDescent="0.25">
      <c r="AA383" s="217"/>
      <c r="AB383" s="218"/>
      <c r="AC383" s="77">
        <v>57</v>
      </c>
      <c r="AD383" s="78" t="s">
        <v>426</v>
      </c>
      <c r="AE383" s="79">
        <v>83.31</v>
      </c>
      <c r="AF383" s="80">
        <v>95.17</v>
      </c>
      <c r="AG383" s="79">
        <v>81.459999999999994</v>
      </c>
    </row>
    <row r="400" spans="1:26" ht="39" customHeight="1" thickBot="1" x14ac:dyDescent="0.3">
      <c r="A400" t="s">
        <v>92</v>
      </c>
      <c r="R400" s="332" t="s">
        <v>130</v>
      </c>
      <c r="S400" s="332"/>
      <c r="T400" s="146" t="s">
        <v>328</v>
      </c>
      <c r="U400" s="96">
        <v>2016</v>
      </c>
      <c r="V400" s="96">
        <v>2016</v>
      </c>
      <c r="W400" s="96" t="s">
        <v>329</v>
      </c>
      <c r="X400" s="96" t="s">
        <v>330</v>
      </c>
      <c r="Y400" s="96" t="s">
        <v>331</v>
      </c>
      <c r="Z400" s="168"/>
    </row>
    <row r="401" spans="1:26" ht="24.95" customHeight="1" x14ac:dyDescent="0.25">
      <c r="A401" t="s">
        <v>75</v>
      </c>
      <c r="R401" s="336" t="s">
        <v>33</v>
      </c>
      <c r="S401" s="333">
        <v>86</v>
      </c>
      <c r="T401" s="110" t="s">
        <v>11</v>
      </c>
      <c r="U401" s="101">
        <v>86.53</v>
      </c>
      <c r="V401" s="101">
        <v>84.8</v>
      </c>
      <c r="W401" s="101">
        <v>77.650000000000006</v>
      </c>
      <c r="X401" s="101">
        <v>1.73</v>
      </c>
      <c r="Y401" s="101">
        <v>8.8800000000000008</v>
      </c>
      <c r="Z401" s="169"/>
    </row>
    <row r="402" spans="1:26" ht="24.95" customHeight="1" x14ac:dyDescent="0.25">
      <c r="R402" s="337"/>
      <c r="S402" s="334"/>
      <c r="T402" s="111" t="s">
        <v>12</v>
      </c>
      <c r="U402" s="102">
        <v>85.75</v>
      </c>
      <c r="V402" s="102">
        <v>87.99</v>
      </c>
      <c r="W402" s="102">
        <v>79.209999999999994</v>
      </c>
      <c r="X402" s="102">
        <v>-2.2400000000000002</v>
      </c>
      <c r="Y402" s="102">
        <v>6.54</v>
      </c>
      <c r="Z402" s="169"/>
    </row>
    <row r="403" spans="1:26" ht="24.95" customHeight="1" thickBot="1" x14ac:dyDescent="0.3">
      <c r="R403" s="338"/>
      <c r="S403" s="335"/>
      <c r="T403" s="112" t="s">
        <v>13</v>
      </c>
      <c r="U403" s="109">
        <v>85.61</v>
      </c>
      <c r="V403" s="109">
        <v>90.77</v>
      </c>
      <c r="W403" s="109">
        <v>79.099999999999994</v>
      </c>
      <c r="X403" s="109">
        <v>-5.16</v>
      </c>
      <c r="Y403" s="109">
        <v>6.51</v>
      </c>
      <c r="Z403" s="169"/>
    </row>
    <row r="404" spans="1:26" ht="24.95" customHeight="1" x14ac:dyDescent="0.25">
      <c r="R404" s="342" t="s">
        <v>37</v>
      </c>
      <c r="S404" s="339">
        <v>82</v>
      </c>
      <c r="T404" s="104" t="s">
        <v>14</v>
      </c>
      <c r="U404" s="97">
        <v>82.03</v>
      </c>
      <c r="V404" s="97">
        <v>90.97</v>
      </c>
      <c r="W404" s="97">
        <v>76.66</v>
      </c>
      <c r="X404" s="97">
        <v>-8.94</v>
      </c>
      <c r="Y404" s="97">
        <v>5.37</v>
      </c>
      <c r="Z404" s="169"/>
    </row>
    <row r="405" spans="1:26" ht="24.95" customHeight="1" x14ac:dyDescent="0.25">
      <c r="R405" s="343"/>
      <c r="S405" s="340"/>
      <c r="T405" s="105" t="s">
        <v>15</v>
      </c>
      <c r="U405" s="98">
        <v>81.34</v>
      </c>
      <c r="V405" s="98">
        <v>83.97</v>
      </c>
      <c r="W405" s="98">
        <v>73.13</v>
      </c>
      <c r="X405" s="98">
        <v>-2.63</v>
      </c>
      <c r="Y405" s="98">
        <v>8.2100000000000009</v>
      </c>
      <c r="Z405" s="169"/>
    </row>
    <row r="406" spans="1:26" ht="24.95" customHeight="1" thickBot="1" x14ac:dyDescent="0.3">
      <c r="R406" s="344"/>
      <c r="S406" s="341"/>
      <c r="T406" s="106" t="s">
        <v>16</v>
      </c>
      <c r="U406" s="99">
        <v>81.349999999999994</v>
      </c>
      <c r="V406" s="99">
        <v>91.19</v>
      </c>
      <c r="W406" s="99">
        <v>79.02</v>
      </c>
      <c r="X406" s="99">
        <v>-9.84</v>
      </c>
      <c r="Y406" s="99">
        <v>2.33</v>
      </c>
      <c r="Z406" s="169"/>
    </row>
    <row r="407" spans="1:26" ht="24.95" customHeight="1" x14ac:dyDescent="0.25">
      <c r="R407" s="348" t="s">
        <v>41</v>
      </c>
      <c r="S407" s="345">
        <v>78</v>
      </c>
      <c r="T407" s="117" t="s">
        <v>17</v>
      </c>
      <c r="U407" s="101">
        <v>68.510000000000005</v>
      </c>
      <c r="V407" s="101">
        <v>66.22</v>
      </c>
      <c r="W407" s="101">
        <v>63.26</v>
      </c>
      <c r="X407" s="101">
        <v>2.29</v>
      </c>
      <c r="Y407" s="101">
        <v>5.25</v>
      </c>
      <c r="Z407" s="169"/>
    </row>
    <row r="408" spans="1:26" ht="24.95" customHeight="1" x14ac:dyDescent="0.25">
      <c r="R408" s="349"/>
      <c r="S408" s="346"/>
      <c r="T408" s="118" t="s">
        <v>18</v>
      </c>
      <c r="U408" s="103">
        <v>67.98</v>
      </c>
      <c r="V408" s="103">
        <v>72.180000000000007</v>
      </c>
      <c r="W408" s="103">
        <v>64.150000000000006</v>
      </c>
      <c r="X408" s="103">
        <v>-4.2</v>
      </c>
      <c r="Y408" s="103">
        <v>3.83</v>
      </c>
      <c r="Z408" s="169"/>
    </row>
    <row r="409" spans="1:26" ht="24.95" customHeight="1" thickBot="1" x14ac:dyDescent="0.3">
      <c r="R409" s="350"/>
      <c r="S409" s="347"/>
      <c r="T409" s="119" t="s">
        <v>19</v>
      </c>
      <c r="U409" s="113">
        <v>91.08</v>
      </c>
      <c r="V409" s="113">
        <v>95.01</v>
      </c>
      <c r="W409" s="113">
        <v>90.14</v>
      </c>
      <c r="X409" s="113">
        <v>-3.93</v>
      </c>
      <c r="Y409" s="113">
        <v>0.94</v>
      </c>
      <c r="Z409" s="169"/>
    </row>
    <row r="410" spans="1:26" ht="24.95" customHeight="1" x14ac:dyDescent="0.25">
      <c r="R410" s="323" t="s">
        <v>45</v>
      </c>
      <c r="S410" s="320">
        <v>83</v>
      </c>
      <c r="T410" s="107" t="s">
        <v>20</v>
      </c>
      <c r="U410" s="97">
        <v>80.63</v>
      </c>
      <c r="V410" s="97">
        <v>83.69</v>
      </c>
      <c r="W410" s="97">
        <v>76.319999999999993</v>
      </c>
      <c r="X410" s="97">
        <v>-3.06</v>
      </c>
      <c r="Y410" s="97">
        <v>4.3099999999999996</v>
      </c>
      <c r="Z410" s="169"/>
    </row>
    <row r="411" spans="1:26" ht="24.95" customHeight="1" x14ac:dyDescent="0.25">
      <c r="R411" s="324"/>
      <c r="S411" s="321"/>
      <c r="T411" s="108" t="s">
        <v>21</v>
      </c>
      <c r="U411" s="100">
        <v>83.99</v>
      </c>
      <c r="V411" s="100">
        <v>91.22</v>
      </c>
      <c r="W411" s="100">
        <v>80.14</v>
      </c>
      <c r="X411" s="100">
        <v>-7.23</v>
      </c>
      <c r="Y411" s="100">
        <v>3.85</v>
      </c>
      <c r="Z411" s="169"/>
    </row>
    <row r="412" spans="1:26" ht="24.95" customHeight="1" thickBot="1" x14ac:dyDescent="0.3">
      <c r="R412" s="325"/>
      <c r="S412" s="322"/>
      <c r="T412" s="108" t="s">
        <v>22</v>
      </c>
      <c r="U412" s="100">
        <v>84.29</v>
      </c>
      <c r="V412" s="100">
        <v>89.33</v>
      </c>
      <c r="W412" s="100">
        <v>80.72</v>
      </c>
      <c r="X412" s="100">
        <v>-5.04</v>
      </c>
      <c r="Y412" s="100">
        <v>3.57</v>
      </c>
      <c r="Z412" s="169"/>
    </row>
    <row r="413" spans="1:26" ht="24.95" customHeight="1" x14ac:dyDescent="0.25">
      <c r="R413" s="329" t="s">
        <v>138</v>
      </c>
      <c r="S413" s="326">
        <v>86</v>
      </c>
      <c r="T413" s="120" t="s">
        <v>23</v>
      </c>
      <c r="U413" s="114">
        <v>87.27</v>
      </c>
      <c r="V413" s="114">
        <v>92.2</v>
      </c>
      <c r="W413" s="114">
        <v>84.71</v>
      </c>
      <c r="X413" s="114">
        <v>-4.93</v>
      </c>
      <c r="Y413" s="114">
        <v>2.56</v>
      </c>
      <c r="Z413" s="169"/>
    </row>
    <row r="414" spans="1:26" ht="24.95" customHeight="1" x14ac:dyDescent="0.25">
      <c r="R414" s="330"/>
      <c r="S414" s="327"/>
      <c r="T414" s="121" t="s">
        <v>24</v>
      </c>
      <c r="U414" s="115">
        <v>88.28</v>
      </c>
      <c r="V414" s="115">
        <v>93.8</v>
      </c>
      <c r="W414" s="115">
        <v>86.6</v>
      </c>
      <c r="X414" s="115">
        <v>-5.52</v>
      </c>
      <c r="Y414" s="115">
        <v>1.68</v>
      </c>
      <c r="Z414" s="169"/>
    </row>
    <row r="415" spans="1:26" ht="24.95" customHeight="1" thickBot="1" x14ac:dyDescent="0.3">
      <c r="R415" s="331"/>
      <c r="S415" s="328"/>
      <c r="T415" s="122" t="s">
        <v>25</v>
      </c>
      <c r="U415" s="116">
        <v>82.3</v>
      </c>
      <c r="V415" s="116">
        <v>91.3</v>
      </c>
      <c r="W415" s="116">
        <v>78.11</v>
      </c>
      <c r="X415" s="116">
        <v>-9</v>
      </c>
      <c r="Y415" s="116">
        <v>4.1900000000000004</v>
      </c>
      <c r="Z415" s="169"/>
    </row>
    <row r="468" spans="1:48" ht="24.75" customHeight="1" x14ac:dyDescent="0.25">
      <c r="A468" t="s">
        <v>71</v>
      </c>
      <c r="AP468" s="211" t="s">
        <v>130</v>
      </c>
      <c r="AQ468" s="211"/>
      <c r="AR468" s="150" t="s">
        <v>328</v>
      </c>
      <c r="AS468" s="150" t="s">
        <v>332</v>
      </c>
      <c r="AT468" s="150" t="s">
        <v>333</v>
      </c>
      <c r="AU468" s="150">
        <v>2016</v>
      </c>
      <c r="AV468" s="150" t="s">
        <v>428</v>
      </c>
    </row>
    <row r="469" spans="1:48" ht="24.75" customHeight="1" x14ac:dyDescent="0.25">
      <c r="AP469" s="202" t="s">
        <v>131</v>
      </c>
      <c r="AQ469" s="202"/>
      <c r="AR469" s="152" t="s">
        <v>399</v>
      </c>
      <c r="AS469" s="153">
        <v>36</v>
      </c>
      <c r="AT469" s="153" t="s">
        <v>401</v>
      </c>
      <c r="AU469" s="154">
        <v>96.52</v>
      </c>
      <c r="AV469" s="154">
        <v>13.61</v>
      </c>
    </row>
    <row r="470" spans="1:48" ht="24.75" customHeight="1" x14ac:dyDescent="0.25">
      <c r="AP470" s="202" t="s">
        <v>131</v>
      </c>
      <c r="AQ470" s="202"/>
      <c r="AR470" s="152" t="s">
        <v>399</v>
      </c>
      <c r="AS470" s="153">
        <v>37</v>
      </c>
      <c r="AT470" s="153" t="s">
        <v>402</v>
      </c>
      <c r="AU470" s="154">
        <v>94.97</v>
      </c>
      <c r="AV470" s="154">
        <v>12.06</v>
      </c>
    </row>
    <row r="471" spans="1:48" ht="24.75" customHeight="1" x14ac:dyDescent="0.25">
      <c r="AP471" s="259" t="s">
        <v>131</v>
      </c>
      <c r="AQ471" s="259"/>
      <c r="AR471" s="152" t="s">
        <v>399</v>
      </c>
      <c r="AS471" s="153">
        <v>38</v>
      </c>
      <c r="AT471" s="153" t="s">
        <v>403</v>
      </c>
      <c r="AU471" s="154">
        <v>93.83</v>
      </c>
      <c r="AV471" s="154">
        <v>10.92</v>
      </c>
    </row>
    <row r="472" spans="1:48" ht="24.75" customHeight="1" x14ac:dyDescent="0.25">
      <c r="AP472" s="260" t="s">
        <v>429</v>
      </c>
      <c r="AQ472" s="260"/>
      <c r="AR472" s="155" t="s">
        <v>421</v>
      </c>
      <c r="AS472" s="156">
        <v>53</v>
      </c>
      <c r="AT472" s="156" t="s">
        <v>422</v>
      </c>
      <c r="AU472" s="157">
        <v>93.54</v>
      </c>
      <c r="AV472" s="157">
        <v>10.63</v>
      </c>
    </row>
    <row r="473" spans="1:48" ht="24.75" customHeight="1" x14ac:dyDescent="0.25">
      <c r="AP473" s="261" t="s">
        <v>132</v>
      </c>
      <c r="AQ473" s="261"/>
      <c r="AR473" s="158" t="s">
        <v>368</v>
      </c>
      <c r="AS473" s="159">
        <v>14</v>
      </c>
      <c r="AT473" s="159" t="s">
        <v>369</v>
      </c>
      <c r="AU473" s="160">
        <v>92.33</v>
      </c>
      <c r="AV473" s="160">
        <v>9.42</v>
      </c>
    </row>
    <row r="474" spans="1:48" ht="24.75" customHeight="1" x14ac:dyDescent="0.25">
      <c r="AP474" s="203" t="s">
        <v>131</v>
      </c>
      <c r="AQ474" s="203"/>
      <c r="AR474" s="152" t="s">
        <v>393</v>
      </c>
      <c r="AS474" s="153">
        <v>31</v>
      </c>
      <c r="AT474" s="153" t="s">
        <v>395</v>
      </c>
      <c r="AU474" s="154">
        <v>92.08</v>
      </c>
      <c r="AV474" s="154">
        <v>9.17</v>
      </c>
    </row>
    <row r="475" spans="1:48" ht="24.75" customHeight="1" x14ac:dyDescent="0.25">
      <c r="AP475" s="207" t="s">
        <v>133</v>
      </c>
      <c r="AQ475" s="207"/>
      <c r="AR475" s="161" t="s">
        <v>380</v>
      </c>
      <c r="AS475" s="162">
        <v>21</v>
      </c>
      <c r="AT475" s="162" t="s">
        <v>381</v>
      </c>
      <c r="AU475" s="163">
        <v>91.17</v>
      </c>
      <c r="AV475" s="163">
        <v>8.26</v>
      </c>
    </row>
    <row r="476" spans="1:48" ht="24.75" customHeight="1" x14ac:dyDescent="0.25">
      <c r="AP476" s="208" t="s">
        <v>142</v>
      </c>
      <c r="AQ476" s="208"/>
      <c r="AR476" s="164" t="s">
        <v>21</v>
      </c>
      <c r="AS476" s="165">
        <v>42</v>
      </c>
      <c r="AT476" s="165" t="s">
        <v>408</v>
      </c>
      <c r="AU476" s="166">
        <v>90.85</v>
      </c>
      <c r="AV476" s="166">
        <v>7.94</v>
      </c>
    </row>
    <row r="477" spans="1:48" ht="24.75" customHeight="1" x14ac:dyDescent="0.25">
      <c r="AP477" s="209" t="s">
        <v>429</v>
      </c>
      <c r="AQ477" s="209"/>
      <c r="AR477" s="155" t="s">
        <v>418</v>
      </c>
      <c r="AS477" s="156">
        <v>51</v>
      </c>
      <c r="AT477" s="156" t="s">
        <v>419</v>
      </c>
      <c r="AU477" s="157">
        <v>90.49</v>
      </c>
      <c r="AV477" s="157">
        <v>7.57</v>
      </c>
    </row>
    <row r="478" spans="1:48" ht="24.75" customHeight="1" x14ac:dyDescent="0.25">
      <c r="AP478" s="210" t="s">
        <v>429</v>
      </c>
      <c r="AQ478" s="210"/>
      <c r="AR478" s="155" t="s">
        <v>23</v>
      </c>
      <c r="AS478" s="156">
        <v>48</v>
      </c>
      <c r="AT478" s="156" t="s">
        <v>415</v>
      </c>
      <c r="AU478" s="157">
        <v>89.81</v>
      </c>
      <c r="AV478" s="157">
        <v>6.9</v>
      </c>
    </row>
    <row r="495" spans="1:48" ht="24.75" customHeight="1" x14ac:dyDescent="0.25">
      <c r="A495" t="s">
        <v>72</v>
      </c>
      <c r="AP495" s="211" t="s">
        <v>130</v>
      </c>
      <c r="AQ495" s="211"/>
      <c r="AR495" s="150" t="s">
        <v>328</v>
      </c>
      <c r="AS495" s="150" t="s">
        <v>332</v>
      </c>
      <c r="AT495" s="150" t="s">
        <v>333</v>
      </c>
      <c r="AU495" s="150">
        <v>2016</v>
      </c>
      <c r="AV495" s="150" t="s">
        <v>428</v>
      </c>
    </row>
    <row r="496" spans="1:48" ht="24.75" customHeight="1" x14ac:dyDescent="0.25">
      <c r="AP496" s="202" t="s">
        <v>131</v>
      </c>
      <c r="AQ496" s="202"/>
      <c r="AR496" s="152" t="s">
        <v>390</v>
      </c>
      <c r="AS496" s="153">
        <v>29</v>
      </c>
      <c r="AT496" s="153" t="s">
        <v>392</v>
      </c>
      <c r="AU496" s="154">
        <v>45.85</v>
      </c>
      <c r="AV496" s="154">
        <v>-37.06</v>
      </c>
    </row>
    <row r="497" spans="42:48" ht="24.75" customHeight="1" x14ac:dyDescent="0.25">
      <c r="AP497" s="202" t="s">
        <v>131</v>
      </c>
      <c r="AQ497" s="202"/>
      <c r="AR497" s="152" t="s">
        <v>18</v>
      </c>
      <c r="AS497" s="153">
        <v>32</v>
      </c>
      <c r="AT497" s="153" t="s">
        <v>396</v>
      </c>
      <c r="AU497" s="154">
        <v>58.81</v>
      </c>
      <c r="AV497" s="154">
        <v>-24.11</v>
      </c>
    </row>
    <row r="498" spans="42:48" ht="24.75" customHeight="1" x14ac:dyDescent="0.25">
      <c r="AP498" s="203" t="s">
        <v>131</v>
      </c>
      <c r="AQ498" s="203"/>
      <c r="AR498" s="152" t="s">
        <v>390</v>
      </c>
      <c r="AS498" s="153">
        <v>28</v>
      </c>
      <c r="AT498" s="153" t="s">
        <v>391</v>
      </c>
      <c r="AU498" s="154">
        <v>63.94</v>
      </c>
      <c r="AV498" s="154">
        <v>-18.97</v>
      </c>
    </row>
    <row r="499" spans="42:48" ht="24.75" customHeight="1" x14ac:dyDescent="0.25">
      <c r="AP499" s="201" t="s">
        <v>133</v>
      </c>
      <c r="AQ499" s="201"/>
      <c r="AR499" s="161" t="s">
        <v>380</v>
      </c>
      <c r="AS499" s="162">
        <v>22</v>
      </c>
      <c r="AT499" s="162" t="s">
        <v>382</v>
      </c>
      <c r="AU499" s="163">
        <v>69.52</v>
      </c>
      <c r="AV499" s="163">
        <v>-13.39</v>
      </c>
    </row>
    <row r="500" spans="42:48" ht="24.75" customHeight="1" x14ac:dyDescent="0.25">
      <c r="AP500" s="202" t="s">
        <v>131</v>
      </c>
      <c r="AQ500" s="202"/>
      <c r="AR500" s="152" t="s">
        <v>18</v>
      </c>
      <c r="AS500" s="153">
        <v>34</v>
      </c>
      <c r="AT500" s="153" t="s">
        <v>398</v>
      </c>
      <c r="AU500" s="154">
        <v>71.930000000000007</v>
      </c>
      <c r="AV500" s="154">
        <v>-10.99</v>
      </c>
    </row>
    <row r="501" spans="42:48" ht="24.75" customHeight="1" x14ac:dyDescent="0.25">
      <c r="AP501" s="202" t="s">
        <v>131</v>
      </c>
      <c r="AQ501" s="202"/>
      <c r="AR501" s="152" t="s">
        <v>393</v>
      </c>
      <c r="AS501" s="153">
        <v>30</v>
      </c>
      <c r="AT501" s="153" t="s">
        <v>394</v>
      </c>
      <c r="AU501" s="154">
        <v>72.17</v>
      </c>
      <c r="AV501" s="154">
        <v>-10.74</v>
      </c>
    </row>
    <row r="502" spans="42:48" ht="24.75" customHeight="1" x14ac:dyDescent="0.25">
      <c r="AP502" s="203" t="s">
        <v>131</v>
      </c>
      <c r="AQ502" s="203"/>
      <c r="AR502" s="152" t="s">
        <v>18</v>
      </c>
      <c r="AS502" s="153">
        <v>33</v>
      </c>
      <c r="AT502" s="153" t="s">
        <v>397</v>
      </c>
      <c r="AU502" s="154">
        <v>73.19</v>
      </c>
      <c r="AV502" s="154">
        <v>-9.7200000000000006</v>
      </c>
    </row>
    <row r="503" spans="42:48" ht="24.75" customHeight="1" x14ac:dyDescent="0.25">
      <c r="AP503" s="204" t="s">
        <v>133</v>
      </c>
      <c r="AQ503" s="204"/>
      <c r="AR503" s="161" t="s">
        <v>384</v>
      </c>
      <c r="AS503" s="162">
        <v>25</v>
      </c>
      <c r="AT503" s="162" t="s">
        <v>386</v>
      </c>
      <c r="AU503" s="163">
        <v>75.88</v>
      </c>
      <c r="AV503" s="163">
        <v>-7.03</v>
      </c>
    </row>
    <row r="504" spans="42:48" ht="24.75" customHeight="1" x14ac:dyDescent="0.25">
      <c r="AP504" s="205" t="s">
        <v>132</v>
      </c>
      <c r="AQ504" s="205"/>
      <c r="AR504" s="158" t="s">
        <v>353</v>
      </c>
      <c r="AS504" s="159">
        <v>7</v>
      </c>
      <c r="AT504" s="159" t="s">
        <v>358</v>
      </c>
      <c r="AU504" s="160">
        <v>76.25</v>
      </c>
      <c r="AV504" s="160">
        <v>-6.66</v>
      </c>
    </row>
    <row r="505" spans="42:48" ht="24.75" customHeight="1" x14ac:dyDescent="0.25">
      <c r="AP505" s="206" t="s">
        <v>142</v>
      </c>
      <c r="AQ505" s="206"/>
      <c r="AR505" s="164" t="s">
        <v>21</v>
      </c>
      <c r="AS505" s="165">
        <v>43</v>
      </c>
      <c r="AT505" s="165" t="s">
        <v>409</v>
      </c>
      <c r="AU505" s="166">
        <v>77.12</v>
      </c>
      <c r="AV505" s="166">
        <v>-5.79</v>
      </c>
    </row>
  </sheetData>
  <mergeCells count="68">
    <mergeCell ref="AP500:AQ500"/>
    <mergeCell ref="AP501:AQ501"/>
    <mergeCell ref="AP502:AQ502"/>
    <mergeCell ref="AP503:AQ503"/>
    <mergeCell ref="AP504:AQ504"/>
    <mergeCell ref="AP505:AQ505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78:AA281"/>
    <mergeCell ref="AB278:AB280"/>
    <mergeCell ref="AA293:AB293"/>
    <mergeCell ref="AA294:AA297"/>
    <mergeCell ref="AB294:AB295"/>
    <mergeCell ref="AB296:AB297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2017-08-09T12:20:43Z</dcterms:modified>
</cp:coreProperties>
</file>