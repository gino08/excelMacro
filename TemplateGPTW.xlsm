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3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Demografias" sheetId="1039" r:id="rId5"/>
    <sheet name="Graficos Demografias" sheetId="1051" r:id="rId6"/>
    <sheet name="Graficos Indicadores" sheetId="1122" r:id="rId7"/>
  </sheets>
  <functionGroups builtInGroupCount="18"/>
  <definedNames>
    <definedName name="Camaraderia">#REF!</definedName>
    <definedName name="Confianza1">'Graficos Indicadores'!$A$468:$G$477</definedName>
    <definedName name="Confianza2">'Graficos Indicadores'!$A$495:$G$504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'Graficos Demografias'!$B$315:$G$319</definedName>
    <definedName name="GrafDemo_Bis6_datos">'Graficos Demografias'!$B$375:$H$379</definedName>
    <definedName name="GrafDemo_Bis7_datos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'Graficos Indicadores'!$D$442:$G$448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<sst xmlns="http://schemas.openxmlformats.org/spreadsheetml/2006/main" count="1268" uniqueCount="450">
  <si>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</si>
  <si>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</si>
  <si>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</si>
  <si>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</si>
  <si>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</si>
  <si>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</si>
  <si>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</si>
  <si>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</si>
  <si>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</si>
  <si>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</si>
  <si>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</si>
  <si>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</si>
  <si>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</si>
  <si>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</si>
  <si>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</si>
  <si>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</si>
  <si>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</si>
  <si>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</si>
  <si>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</si>
  <si>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</si>
  <si>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</si>
  <si>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</si>
  <si>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</si>
  <si>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</si>
  <si>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</si>
  <si>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</si>
  <si>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</si>
  <si>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</si>
  <si>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</si>
  <si>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</si>
  <si>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</si>
  <si>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</si>
  <si>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</si>
  <si>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</si>
  <si>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</si>
  <si>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</si>
  <si>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</si>
  <si>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</si>
  <si>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</si>
  <si>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</si>
  <si>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</si>
  <si>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</si>
  <si>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</si>
  <si>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</si>
  <si>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</si>
  <si>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</si>
  <si>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</si>
  <si>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</si>
  <si>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</si>
  <si>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</si>
  <si>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</si>
  <si>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</si>
  <si>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</si>
  <si>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</si>
  <si>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</si>
  <si>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</si>
  <si>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</si>
  <si>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</si>
  <si>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</si>
  <si>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</si>
  <si>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</si>
  <si>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</si>
  <si>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</si>
  <si>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</si>
  <si>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</si>
  <si>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</si>
  <si>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</si>
  <si>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</si>
  <si>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</si>
  <si>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</si>
  <si>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</si>
  <si>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</si>
  <si>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</si>
  <si>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</si>
  <si>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</si>
  <si>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</si>
  <si>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</si>
  <si>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</si>
  <si>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</si>
  <si>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</si>
  <si>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</si>
  <si>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</si>
  <si>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</si>
  <si>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</si>
  <si>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</si>
  <si>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</si>
  <si>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</si>
  <si>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</si>
  <si>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</si>
  <si>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</si>
  <si>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</si>
  <si>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</si>
  <si>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</si>
  <si>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</si>
  <si>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</si>
  <si>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</si>
  <si>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</si>
  <si>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</si>
  <si>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</si>
  <si>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</si>
  <si>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</si>
  <si>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</si>
  <si>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</si>
  <si>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</si>
  <si>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</si>
  <si>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</si>
  <si>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</si>
  <si>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</si>
  <si>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</si>
  <si>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</si>
  <si>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</si>
  <si>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</si>
  <si>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</si>
  <si>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</si>
  <si>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</si>
  <si>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</si>
  <si>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</si>
  <si>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</si>
  <si>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</si>
  <si>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</si>
  <si>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</si>
  <si>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</si>
  <si>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</si>
  <si>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</si>
  <si>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</si>
  <si>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</si>
  <si>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</si>
  <si>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</si>
  <si>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</si>
  <si>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</si>
  <si>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</si>
  <si>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</si>
  <si>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</si>
  <si>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</si>
  <si>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</si>
  <si>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</si>
  <si>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</si>
  <si>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</si>
  <si>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</si>
  <si>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</si>
  <si>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</si>
  <si>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</si>
  <si>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</si>
  <si>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</si>
  <si>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</si>
  <si>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</si>
  <si>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</si>
  <si>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</si>
  <si>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</si>
  <si>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</si>
  <si>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</si>
  <si>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</si>
  <si>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</si>
  <si>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</si>
  <si>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</si>
  <si>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</si>
  <si>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</si>
  <si>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</si>
  <si>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</si>
  <si>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</si>
  <si>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</si>
  <si>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</si>
  <si>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</si>
  <si>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</si>
  <si>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</si>
  <si>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</si>
  <si>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</si>
  <si>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</si>
  <si>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</si>
  <si>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</si>
  <si>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</si>
  <si>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</si>
  <si>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</si>
  <si>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</si>
  <si>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</si>
  <si>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</si>
  <si>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</si>
  <si>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</si>
  <si>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</si>
  <si>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</si>
  <si>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</si>
  <si>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</si>
  <si>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</si>
  <si>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</si>
  <si>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</si>
  <si>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</si>
  <si>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</si>
  <si>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</si>
  <si>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</si>
  <si>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</si>
  <si>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</si>
  <si>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</si>
  <si>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</si>
  <si>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</si>
  <si>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</si>
  <si>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</si>
  <si>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</si>
  <si>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</si>
  <si>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</si>
  <si>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</si>
  <si>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</si>
  <si>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</si>
  <si>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</si>
  <si>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</si>
  <si>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</si>
  <si>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</si>
  <si>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</si>
  <si>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</si>
  <si>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</si>
  <si>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</si>
  <si>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</si>
  <si>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</si>
  <si>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</si>
  <si>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</si>
  <si>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</si>
  <si>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</si>
  <si>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</si>
  <si>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</si>
  <si>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</si>
  <si>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</si>
  <si>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</si>
  <si>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</si>
  <si>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</si>
  <si>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</si>
  <si>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</si>
  <si>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</si>
  <si>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</si>
  <si>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</si>
  <si>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</si>
  <si>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</si>
  <si>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</si>
  <si>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</si>
  <si>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</si>
  <si>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</si>
  <si>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</si>
  <si>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</si>
  <si>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</si>
  <si>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</si>
  <si>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</si>
  <si>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</si>
  <si>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</si>
  <si>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</si>
  <si>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</si>
  <si>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</si>
  <si>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</si>
  <si>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</si>
  <si>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</si>
  <si>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</si>
  <si>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</si>
  <si>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</si>
  <si>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</si>
  <si>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</si>
  <si>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</si>
  <si>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</si>
  <si>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</si>
  <si>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</si>
  <si>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</si>
  <si>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</si>
  <si>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</si>
  <si>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</si>
  <si>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</si>
  <si>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</si>
  <si>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</si>
  <si>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</si>
  <si>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</si>
  <si>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</si>
  <si>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</si>
  <si>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</si>
  <si>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</si>
  <si>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</si>
  <si>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</si>
  <si>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</si>
  <si>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</si>
  <si>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</si>
  <si>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</si>
  <si>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</si>
  <si>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</si>
  <si>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</si>
  <si>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</si>
  <si>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</si>
  <si>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</si>
  <si>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</si>
  <si>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</si>
  <si>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</si>
  <si>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</si>
  <si>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</si>
  <si>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</si>
  <si>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</si>
  <si>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</si>
  <si>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</si>
  <si>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</si>
  <si>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</si>
  <si>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</si>
  <si>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</si>
  <si>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</si>
  <si>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</si>
  <si>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</si>
  <si>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</si>
  <si>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</si>
  <si>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</si>
  <si>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</si>
  <si>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</si>
  <si>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</si>
  <si>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</si>
  <si>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</si>
  <si>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</si>
  <si>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</si>
  <si>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</si>
  <si>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</si>
  <si>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</si>
  <si>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</si>
  <si>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</si>
  <si>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</si>
  <si>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</si>
  <si>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</si>
  <si>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</si>
  <si>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</si>
  <si>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</si>
  <si>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</si>
  <si>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</si>
  <si>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</si>
  <si>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</si>
  <si>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</si>
  <si>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</si>
  <si>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</si>
  <si>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</si>
  <si>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</si>
  <si>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</si>
  <si>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</si>
  <si>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</si>
  <si>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</si>
  <si>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</si>
  <si>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</si>
  <si>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</si>
  <si>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</si>
  <si>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</si>
  <si>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</si>
  <si>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</si>
  <si>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</si>
  <si>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</si>
  <si>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</si>
  <si>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</si>
  <si>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</si>
  <si>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</si>
  <si>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</si>
  <si>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</si>
  <si>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</si>
  <si>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</si>
  <si>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</si>
  <si>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</si>
  <si>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</si>
  <si>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</si>
  <si>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</si>
  <si>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</si>
  <si>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</si>
  <si>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</si>
  <si>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</si>
  <si>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</si>
  <si>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</si>
  <si>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</si>
  <si>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</si>
  <si>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</si>
  <si>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</si>
  <si>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</si>
  <si>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</si>
  <si>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</si>
  <si>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</si>
  <si>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</si>
  <si>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</si>
  <si>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</si>
  <si>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</si>
  <si>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</si>
  <si>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</si>
  <si>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</si>
  <si>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</si>
  <si>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</si>
  <si>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</si>
  <si>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</si>
  <si>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</si>
  <si>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</si>
  <si>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</si>
  <si>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</si>
  <si>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</si>
  <si>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</si>
  <si>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</si>
  <si>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</si>
  <si>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</si>
  <si>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</si>
  <si>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</si>
  <si>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</si>
  <si>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</si>
  <si>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</si>
  <si>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</si>
  <si>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</si>
  <si>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</si>
  <si>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</si>
  <si>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</si>
  <si>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</si>
  <si>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</si>
  <si>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</si>
  <si>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</si>
  <si>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</si>
  <si>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</si>
  <si>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</si>
  <si>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</si>
  <si>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</si>
  <si>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</si>
  <si>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</si>
  <si>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</si>
  <si>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</si>
  <si>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</si>
  <si>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</si>
  <si>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</si>
  <si>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</si>
  <si>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</si>
  <si>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</si>
  <si>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</si>
  <si>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</si>
  <si>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</si>
  <si>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</si>
  <si>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</si>
  <si>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</si>
  <si>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</si>
  <si>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</si>
  <si>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</si>
  <si>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</si>
  <si>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</si>
  <si>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</si>
  <si>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</si>
  <si>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</si>
  <si>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</si>
  <si>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</si>
  <si>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</si>
  <si>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</si>
  <si>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</si>
  <si>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</si>
  <si>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</si>
  <si>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</si>
  <si>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</si>
  <si>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</si>
  <si>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</si>
  <si>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</si>
  <si>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</si>
  <si>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GrafDemo_Uni1</t>
  </si>
  <si>
    <t>Ficha Tecnica</t>
  </si>
  <si>
    <t>FichaTecnica</t>
  </si>
  <si>
    <t>AD1</t>
  </si>
  <si>
    <t>AN7</t>
  </si>
  <si>
    <t>M72</t>
  </si>
  <si>
    <t>M77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</si>
</sst>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23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22" xfId="0" applyFont="1" applyFill="1" applyBorder="1" applyAlignment="1">
      <alignment horizontal="center" vertical="center"/>
    </xf>
    <xf numFmtId="0" fontId="26" fillId="25" borderId="8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6" fillId="0" borderId="35" xfId="0" applyNumberFormat="1" applyFont="1" applyFill="1" applyBorder="1" applyAlignment="1">
      <alignment horizontal="center" vertical="center" wrapText="1"/>
    </xf>
    <xf numFmtId="1" fontId="6" fillId="0" borderId="36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26" fillId="25" borderId="28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11" fillId="7" borderId="8" xfId="2" applyFont="1" applyFill="1" applyBorder="1" applyAlignment="1">
      <alignment horizontal="center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1" fontId="47" fillId="44" borderId="51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67" xfId="6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7" fillId="44" borderId="69" xfId="6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8864992"/>
        <c:axId val="168865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864992"/>
        <c:axId val="168865552"/>
      </c:lineChart>
      <c:catAx>
        <c:axId val="16886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865552"/>
        <c:crosses val="autoZero"/>
        <c:auto val="1"/>
        <c:lblAlgn val="ctr"/>
        <c:lblOffset val="100"/>
        <c:noMultiLvlLbl val="0"/>
      </c:catAx>
      <c:valAx>
        <c:axId val="168865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86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9752608"/>
        <c:axId val="169753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752608"/>
        <c:axId val="169753168"/>
      </c:lineChart>
      <c:catAx>
        <c:axId val="169752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753168"/>
        <c:crosses val="autoZero"/>
        <c:auto val="1"/>
        <c:lblAlgn val="ctr"/>
        <c:lblOffset val="100"/>
        <c:noMultiLvlLbl val="0"/>
      </c:catAx>
      <c:valAx>
        <c:axId val="169753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75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142944"/>
        <c:axId val="170143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142944"/>
        <c:axId val="170143504"/>
      </c:lineChart>
      <c:catAx>
        <c:axId val="170142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143504"/>
        <c:crosses val="autoZero"/>
        <c:auto val="1"/>
        <c:lblAlgn val="ctr"/>
        <c:lblOffset val="100"/>
        <c:noMultiLvlLbl val="0"/>
      </c:catAx>
      <c:valAx>
        <c:axId val="17014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14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577520"/>
        <c:axId val="170578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577520"/>
        <c:axId val="170578080"/>
      </c:lineChart>
      <c:catAx>
        <c:axId val="170577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578080"/>
        <c:crosses val="autoZero"/>
        <c:auto val="1"/>
        <c:lblAlgn val="ctr"/>
        <c:lblOffset val="100"/>
        <c:noMultiLvlLbl val="0"/>
      </c:catAx>
      <c:valAx>
        <c:axId val="170578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7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583680"/>
        <c:axId val="171048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583680"/>
        <c:axId val="171048880"/>
      </c:lineChart>
      <c:catAx>
        <c:axId val="170583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048880"/>
        <c:crosses val="autoZero"/>
        <c:auto val="1"/>
        <c:lblAlgn val="ctr"/>
        <c:lblOffset val="100"/>
        <c:noMultiLvlLbl val="0"/>
      </c:catAx>
      <c:valAx>
        <c:axId val="171048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052800"/>
        <c:axId val="171053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052800"/>
        <c:axId val="171053360"/>
      </c:lineChart>
      <c:catAx>
        <c:axId val="171052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053360"/>
        <c:crosses val="autoZero"/>
        <c:auto val="1"/>
        <c:lblAlgn val="ctr"/>
        <c:lblOffset val="100"/>
        <c:noMultiLvlLbl val="0"/>
      </c:catAx>
      <c:valAx>
        <c:axId val="171053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05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929232"/>
        <c:axId val="170929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929232"/>
        <c:axId val="170929792"/>
      </c:lineChart>
      <c:catAx>
        <c:axId val="17092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929792"/>
        <c:crosses val="autoZero"/>
        <c:auto val="1"/>
        <c:lblAlgn val="ctr"/>
        <c:lblOffset val="100"/>
        <c:noMultiLvlLbl val="0"/>
      </c:catAx>
      <c:valAx>
        <c:axId val="17092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9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939664"/>
        <c:axId val="170940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939664"/>
        <c:axId val="170940224"/>
      </c:lineChart>
      <c:catAx>
        <c:axId val="17093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940224"/>
        <c:crosses val="autoZero"/>
        <c:auto val="1"/>
        <c:lblAlgn val="ctr"/>
        <c:lblOffset val="100"/>
        <c:noMultiLvlLbl val="0"/>
      </c:catAx>
      <c:valAx>
        <c:axId val="170940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93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254544"/>
        <c:axId val="171255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254544"/>
        <c:axId val="171255104"/>
      </c:lineChart>
      <c:catAx>
        <c:axId val="171254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55104"/>
        <c:crosses val="autoZero"/>
        <c:auto val="1"/>
        <c:lblAlgn val="ctr"/>
        <c:lblOffset val="100"/>
        <c:noMultiLvlLbl val="0"/>
      </c:catAx>
      <c:valAx>
        <c:axId val="17125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5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260704"/>
        <c:axId val="17186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260704"/>
        <c:axId val="171868016"/>
      </c:lineChart>
      <c:catAx>
        <c:axId val="17126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868016"/>
        <c:crosses val="autoZero"/>
        <c:auto val="1"/>
        <c:lblAlgn val="ctr"/>
        <c:lblOffset val="100"/>
        <c:noMultiLvlLbl val="0"/>
      </c:catAx>
      <c:valAx>
        <c:axId val="17186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6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873616"/>
        <c:axId val="171874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873616"/>
        <c:axId val="171874176"/>
      </c:lineChart>
      <c:catAx>
        <c:axId val="171873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874176"/>
        <c:crosses val="autoZero"/>
        <c:auto val="1"/>
        <c:lblAlgn val="ctr"/>
        <c:lblOffset val="100"/>
        <c:noMultiLvlLbl val="0"/>
      </c:catAx>
      <c:valAx>
        <c:axId val="17187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87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936448"/>
        <c:axId val="171937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936448"/>
        <c:axId val="171937008"/>
      </c:lineChart>
      <c:catAx>
        <c:axId val="171936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937008"/>
        <c:crosses val="autoZero"/>
        <c:auto val="1"/>
        <c:lblAlgn val="ctr"/>
        <c:lblOffset val="100"/>
        <c:noMultiLvlLbl val="0"/>
      </c:catAx>
      <c:valAx>
        <c:axId val="17193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93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52603408"/>
        <c:axId val="352602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603408"/>
        <c:axId val="352602288"/>
      </c:lineChart>
      <c:catAx>
        <c:axId val="35260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2602288"/>
        <c:crosses val="autoZero"/>
        <c:auto val="1"/>
        <c:lblAlgn val="ctr"/>
        <c:lblOffset val="100"/>
        <c:noMultiLvlLbl val="0"/>
      </c:catAx>
      <c:valAx>
        <c:axId val="352602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5260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402032"/>
        <c:axId val="218402592"/>
      </c:lineChart>
      <c:catAx>
        <c:axId val="21840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8402592"/>
        <c:crosses val="autoZero"/>
        <c:auto val="1"/>
        <c:lblAlgn val="ctr"/>
        <c:lblOffset val="100"/>
        <c:noMultiLvlLbl val="0"/>
      </c:catAx>
      <c:valAx>
        <c:axId val="21840259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184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12206464"/>
        <c:axId val="297864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06464"/>
        <c:axId val="297864976"/>
      </c:lineChart>
      <c:catAx>
        <c:axId val="212206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864976"/>
        <c:crosses val="autoZero"/>
        <c:auto val="1"/>
        <c:lblAlgn val="ctr"/>
        <c:lblOffset val="100"/>
        <c:noMultiLvlLbl val="0"/>
      </c:catAx>
      <c:valAx>
        <c:axId val="29786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220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7868336"/>
        <c:axId val="297866656"/>
      </c:lineChart>
      <c:catAx>
        <c:axId val="29786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866656"/>
        <c:crosses val="autoZero"/>
        <c:auto val="1"/>
        <c:lblAlgn val="ctr"/>
        <c:lblOffset val="100"/>
        <c:noMultiLvlLbl val="0"/>
      </c:catAx>
      <c:valAx>
        <c:axId val="29786665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9786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1459536"/>
        <c:axId val="301460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459536"/>
        <c:axId val="301460096"/>
      </c:lineChart>
      <c:catAx>
        <c:axId val="301459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460096"/>
        <c:crosses val="autoZero"/>
        <c:auto val="1"/>
        <c:lblAlgn val="ctr"/>
        <c:lblOffset val="100"/>
        <c:noMultiLvlLbl val="0"/>
      </c:catAx>
      <c:valAx>
        <c:axId val="301460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45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2556848"/>
        <c:axId val="30146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56848"/>
        <c:axId val="301462336"/>
      </c:lineChart>
      <c:catAx>
        <c:axId val="352556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462336"/>
        <c:crosses val="autoZero"/>
        <c:auto val="1"/>
        <c:lblAlgn val="ctr"/>
        <c:lblOffset val="100"/>
        <c:noMultiLvlLbl val="0"/>
      </c:catAx>
      <c:valAx>
        <c:axId val="30146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255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5142976"/>
        <c:axId val="352555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42976"/>
        <c:axId val="352555728"/>
      </c:lineChart>
      <c:catAx>
        <c:axId val="345142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2555728"/>
        <c:crosses val="autoZero"/>
        <c:auto val="1"/>
        <c:lblAlgn val="ctr"/>
        <c:lblOffset val="100"/>
        <c:noMultiLvlLbl val="0"/>
      </c:catAx>
      <c:valAx>
        <c:axId val="352555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1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094768"/>
        <c:axId val="2230953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94768"/>
        <c:axId val="223095328"/>
      </c:lineChart>
      <c:catAx>
        <c:axId val="223094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95328"/>
        <c:crosses val="autoZero"/>
        <c:auto val="1"/>
        <c:lblAlgn val="ctr"/>
        <c:lblOffset val="100"/>
        <c:noMultiLvlLbl val="0"/>
      </c:catAx>
      <c:valAx>
        <c:axId val="223095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09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7918128"/>
        <c:axId val="223095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18128"/>
        <c:axId val="223095888"/>
      </c:lineChart>
      <c:catAx>
        <c:axId val="34791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95888"/>
        <c:crosses val="autoZero"/>
        <c:auto val="1"/>
        <c:lblAlgn val="ctr"/>
        <c:lblOffset val="100"/>
        <c:noMultiLvlLbl val="0"/>
      </c:catAx>
      <c:valAx>
        <c:axId val="223095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91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2559824"/>
        <c:axId val="3525603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59824"/>
        <c:axId val="352560384"/>
      </c:lineChart>
      <c:catAx>
        <c:axId val="352559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2560384"/>
        <c:crosses val="autoZero"/>
        <c:auto val="1"/>
        <c:lblAlgn val="ctr"/>
        <c:lblOffset val="100"/>
        <c:noMultiLvlLbl val="0"/>
      </c:catAx>
      <c:valAx>
        <c:axId val="352560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25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2950304"/>
        <c:axId val="300066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50304"/>
        <c:axId val="300066096"/>
      </c:lineChart>
      <c:catAx>
        <c:axId val="352950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0066096"/>
        <c:crosses val="autoZero"/>
        <c:auto val="1"/>
        <c:lblAlgn val="ctr"/>
        <c:lblOffset val="100"/>
        <c:noMultiLvlLbl val="0"/>
      </c:catAx>
      <c:valAx>
        <c:axId val="300066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295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184272"/>
        <c:axId val="288184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84272"/>
        <c:axId val="288184832"/>
      </c:lineChart>
      <c:catAx>
        <c:axId val="28818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184832"/>
        <c:crosses val="autoZero"/>
        <c:auto val="1"/>
        <c:lblAlgn val="ctr"/>
        <c:lblOffset val="100"/>
        <c:noMultiLvlLbl val="0"/>
      </c:catAx>
      <c:valAx>
        <c:axId val="288184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18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190432"/>
        <c:axId val="2881853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90432"/>
        <c:axId val="288185392"/>
      </c:lineChart>
      <c:catAx>
        <c:axId val="288190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185392"/>
        <c:crosses val="autoZero"/>
        <c:auto val="1"/>
        <c:lblAlgn val="ctr"/>
        <c:lblOffset val="100"/>
        <c:noMultiLvlLbl val="0"/>
      </c:catAx>
      <c:valAx>
        <c:axId val="288185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19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674448"/>
        <c:axId val="291673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674448"/>
        <c:axId val="291673888"/>
      </c:lineChart>
      <c:catAx>
        <c:axId val="291674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73888"/>
        <c:crosses val="autoZero"/>
        <c:auto val="1"/>
        <c:lblAlgn val="ctr"/>
        <c:lblOffset val="100"/>
        <c:noMultiLvlLbl val="0"/>
      </c:catAx>
      <c:valAx>
        <c:axId val="291673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67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55525616"/>
        <c:axId val="355526176"/>
      </c:barChart>
      <c:catAx>
        <c:axId val="355525616"/>
        <c:scaling>
          <c:orientation val="minMax"/>
        </c:scaling>
        <c:delete val="1"/>
        <c:axPos val="l"/>
        <c:majorTickMark val="none"/>
        <c:minorTickMark val="none"/>
        <c:tickLblPos val="nextTo"/>
        <c:crossAx val="355526176"/>
        <c:crosses val="autoZero"/>
        <c:auto val="1"/>
        <c:lblAlgn val="ctr"/>
        <c:lblOffset val="100"/>
        <c:noMultiLvlLbl val="0"/>
      </c:catAx>
      <c:valAx>
        <c:axId val="35552617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5552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Drop" dropStyle="combo" dx="16" fmlaLink="I24" noThreeD="1" sel="2" val="0">
  <itemLst>
    <item val="Barras"/>
    <item val="Torta"/>
  </itemLst>
</formControlPr>
</file>

<file path=xl/ctrlProps/ctrlProp52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4193" name="DropDowns_Demo1" hidden="1">
              <a:extLst>
                <a:ext uri="{63B3BB69-23CF-44E3-9099-C40C66FF867C}">
                  <a14:compatExt spid="_x0000_s26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64194" name="CheckBox_Demo1" hidden="1">
              <a:extLst>
                <a:ext uri="{63B3BB69-23CF-44E3-9099-C40C66FF867C}">
                  <a14:compatExt spid="_x0000_s26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64195" name="DropDowns_Demo_Bis1" hidden="1">
              <a:extLst>
                <a:ext uri="{63B3BB69-23CF-44E3-9099-C40C66FF867C}">
                  <a14:compatExt spid="_x0000_s26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64196" name="CheckBox_Demo_Bis1" hidden="1">
              <a:extLst>
                <a:ext uri="{63B3BB69-23CF-44E3-9099-C40C66FF867C}">
                  <a14:compatExt spid="_x0000_s26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64197" name="DropDowns_Demo2" hidden="1">
              <a:extLst>
                <a:ext uri="{63B3BB69-23CF-44E3-9099-C40C66FF867C}">
                  <a14:compatExt spid="_x0000_s26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64198" name="CheckBox_Demo2" hidden="1">
              <a:extLst>
                <a:ext uri="{63B3BB69-23CF-44E3-9099-C40C66FF867C}">
                  <a14:compatExt spid="_x0000_s26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4199" name="DropDowns_Demo_Bis2" hidden="1">
              <a:extLst>
                <a:ext uri="{63B3BB69-23CF-44E3-9099-C40C66FF867C}">
                  <a14:compatExt spid="_x0000_s26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64200" name="CheckBox_Demo_Bis2" hidden="1">
              <a:extLst>
                <a:ext uri="{63B3BB69-23CF-44E3-9099-C40C66FF867C}">
                  <a14:compatExt spid="_x0000_s26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64201" name="DropDowns_Demo3" hidden="1">
              <a:extLst>
                <a:ext uri="{63B3BB69-23CF-44E3-9099-C40C66FF867C}">
                  <a14:compatExt spid="_x0000_s26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64202" name="CheckBox_Demo3" hidden="1">
              <a:extLst>
                <a:ext uri="{63B3BB69-23CF-44E3-9099-C40C66FF867C}">
                  <a14:compatExt spid="_x0000_s26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64203" name="DropDowns_Demo_Bis3" hidden="1">
              <a:extLst>
                <a:ext uri="{63B3BB69-23CF-44E3-9099-C40C66FF867C}">
                  <a14:compatExt spid="_x0000_s26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64204" name="CheckBox_Demo_Bis3" hidden="1">
              <a:extLst>
                <a:ext uri="{63B3BB69-23CF-44E3-9099-C40C66FF867C}">
                  <a14:compatExt spid="_x0000_s26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64205" name="DropDowns_Demo4" hidden="1">
              <a:extLst>
                <a:ext uri="{63B3BB69-23CF-44E3-9099-C40C66FF867C}">
                  <a14:compatExt spid="_x0000_s26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64206" name="CheckBox_Demo4" hidden="1">
              <a:extLst>
                <a:ext uri="{63B3BB69-23CF-44E3-9099-C40C66FF867C}">
                  <a14:compatExt spid="_x0000_s26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64207" name="DropDowns_Demo_Bis4" hidden="1">
              <a:extLst>
                <a:ext uri="{63B3BB69-23CF-44E3-9099-C40C66FF867C}">
                  <a14:compatExt spid="_x0000_s26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64208" name="CheckBox_Demo_Bis4" hidden="1">
              <a:extLst>
                <a:ext uri="{63B3BB69-23CF-44E3-9099-C40C66FF867C}">
                  <a14:compatExt spid="_x0000_s26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64209" name="DropDowns_Demo5" hidden="1">
              <a:extLst>
                <a:ext uri="{63B3BB69-23CF-44E3-9099-C40C66FF867C}">
                  <a14:compatExt spid="_x0000_s26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64210" name="CheckBox_Demo5" hidden="1">
              <a:extLst>
                <a:ext uri="{63B3BB69-23CF-44E3-9099-C40C66FF867C}">
                  <a14:compatExt spid="_x0000_s26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64211" name="DropDowns_Demo_Bis5" hidden="1">
              <a:extLst>
                <a:ext uri="{63B3BB69-23CF-44E3-9099-C40C66FF867C}">
                  <a14:compatExt spid="_x0000_s26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64212" name="CheckBox_Demo_Bis5" hidden="1">
              <a:extLst>
                <a:ext uri="{63B3BB69-23CF-44E3-9099-C40C66FF867C}">
                  <a14:compatExt spid="_x0000_s26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64213" name="DropDowns_Demo6" hidden="1">
              <a:extLst>
                <a:ext uri="{63B3BB69-23CF-44E3-9099-C40C66FF867C}">
                  <a14:compatExt spid="_x0000_s26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64214" name="CheckBox_Demo6" hidden="1">
              <a:extLst>
                <a:ext uri="{63B3BB69-23CF-44E3-9099-C40C66FF867C}">
                  <a14:compatExt spid="_x0000_s26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64215" name="DropDowns_Demo_Bis6" hidden="1">
              <a:extLst>
                <a:ext uri="{63B3BB69-23CF-44E3-9099-C40C66FF867C}">
                  <a14:compatExt spid="_x0000_s26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64216" name="CheckBox_Demo_Bis6" hidden="1">
              <a:extLst>
                <a:ext uri="{63B3BB69-23CF-44E3-9099-C40C66FF867C}">
                  <a14:compatExt spid="_x0000_s26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64217" name="DropDowns_Demo7" hidden="1">
              <a:extLst>
                <a:ext uri="{63B3BB69-23CF-44E3-9099-C40C66FF867C}">
                  <a14:compatExt spid="_x0000_s26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64218" name="CheckBox_Demo7" hidden="1">
              <a:extLst>
                <a:ext uri="{63B3BB69-23CF-44E3-9099-C40C66FF867C}">
                  <a14:compatExt spid="_x0000_s26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64219" name="DropDowns_Demo_Bis7" hidden="1">
              <a:extLst>
                <a:ext uri="{63B3BB69-23CF-44E3-9099-C40C66FF867C}">
                  <a14:compatExt spid="_x0000_s26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64220" name="CheckBox_Demo_Bis7" hidden="1">
              <a:extLst>
                <a:ext uri="{63B3BB69-23CF-44E3-9099-C40C66FF867C}">
                  <a14:compatExt spid="_x0000_s26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4221" name="DropDowns_Demo8" hidden="1">
              <a:extLst>
                <a:ext uri="{63B3BB69-23CF-44E3-9099-C40C66FF867C}">
                  <a14:compatExt spid="_x0000_s26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64222" name="CheckBox_Demo8" hidden="1">
              <a:extLst>
                <a:ext uri="{63B3BB69-23CF-44E3-9099-C40C66FF867C}">
                  <a14:compatExt spid="_x0000_s26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4223" name="DropDowns_Demo_Bis8" hidden="1">
              <a:extLst>
                <a:ext uri="{63B3BB69-23CF-44E3-9099-C40C66FF867C}">
                  <a14:compatExt spid="_x0000_s26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64224" name="CheckBox_Demo_Bis8" hidden="1">
              <a:extLst>
                <a:ext uri="{63B3BB69-23CF-44E3-9099-C40C66FF867C}">
                  <a14:compatExt spid="_x0000_s26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4225" name="DropDowns_Demo9" hidden="1">
              <a:extLst>
                <a:ext uri="{63B3BB69-23CF-44E3-9099-C40C66FF867C}">
                  <a14:compatExt spid="_x0000_s26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64226" name="CheckBox_Demo9" hidden="1">
              <a:extLst>
                <a:ext uri="{63B3BB69-23CF-44E3-9099-C40C66FF867C}">
                  <a14:compatExt spid="_x0000_s26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64227" name="DropDowns_Demo_Bis9" hidden="1">
              <a:extLst>
                <a:ext uri="{63B3BB69-23CF-44E3-9099-C40C66FF867C}">
                  <a14:compatExt spid="_x0000_s26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64228" name="CheckBox_Demo_Bis9" hidden="1">
              <a:extLst>
                <a:ext uri="{63B3BB69-23CF-44E3-9099-C40C66FF867C}">
                  <a14:compatExt spid="_x0000_s26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64229" name="DropDowns_Demo10" hidden="1">
              <a:extLst>
                <a:ext uri="{63B3BB69-23CF-44E3-9099-C40C66FF867C}">
                  <a14:compatExt spid="_x0000_s26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64230" name="CheckBox_Demo10" hidden="1">
              <a:extLst>
                <a:ext uri="{63B3BB69-23CF-44E3-9099-C40C66FF867C}">
                  <a14:compatExt spid="_x0000_s26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64231" name="DropDowns_Demo_Bis10" hidden="1">
              <a:extLst>
                <a:ext uri="{63B3BB69-23CF-44E3-9099-C40C66FF867C}">
                  <a14:compatExt spid="_x0000_s26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64232" name="CheckBox_Demo_Bis10" hidden="1">
              <a:extLst>
                <a:ext uri="{63B3BB69-23CF-44E3-9099-C40C66FF867C}">
                  <a14:compatExt spid="_x0000_s26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64233" name="Button 41" hidden="1">
              <a:extLst>
                <a:ext uri="{63B3BB69-23CF-44E3-9099-C40C66FF867C}">
                  <a14:compatExt spid="_x0000_s26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64234" name="Button 42" hidden="1">
              <a:extLst>
                <a:ext uri="{63B3BB69-23CF-44E3-9099-C40C66FF867C}">
                  <a14:compatExt spid="_x0000_s26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264235" name="Button 43" hidden="1">
              <a:extLst>
                <a:ext uri="{63B3BB69-23CF-44E3-9099-C40C66FF867C}">
                  <a14:compatExt spid="_x0000_s26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64236" name="DropDowns_Demo_Uni1" hidden="1">
              <a:extLst>
                <a:ext uri="{63B3BB69-23CF-44E3-9099-C40C66FF867C}">
                  <a14:compatExt spid="_x0000_s26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64237" name="CheckBox_Demo_Uni1" hidden="1">
              <a:extLst>
                <a:ext uri="{63B3BB69-23CF-44E3-9099-C40C66FF867C}">
                  <a14:compatExt spid="_x0000_s26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2" t="s">
        <v>6</v>
      </c>
      <c r="G2" s="182"/>
      <c r="H2" s="182"/>
      <c r="J2" s="182" t="s">
        <v>7</v>
      </c>
      <c r="K2" s="182"/>
      <c r="L2" s="182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286</v>
      </c>
      <c r="J4" s="10" t="s">
        <v>137</v>
      </c>
      <c r="K4" s="10" t="s">
        <v>8</v>
      </c>
      <c r="L4" s="10" t="s">
        <v>285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278</v>
      </c>
      <c r="J6" s="6" t="s">
        <v>19</v>
      </c>
      <c r="K6" s="6" t="s">
        <v>8</v>
      </c>
      <c r="L6" s="6" t="s">
        <v>278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4" t="s">
        <v>139</v>
      </c>
      <c r="B1" s="194"/>
      <c r="C1" s="49"/>
      <c r="D1" s="183" t="s">
        <v>134</v>
      </c>
      <c r="E1" s="184"/>
      <c r="F1" s="184"/>
      <c r="G1" s="184"/>
      <c r="H1" s="184"/>
      <c r="I1" s="184"/>
      <c r="J1" s="184"/>
      <c r="K1" s="50"/>
      <c r="L1" s="183" t="s">
        <v>135</v>
      </c>
      <c r="M1" s="184"/>
      <c r="N1" s="184"/>
      <c r="O1" s="184"/>
      <c r="P1" s="185"/>
      <c r="Q1" s="50"/>
      <c r="R1" s="183" t="s">
        <v>136</v>
      </c>
      <c r="S1" s="185"/>
      <c r="T1" s="50"/>
      <c r="U1" s="183" t="s">
        <v>373</v>
      </c>
      <c r="V1" s="184"/>
      <c r="W1" s="184"/>
      <c r="X1" s="184"/>
      <c r="Y1" s="185"/>
      <c r="Z1" s="50"/>
      <c r="AA1" s="183" t="s">
        <v>374</v>
      </c>
      <c r="AB1" s="184"/>
      <c r="AC1" s="184"/>
      <c r="AD1" s="184"/>
      <c r="AE1" s="184"/>
      <c r="AF1" s="184"/>
      <c r="AG1" s="184"/>
      <c r="AH1" s="184"/>
      <c r="AI1" s="184"/>
      <c r="AJ1" s="185"/>
      <c r="AK1" s="50"/>
      <c r="AL1" s="183" t="s">
        <v>375</v>
      </c>
      <c r="AM1" s="184"/>
      <c r="AN1" s="184"/>
      <c r="AO1" s="184"/>
      <c r="AP1" s="184"/>
      <c r="AQ1" s="185"/>
      <c r="AR1" s="50"/>
      <c r="AS1" s="183" t="s">
        <v>376</v>
      </c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5"/>
      <c r="BG1" s="50"/>
      <c r="BH1" s="183" t="s">
        <v>377</v>
      </c>
      <c r="BI1" s="184"/>
      <c r="BJ1" s="184"/>
      <c r="BK1" s="185"/>
      <c r="BL1" s="50"/>
      <c r="BM1" s="183" t="s">
        <v>287</v>
      </c>
      <c r="BN1" s="184"/>
      <c r="BO1" s="184"/>
      <c r="BP1" s="184"/>
      <c r="BQ1" s="185"/>
      <c r="BR1" s="50"/>
      <c r="BS1" s="183" t="s">
        <v>378</v>
      </c>
      <c r="BT1" s="184"/>
      <c r="BU1" s="184"/>
      <c r="BV1" s="185"/>
    </row>
    <row r="2" spans="1:74" ht="273.75">
      <c r="A2" s="192" t="s">
        <v>379</v>
      </c>
      <c r="B2" s="192"/>
      <c r="C2" s="193"/>
      <c r="D2" s="51">
        <v>2016</v>
      </c>
      <c r="E2" s="51">
        <v>2015</v>
      </c>
      <c r="F2" s="51" t="s">
        <v>380</v>
      </c>
      <c r="G2" s="51" t="s">
        <v>381</v>
      </c>
      <c r="H2" s="51" t="s">
        <v>382</v>
      </c>
      <c r="I2" s="51" t="s">
        <v>383</v>
      </c>
      <c r="J2" s="51" t="s">
        <v>384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385</v>
      </c>
      <c r="V2" s="51" t="s">
        <v>386</v>
      </c>
      <c r="W2" s="51" t="s">
        <v>387</v>
      </c>
      <c r="X2" s="51" t="s">
        <v>388</v>
      </c>
      <c r="Y2" s="51" t="s">
        <v>389</v>
      </c>
      <c r="Z2" s="50"/>
      <c r="AA2" s="169" t="s">
        <v>390</v>
      </c>
      <c r="AB2" s="169" t="s">
        <v>391</v>
      </c>
      <c r="AC2" s="169" t="s">
        <v>392</v>
      </c>
      <c r="AD2" s="169" t="s">
        <v>393</v>
      </c>
      <c r="AE2" s="169" t="s">
        <v>394</v>
      </c>
      <c r="AF2" s="169" t="s">
        <v>395</v>
      </c>
      <c r="AG2" s="169" t="s">
        <v>396</v>
      </c>
      <c r="AH2" s="169" t="s">
        <v>397</v>
      </c>
      <c r="AI2" s="169" t="s">
        <v>398</v>
      </c>
      <c r="AJ2" s="169" t="s">
        <v>399</v>
      </c>
      <c r="AK2" s="50"/>
      <c r="AL2" s="51" t="s">
        <v>400</v>
      </c>
      <c r="AM2" s="51" t="s">
        <v>401</v>
      </c>
      <c r="AN2" s="51" t="s">
        <v>402</v>
      </c>
      <c r="AO2" s="51" t="s">
        <v>403</v>
      </c>
      <c r="AP2" s="51" t="s">
        <v>404</v>
      </c>
      <c r="AQ2" s="51" t="s">
        <v>405</v>
      </c>
      <c r="AR2" s="50"/>
      <c r="AS2" s="51" t="s">
        <v>406</v>
      </c>
      <c r="AT2" s="51" t="s">
        <v>407</v>
      </c>
      <c r="AU2" s="51" t="s">
        <v>408</v>
      </c>
      <c r="AV2" s="51" t="s">
        <v>409</v>
      </c>
      <c r="AW2" s="51" t="s">
        <v>410</v>
      </c>
      <c r="AX2" s="51" t="s">
        <v>411</v>
      </c>
      <c r="AY2" s="51" t="s">
        <v>412</v>
      </c>
      <c r="AZ2" s="51" t="s">
        <v>413</v>
      </c>
      <c r="BA2" s="51" t="s">
        <v>414</v>
      </c>
      <c r="BB2" s="51" t="s">
        <v>415</v>
      </c>
      <c r="BC2" s="51" t="s">
        <v>416</v>
      </c>
      <c r="BD2" s="51" t="s">
        <v>417</v>
      </c>
      <c r="BE2" s="51" t="s">
        <v>418</v>
      </c>
      <c r="BF2" s="51" t="s">
        <v>419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288</v>
      </c>
      <c r="BN2" s="51" t="s">
        <v>289</v>
      </c>
      <c r="BO2" s="51" t="s">
        <v>290</v>
      </c>
      <c r="BP2" s="51" t="s">
        <v>291</v>
      </c>
      <c r="BQ2" s="51" t="s">
        <v>292</v>
      </c>
      <c r="BR2" s="50"/>
      <c r="BS2" s="51" t="s">
        <v>420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95" t="s">
        <v>11</v>
      </c>
      <c r="B7" s="196"/>
      <c r="C7" s="197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8" t="s">
        <v>12</v>
      </c>
      <c r="B8" s="199"/>
      <c r="C8" s="200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201" t="s">
        <v>13</v>
      </c>
      <c r="B9" s="202"/>
      <c r="C9" s="203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204" t="s">
        <v>14</v>
      </c>
      <c r="B10" s="205"/>
      <c r="C10" s="206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07" t="s">
        <v>15</v>
      </c>
      <c r="B11" s="208"/>
      <c r="C11" s="209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89" t="s">
        <v>17</v>
      </c>
      <c r="B13" s="190"/>
      <c r="C13" s="191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6">
        <f>+SUM(L3:P3)</f>
        <v>4698</v>
      </c>
      <c r="M16" s="187"/>
      <c r="N16" s="187"/>
      <c r="O16" s="187"/>
      <c r="P16" s="188"/>
      <c r="Q16" s="50"/>
      <c r="R16" s="186">
        <f>+SUM(R3:S3)</f>
        <v>4667</v>
      </c>
      <c r="S16" s="188"/>
      <c r="T16" s="50"/>
      <c r="U16" s="186">
        <f>+SUM(U3:Y3)</f>
        <v>4690</v>
      </c>
      <c r="V16" s="187"/>
      <c r="W16" s="187"/>
      <c r="X16" s="187"/>
      <c r="Y16" s="188"/>
      <c r="Z16" s="50"/>
      <c r="AA16" s="186">
        <f>+SUM(AA3:AJ3)</f>
        <v>4649</v>
      </c>
      <c r="AB16" s="187"/>
      <c r="AC16" s="187"/>
      <c r="AD16" s="187"/>
      <c r="AE16" s="187"/>
      <c r="AF16" s="187"/>
      <c r="AG16" s="187"/>
      <c r="AH16" s="187"/>
      <c r="AI16" s="187"/>
      <c r="AJ16" s="188"/>
      <c r="AK16" s="50"/>
      <c r="AL16" s="186">
        <f>+SUM(AL3:AQ3)</f>
        <v>4670</v>
      </c>
      <c r="AM16" s="187"/>
      <c r="AN16" s="187"/>
      <c r="AO16" s="187"/>
      <c r="AP16" s="187"/>
      <c r="AQ16" s="188"/>
      <c r="AR16" s="50"/>
      <c r="AS16" s="186">
        <f>+SUM(AS3:BF3)</f>
        <v>4886</v>
      </c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8"/>
      <c r="BG16" s="50"/>
      <c r="BH16" s="186">
        <f>+SUM(BH3:BK3)</f>
        <v>4149</v>
      </c>
      <c r="BI16" s="187"/>
      <c r="BJ16" s="187"/>
      <c r="BK16" s="188"/>
      <c r="BL16" s="50"/>
      <c r="BM16" s="186">
        <f>+SUM(BM3:BQ3)</f>
        <v>3932</v>
      </c>
      <c r="BN16" s="187"/>
      <c r="BO16" s="187"/>
      <c r="BP16" s="187"/>
      <c r="BQ16" s="188"/>
      <c r="BR16" s="50"/>
      <c r="BS16" s="186">
        <f>+SUM(BS3:BV3)</f>
        <v>1839</v>
      </c>
      <c r="BT16" s="187"/>
      <c r="BU16" s="187"/>
      <c r="BV16" s="188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70">
        <f>+AS3/AS4</f>
        <v>0.88888888888888884</v>
      </c>
      <c r="AT18" s="170">
        <f t="shared" ref="AT18:BF18" si="8">+AT3/AT4</f>
        <v>0.63636363636363635</v>
      </c>
      <c r="AU18" s="170">
        <f t="shared" si="8"/>
        <v>0.95348837209302328</v>
      </c>
      <c r="AV18" s="170">
        <f t="shared" si="8"/>
        <v>0.908675799086758</v>
      </c>
      <c r="AW18" s="170">
        <f t="shared" si="8"/>
        <v>0.93620071684587813</v>
      </c>
      <c r="AX18" s="170">
        <f t="shared" si="8"/>
        <v>0.97938144329896903</v>
      </c>
      <c r="AY18" s="170">
        <f t="shared" si="8"/>
        <v>1</v>
      </c>
      <c r="AZ18" s="170">
        <f t="shared" si="8"/>
        <v>0.94972067039106145</v>
      </c>
      <c r="BA18" s="170">
        <f t="shared" si="8"/>
        <v>0.93577981651376152</v>
      </c>
      <c r="BB18" s="170">
        <f t="shared" si="8"/>
        <v>0.967741935483871</v>
      </c>
      <c r="BC18" s="170">
        <f t="shared" si="8"/>
        <v>0.93131695022054195</v>
      </c>
      <c r="BD18" s="170">
        <f t="shared" si="8"/>
        <v>0.94805194805194803</v>
      </c>
      <c r="BE18" s="170">
        <f t="shared" si="8"/>
        <v>0.75</v>
      </c>
      <c r="BF18" s="170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210">
        <f>+SUM(BM5:BQ5)</f>
        <v>4577</v>
      </c>
      <c r="BN19" s="211"/>
      <c r="BO19" s="211"/>
      <c r="BP19" s="211"/>
      <c r="BQ19" s="212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99">
        <f>+BM5/$BM$19</f>
        <v>0.16692156434345642</v>
      </c>
      <c r="BN20" s="99">
        <f t="shared" ref="BN20:BQ20" si="9">+BN5/$BM$19</f>
        <v>0.26982739785885951</v>
      </c>
      <c r="BO20" s="99">
        <f t="shared" si="9"/>
        <v>2.8839851431068386E-2</v>
      </c>
      <c r="BP20" s="99">
        <f t="shared" si="9"/>
        <v>0.46952152064671182</v>
      </c>
      <c r="BQ20" s="99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BM19:BQ19"/>
    <mergeCell ref="L16:P16"/>
    <mergeCell ref="R16:S16"/>
    <mergeCell ref="U16:Y16"/>
    <mergeCell ref="AA16:AJ16"/>
    <mergeCell ref="AL16:A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AS16:BF16"/>
    <mergeCell ref="BH16:BK16"/>
    <mergeCell ref="BM16:BQ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E1"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2" t="s">
        <v>349</v>
      </c>
      <c r="B1" s="122" t="s">
        <v>27</v>
      </c>
      <c r="C1" s="123">
        <v>2016</v>
      </c>
      <c r="D1" s="123">
        <v>2015</v>
      </c>
      <c r="E1" s="124" t="s">
        <v>28</v>
      </c>
      <c r="F1" s="124" t="s">
        <v>29</v>
      </c>
      <c r="G1" s="123" t="s">
        <v>30</v>
      </c>
      <c r="H1" s="125" t="s">
        <v>31</v>
      </c>
      <c r="I1" s="126" t="s">
        <v>350</v>
      </c>
      <c r="J1" s="127"/>
      <c r="K1" s="127" t="s">
        <v>351</v>
      </c>
      <c r="L1" s="127" t="s">
        <v>352</v>
      </c>
      <c r="M1" s="128">
        <v>2016</v>
      </c>
      <c r="N1" s="128">
        <v>2015</v>
      </c>
      <c r="O1" s="128" t="s">
        <v>28</v>
      </c>
      <c r="P1" s="128" t="s">
        <v>29</v>
      </c>
      <c r="Q1" s="129"/>
      <c r="R1" s="130"/>
      <c r="S1" s="130"/>
      <c r="T1" s="131" t="s">
        <v>353</v>
      </c>
      <c r="U1" s="132" t="s">
        <v>354</v>
      </c>
      <c r="V1" s="133" t="s">
        <v>355</v>
      </c>
      <c r="W1" s="134" t="s">
        <v>356</v>
      </c>
      <c r="X1" s="135" t="s">
        <v>357</v>
      </c>
      <c r="Y1" s="136" t="s">
        <v>358</v>
      </c>
      <c r="Z1" s="137" t="s">
        <v>26</v>
      </c>
      <c r="AA1" s="137" t="s">
        <v>359</v>
      </c>
      <c r="AB1" s="137" t="s">
        <v>360</v>
      </c>
      <c r="AC1" s="130"/>
      <c r="AD1" s="138" t="s">
        <v>20</v>
      </c>
      <c r="AE1" s="139">
        <v>2007</v>
      </c>
      <c r="AF1" s="139">
        <v>2008</v>
      </c>
      <c r="AG1" s="139">
        <v>2009</v>
      </c>
      <c r="AH1" s="139">
        <v>2010</v>
      </c>
      <c r="AI1" s="139">
        <v>2011</v>
      </c>
      <c r="AJ1" s="139">
        <v>2012</v>
      </c>
      <c r="AK1" s="139">
        <v>2013</v>
      </c>
      <c r="AL1" s="139">
        <v>2014</v>
      </c>
      <c r="AM1" s="139">
        <v>2015</v>
      </c>
      <c r="AN1" s="139">
        <v>2016</v>
      </c>
    </row>
    <row r="2" spans="1:40" ht="15.75" thickBot="1">
      <c r="A2" s="236" t="s">
        <v>361</v>
      </c>
      <c r="B2" s="222" t="s">
        <v>32</v>
      </c>
      <c r="C2" s="227">
        <f>+ROUND(AVERAGE(M2:M5),0)</f>
        <v>87</v>
      </c>
      <c r="D2" s="227">
        <f>+ROUND(AVERAGE(N2:N5),0)</f>
        <v>84</v>
      </c>
      <c r="E2" s="227">
        <f>+ROUND(AVERAGE(O2:O5),0)</f>
        <v>89</v>
      </c>
      <c r="F2" s="227">
        <f>+ROUND(AVERAGE(P2:P5),0)</f>
        <v>78</v>
      </c>
      <c r="G2" s="217">
        <f>+C2-E2</f>
        <v>-2</v>
      </c>
      <c r="H2" s="219">
        <f>+C2-F2</f>
        <v>9</v>
      </c>
      <c r="I2" s="213" t="s">
        <v>32</v>
      </c>
      <c r="J2" s="215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40">
        <f>+M2-N2</f>
        <v>4.2000000000000028</v>
      </c>
      <c r="R2" s="141"/>
      <c r="S2" s="141"/>
      <c r="T2" s="141">
        <v>2017</v>
      </c>
      <c r="U2" s="47"/>
      <c r="V2" s="47"/>
      <c r="W2" s="47"/>
      <c r="X2" s="47"/>
      <c r="Y2" s="47"/>
      <c r="Z2" s="47"/>
      <c r="AA2" s="47"/>
      <c r="AB2" s="47"/>
      <c r="AC2" s="141"/>
      <c r="AD2" s="142" t="s">
        <v>21</v>
      </c>
      <c r="AE2" s="143">
        <v>376</v>
      </c>
      <c r="AF2" s="143">
        <v>387</v>
      </c>
      <c r="AG2" s="143">
        <v>532</v>
      </c>
      <c r="AH2" s="143">
        <v>581</v>
      </c>
      <c r="AI2" s="143">
        <v>676</v>
      </c>
      <c r="AJ2" s="143">
        <v>704</v>
      </c>
      <c r="AK2" s="143">
        <v>711</v>
      </c>
      <c r="AL2" s="143">
        <v>669</v>
      </c>
      <c r="AM2" s="143">
        <v>664</v>
      </c>
      <c r="AN2" s="143">
        <v>669</v>
      </c>
    </row>
    <row r="3" spans="1:40" ht="15.75" thickBot="1">
      <c r="A3" s="236"/>
      <c r="B3" s="222"/>
      <c r="C3" s="227"/>
      <c r="D3" s="227"/>
      <c r="E3" s="227"/>
      <c r="F3" s="227"/>
      <c r="G3" s="217"/>
      <c r="H3" s="219"/>
      <c r="I3" s="213"/>
      <c r="J3" s="216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40">
        <f t="shared" ref="Q3:Q62" si="0">+M3-N3</f>
        <v>2.730000000000004</v>
      </c>
      <c r="R3" s="141"/>
      <c r="S3" s="141"/>
      <c r="T3" s="141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41"/>
      <c r="AD3" s="142" t="s">
        <v>9</v>
      </c>
      <c r="AE3" s="143">
        <v>336</v>
      </c>
      <c r="AF3" s="143">
        <v>364</v>
      </c>
      <c r="AG3" s="143">
        <v>491</v>
      </c>
      <c r="AH3" s="143">
        <v>448</v>
      </c>
      <c r="AI3" s="143">
        <v>560</v>
      </c>
      <c r="AJ3" s="143">
        <v>594</v>
      </c>
      <c r="AK3" s="143">
        <v>610</v>
      </c>
      <c r="AL3" s="143">
        <v>580</v>
      </c>
      <c r="AM3" s="143">
        <v>600</v>
      </c>
      <c r="AN3" s="143">
        <v>546</v>
      </c>
    </row>
    <row r="4" spans="1:40" ht="15.75" thickBot="1">
      <c r="A4" s="236"/>
      <c r="B4" s="222"/>
      <c r="C4" s="227"/>
      <c r="D4" s="227"/>
      <c r="E4" s="227"/>
      <c r="F4" s="227"/>
      <c r="G4" s="217"/>
      <c r="H4" s="219"/>
      <c r="I4" s="213"/>
      <c r="J4" s="215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40">
        <f t="shared" si="0"/>
        <v>2.269999999999996</v>
      </c>
      <c r="R4" s="141"/>
      <c r="S4" s="141"/>
      <c r="T4" s="141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41"/>
      <c r="AD4" s="142" t="s">
        <v>22</v>
      </c>
      <c r="AE4" s="144">
        <v>0.9</v>
      </c>
      <c r="AF4" s="144">
        <v>0.94099999999999995</v>
      </c>
      <c r="AG4" s="144">
        <v>0.92</v>
      </c>
      <c r="AH4" s="144">
        <v>0.77</v>
      </c>
      <c r="AI4" s="144">
        <v>0.83</v>
      </c>
      <c r="AJ4" s="144">
        <v>0.84</v>
      </c>
      <c r="AK4" s="144">
        <v>0.86</v>
      </c>
      <c r="AL4" s="144">
        <v>0.87</v>
      </c>
      <c r="AM4" s="144">
        <v>0.90361445783132532</v>
      </c>
      <c r="AN4" s="144">
        <v>0.81614349775784756</v>
      </c>
    </row>
    <row r="5" spans="1:40" ht="29.25" thickBot="1">
      <c r="A5" s="236"/>
      <c r="B5" s="223"/>
      <c r="C5" s="228"/>
      <c r="D5" s="228"/>
      <c r="E5" s="228"/>
      <c r="F5" s="228"/>
      <c r="G5" s="218"/>
      <c r="H5" s="220"/>
      <c r="I5" s="214"/>
      <c r="J5" s="216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40">
        <f t="shared" si="0"/>
        <v>2.8299999999999983</v>
      </c>
      <c r="R5" s="141"/>
      <c r="S5" s="141"/>
      <c r="T5" s="141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41"/>
      <c r="AD5" s="142" t="s">
        <v>362</v>
      </c>
      <c r="AE5" s="145">
        <v>1.6400000000000001E-2</v>
      </c>
      <c r="AF5" s="145">
        <v>1.2500000000000001E-2</v>
      </c>
      <c r="AG5" s="145">
        <v>1.23E-2</v>
      </c>
      <c r="AH5" s="145">
        <v>2.2200000000000001E-2</v>
      </c>
      <c r="AI5" s="145">
        <v>1.72E-2</v>
      </c>
      <c r="AJ5" s="145">
        <v>1.5900000000000001E-2</v>
      </c>
      <c r="AK5" s="145">
        <v>1.4999999999999999E-2</v>
      </c>
      <c r="AL5" s="145">
        <v>1.4800000000000001E-2</v>
      </c>
      <c r="AM5" s="145">
        <v>1.24E-2</v>
      </c>
      <c r="AN5" s="145">
        <v>0</v>
      </c>
    </row>
    <row r="6" spans="1:40" ht="15.75" thickBot="1">
      <c r="A6" s="236"/>
      <c r="B6" s="221" t="s">
        <v>39</v>
      </c>
      <c r="C6" s="224">
        <f>+ROUND(AVERAGE(M6:M11),0)</f>
        <v>86</v>
      </c>
      <c r="D6" s="224">
        <f>+ROUND(AVERAGE(N6:N11),0)</f>
        <v>82</v>
      </c>
      <c r="E6" s="224">
        <f>+ROUND(AVERAGE(O6:O11),0)</f>
        <v>89</v>
      </c>
      <c r="F6" s="224">
        <f>+ROUND(AVERAGE(P6:P11),0)</f>
        <v>80</v>
      </c>
      <c r="G6" s="229">
        <f>+C6-E6</f>
        <v>-3</v>
      </c>
      <c r="H6" s="232">
        <f>+C6-F6</f>
        <v>6</v>
      </c>
      <c r="I6" s="213" t="s">
        <v>39</v>
      </c>
      <c r="J6" s="215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40">
        <f t="shared" si="0"/>
        <v>2.6800000000000068</v>
      </c>
      <c r="R6" s="141"/>
      <c r="S6" s="141"/>
      <c r="T6" s="141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41"/>
      <c r="AD6" s="142" t="s">
        <v>23</v>
      </c>
      <c r="AE6" s="146">
        <v>41081</v>
      </c>
      <c r="AF6" s="146">
        <v>41078</v>
      </c>
      <c r="AG6" s="146">
        <v>41076</v>
      </c>
      <c r="AH6" s="146">
        <v>41088</v>
      </c>
      <c r="AI6" s="146">
        <v>41112</v>
      </c>
      <c r="AJ6" s="146">
        <v>41117</v>
      </c>
      <c r="AK6" s="146">
        <v>41484</v>
      </c>
      <c r="AL6" s="146">
        <v>41827</v>
      </c>
      <c r="AM6" s="146">
        <v>42193</v>
      </c>
      <c r="AN6" s="146">
        <v>42559</v>
      </c>
    </row>
    <row r="7" spans="1:40" ht="15.75" thickBot="1">
      <c r="A7" s="236"/>
      <c r="B7" s="222"/>
      <c r="C7" s="225"/>
      <c r="D7" s="225"/>
      <c r="E7" s="225"/>
      <c r="F7" s="225"/>
      <c r="G7" s="230"/>
      <c r="H7" s="233"/>
      <c r="I7" s="213"/>
      <c r="J7" s="215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40">
        <f t="shared" si="0"/>
        <v>3.8200000000000074</v>
      </c>
      <c r="R7" s="141"/>
      <c r="S7" s="141"/>
      <c r="T7" s="141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41"/>
      <c r="AD7" s="142" t="s">
        <v>24</v>
      </c>
      <c r="AE7" s="143" t="s">
        <v>25</v>
      </c>
      <c r="AF7" s="143" t="s">
        <v>25</v>
      </c>
      <c r="AG7" s="143" t="s">
        <v>25</v>
      </c>
      <c r="AH7" s="143" t="s">
        <v>25</v>
      </c>
      <c r="AI7" s="143" t="s">
        <v>25</v>
      </c>
      <c r="AJ7" s="143" t="s">
        <v>25</v>
      </c>
      <c r="AK7" s="143" t="s">
        <v>25</v>
      </c>
      <c r="AL7" s="143" t="s">
        <v>25</v>
      </c>
      <c r="AM7" s="143" t="s">
        <v>25</v>
      </c>
      <c r="AN7" s="143" t="s">
        <v>25</v>
      </c>
    </row>
    <row r="8" spans="1:40" ht="15.75" thickBot="1">
      <c r="A8" s="236"/>
      <c r="B8" s="222"/>
      <c r="C8" s="225"/>
      <c r="D8" s="225"/>
      <c r="E8" s="225"/>
      <c r="F8" s="225"/>
      <c r="G8" s="230"/>
      <c r="H8" s="233"/>
      <c r="I8" s="213"/>
      <c r="J8" s="216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40">
        <f t="shared" si="0"/>
        <v>3.8299999999999983</v>
      </c>
      <c r="R8" s="141"/>
      <c r="S8" s="141"/>
      <c r="T8" s="141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</row>
    <row r="9" spans="1:40" ht="28.5">
      <c r="A9" s="236"/>
      <c r="B9" s="222"/>
      <c r="C9" s="225"/>
      <c r="D9" s="225"/>
      <c r="E9" s="225"/>
      <c r="F9" s="225"/>
      <c r="G9" s="230"/>
      <c r="H9" s="233"/>
      <c r="I9" s="213"/>
      <c r="J9" s="215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40">
        <f t="shared" si="0"/>
        <v>4.5900000000000034</v>
      </c>
      <c r="R9" s="141"/>
      <c r="S9" s="141"/>
      <c r="T9" s="141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</row>
    <row r="10" spans="1:40" ht="15.75" thickBot="1">
      <c r="A10" s="236"/>
      <c r="B10" s="222"/>
      <c r="C10" s="225"/>
      <c r="D10" s="225"/>
      <c r="E10" s="225"/>
      <c r="F10" s="225"/>
      <c r="G10" s="230"/>
      <c r="H10" s="233"/>
      <c r="I10" s="213"/>
      <c r="J10" s="216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40">
        <f t="shared" si="0"/>
        <v>2.7900000000000063</v>
      </c>
      <c r="R10" s="141"/>
      <c r="S10" s="141"/>
      <c r="T10" s="141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</row>
    <row r="11" spans="1:40" ht="15.75" thickBot="1">
      <c r="A11" s="236"/>
      <c r="B11" s="223"/>
      <c r="C11" s="226"/>
      <c r="D11" s="226"/>
      <c r="E11" s="226"/>
      <c r="F11" s="226"/>
      <c r="G11" s="231"/>
      <c r="H11" s="234"/>
      <c r="I11" s="214"/>
      <c r="J11" s="105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40">
        <f t="shared" si="0"/>
        <v>2.9699999999999989</v>
      </c>
      <c r="R11" s="141"/>
      <c r="S11" s="141"/>
      <c r="T11" s="141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</row>
    <row r="12" spans="1:40">
      <c r="A12" s="236"/>
      <c r="B12" s="221" t="s">
        <v>49</v>
      </c>
      <c r="C12" s="224">
        <f>+ROUND(AVERAGE(M12:M15),0)</f>
        <v>86</v>
      </c>
      <c r="D12" s="224">
        <f>+ROUND(AVERAGE(N12:N15),0)</f>
        <v>82</v>
      </c>
      <c r="E12" s="224">
        <f>+ROUND(AVERAGE(O12:O15),0)</f>
        <v>90</v>
      </c>
      <c r="F12" s="224">
        <f>+ROUND(AVERAGE(P12:P15),0)</f>
        <v>79</v>
      </c>
      <c r="G12" s="229">
        <f>+C12-E12</f>
        <v>-4</v>
      </c>
      <c r="H12" s="232">
        <f>+C12-F12</f>
        <v>7</v>
      </c>
      <c r="I12" s="213" t="s">
        <v>49</v>
      </c>
      <c r="J12" s="215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40">
        <f t="shared" si="0"/>
        <v>3.1600000000000108</v>
      </c>
      <c r="R12" s="141"/>
      <c r="S12" s="141"/>
      <c r="T12" s="141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</row>
    <row r="13" spans="1:40">
      <c r="A13" s="236"/>
      <c r="B13" s="222"/>
      <c r="C13" s="225"/>
      <c r="D13" s="225"/>
      <c r="E13" s="225"/>
      <c r="F13" s="225"/>
      <c r="G13" s="230"/>
      <c r="H13" s="233"/>
      <c r="I13" s="213"/>
      <c r="J13" s="215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40">
        <f t="shared" si="0"/>
        <v>3.519999999999996</v>
      </c>
      <c r="R13" s="141"/>
      <c r="S13" s="141"/>
      <c r="T13" s="141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</row>
    <row r="14" spans="1:40" ht="15.75" thickBot="1">
      <c r="A14" s="236"/>
      <c r="B14" s="222"/>
      <c r="C14" s="225"/>
      <c r="D14" s="225"/>
      <c r="E14" s="225"/>
      <c r="F14" s="225"/>
      <c r="G14" s="230"/>
      <c r="H14" s="233"/>
      <c r="I14" s="213"/>
      <c r="J14" s="216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40">
        <f t="shared" si="0"/>
        <v>4.2000000000000028</v>
      </c>
      <c r="R14" s="141"/>
      <c r="S14" s="141"/>
      <c r="T14" s="141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</row>
    <row r="15" spans="1:40" ht="15.75" thickBot="1">
      <c r="A15" s="237"/>
      <c r="B15" s="238"/>
      <c r="C15" s="239"/>
      <c r="D15" s="239"/>
      <c r="E15" s="239"/>
      <c r="F15" s="239"/>
      <c r="G15" s="240"/>
      <c r="H15" s="241"/>
      <c r="I15" s="214"/>
      <c r="J15" s="105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40">
        <f t="shared" si="0"/>
        <v>2.1700000000000017</v>
      </c>
      <c r="R15" s="141"/>
      <c r="S15" s="141"/>
      <c r="T15" s="141">
        <v>2004</v>
      </c>
      <c r="U15" s="47"/>
      <c r="V15" s="47"/>
      <c r="W15" s="47"/>
      <c r="X15" s="47"/>
      <c r="Y15" s="47"/>
      <c r="Z15" s="47"/>
      <c r="AA15" s="47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</row>
    <row r="16" spans="1:40" ht="43.5" thickBot="1">
      <c r="A16" s="122" t="s">
        <v>349</v>
      </c>
      <c r="B16" s="122" t="s">
        <v>27</v>
      </c>
      <c r="C16" s="123">
        <v>2016</v>
      </c>
      <c r="D16" s="123">
        <v>2015</v>
      </c>
      <c r="E16" s="124" t="s">
        <v>28</v>
      </c>
      <c r="F16" s="124" t="s">
        <v>29</v>
      </c>
      <c r="G16" s="123" t="s">
        <v>30</v>
      </c>
      <c r="H16" s="125" t="s">
        <v>31</v>
      </c>
      <c r="I16" s="126" t="s">
        <v>350</v>
      </c>
      <c r="J16" s="127"/>
      <c r="K16" s="127" t="s">
        <v>351</v>
      </c>
      <c r="L16" s="127" t="s">
        <v>352</v>
      </c>
      <c r="M16" s="128">
        <v>2016</v>
      </c>
      <c r="N16" s="128">
        <v>2015</v>
      </c>
      <c r="O16" s="128" t="s">
        <v>28</v>
      </c>
      <c r="P16" s="128" t="s">
        <v>29</v>
      </c>
      <c r="Q16" s="140"/>
      <c r="R16" s="130"/>
      <c r="S16" s="130"/>
      <c r="T16" s="141">
        <v>2003</v>
      </c>
      <c r="U16" s="47"/>
      <c r="V16" s="47"/>
      <c r="W16" s="47"/>
      <c r="X16" s="47"/>
      <c r="Y16" s="47"/>
      <c r="Z16" s="47"/>
      <c r="AA16" s="47"/>
      <c r="AB16" s="141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</row>
    <row r="17" spans="1:40">
      <c r="A17" s="235" t="s">
        <v>363</v>
      </c>
      <c r="B17" s="221" t="s">
        <v>56</v>
      </c>
      <c r="C17" s="224">
        <f>+ROUND(AVERAGE(M17:M20),0)</f>
        <v>82</v>
      </c>
      <c r="D17" s="224">
        <f>+ROUND(AVERAGE(N17:N20),0)</f>
        <v>79</v>
      </c>
      <c r="E17" s="224">
        <f>+ROUND(AVERAGE(O17:O20),0)</f>
        <v>89</v>
      </c>
      <c r="F17" s="224">
        <f>+ROUND(AVERAGE(P17:P20),0)</f>
        <v>77</v>
      </c>
      <c r="G17" s="229">
        <f>+C17-E17</f>
        <v>-7</v>
      </c>
      <c r="H17" s="232">
        <f>+C17-F17</f>
        <v>5</v>
      </c>
      <c r="I17" s="242" t="s">
        <v>56</v>
      </c>
      <c r="J17" s="245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40">
        <f t="shared" si="0"/>
        <v>1.6199999999999903</v>
      </c>
      <c r="R17" s="141"/>
      <c r="S17" s="141"/>
      <c r="T17" s="141">
        <v>2002</v>
      </c>
      <c r="U17" s="47"/>
      <c r="V17" s="47"/>
      <c r="W17" s="47"/>
      <c r="X17" s="47"/>
      <c r="Y17" s="47"/>
      <c r="Z17" s="47"/>
      <c r="AA17" s="47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</row>
    <row r="18" spans="1:40" ht="15.75" thickBot="1">
      <c r="A18" s="235"/>
      <c r="B18" s="222"/>
      <c r="C18" s="225"/>
      <c r="D18" s="225"/>
      <c r="E18" s="225"/>
      <c r="F18" s="225"/>
      <c r="G18" s="230"/>
      <c r="H18" s="233"/>
      <c r="I18" s="243"/>
      <c r="J18" s="246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40">
        <f t="shared" si="0"/>
        <v>3.9000000000000057</v>
      </c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</row>
    <row r="19" spans="1:40">
      <c r="A19" s="235"/>
      <c r="B19" s="222"/>
      <c r="C19" s="225"/>
      <c r="D19" s="225"/>
      <c r="E19" s="225"/>
      <c r="F19" s="225"/>
      <c r="G19" s="230"/>
      <c r="H19" s="233"/>
      <c r="I19" s="243"/>
      <c r="J19" s="247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40">
        <f t="shared" si="0"/>
        <v>3.8199999999999932</v>
      </c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</row>
    <row r="20" spans="1:40" ht="15.75" thickBot="1">
      <c r="A20" s="235"/>
      <c r="B20" s="223"/>
      <c r="C20" s="226"/>
      <c r="D20" s="226"/>
      <c r="E20" s="226"/>
      <c r="F20" s="226"/>
      <c r="G20" s="231"/>
      <c r="H20" s="234"/>
      <c r="I20" s="244"/>
      <c r="J20" s="246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40">
        <f t="shared" si="0"/>
        <v>3.710000000000008</v>
      </c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</row>
    <row r="21" spans="1:40" ht="28.5">
      <c r="A21" s="235"/>
      <c r="B21" s="221" t="s">
        <v>63</v>
      </c>
      <c r="C21" s="224">
        <f>+ROUND(AVERAGE(M21:M22),0)</f>
        <v>81</v>
      </c>
      <c r="D21" s="224">
        <f>+ROUND(AVERAGE(N21:N22),0)</f>
        <v>77</v>
      </c>
      <c r="E21" s="224">
        <f>+ROUND(AVERAGE(O21:O22),0)</f>
        <v>87</v>
      </c>
      <c r="F21" s="224">
        <f>+ROUND(AVERAGE(P21:P22),0)</f>
        <v>73</v>
      </c>
      <c r="G21" s="229">
        <f>+C21-E21</f>
        <v>-6</v>
      </c>
      <c r="H21" s="232">
        <f>+C21-F21</f>
        <v>8</v>
      </c>
      <c r="I21" s="242" t="s">
        <v>63</v>
      </c>
      <c r="J21" s="247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40">
        <f t="shared" si="0"/>
        <v>3.289999999999992</v>
      </c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</row>
    <row r="22" spans="1:40" ht="29.25" thickBot="1">
      <c r="A22" s="235"/>
      <c r="B22" s="223"/>
      <c r="C22" s="226"/>
      <c r="D22" s="226"/>
      <c r="E22" s="226"/>
      <c r="F22" s="226"/>
      <c r="G22" s="231"/>
      <c r="H22" s="234"/>
      <c r="I22" s="244"/>
      <c r="J22" s="246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40">
        <f t="shared" si="0"/>
        <v>4.5900000000000034</v>
      </c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</row>
    <row r="23" spans="1:40">
      <c r="A23" s="235"/>
      <c r="B23" s="221" t="s">
        <v>67</v>
      </c>
      <c r="C23" s="224">
        <f>+ROUND(AVERAGE(M23:M29),0)</f>
        <v>81</v>
      </c>
      <c r="D23" s="224">
        <f>+ROUND(AVERAGE(N23:N29),0)</f>
        <v>77</v>
      </c>
      <c r="E23" s="224">
        <f>+ROUND(AVERAGE(O23:O29),0)</f>
        <v>89</v>
      </c>
      <c r="F23" s="224">
        <f>+ROUND(AVERAGE(P23:P29),0)</f>
        <v>78</v>
      </c>
      <c r="G23" s="229">
        <f>+C23-E23</f>
        <v>-8</v>
      </c>
      <c r="H23" s="232">
        <f>+C23-F23</f>
        <v>3</v>
      </c>
      <c r="I23" s="242" t="s">
        <v>67</v>
      </c>
      <c r="J23" s="247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40">
        <f t="shared" si="0"/>
        <v>3.25</v>
      </c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</row>
    <row r="24" spans="1:40">
      <c r="A24" s="235"/>
      <c r="B24" s="222"/>
      <c r="C24" s="225"/>
      <c r="D24" s="225"/>
      <c r="E24" s="225"/>
      <c r="F24" s="225"/>
      <c r="G24" s="230"/>
      <c r="H24" s="233"/>
      <c r="I24" s="243"/>
      <c r="J24" s="247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40">
        <f t="shared" si="0"/>
        <v>6.6199999999999974</v>
      </c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</row>
    <row r="25" spans="1:40" ht="15.75" thickBot="1">
      <c r="A25" s="235"/>
      <c r="B25" s="222"/>
      <c r="C25" s="225"/>
      <c r="D25" s="225"/>
      <c r="E25" s="225"/>
      <c r="F25" s="225"/>
      <c r="G25" s="230"/>
      <c r="H25" s="233"/>
      <c r="I25" s="243"/>
      <c r="J25" s="246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40">
        <f t="shared" si="0"/>
        <v>1.2999999999999972</v>
      </c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</row>
    <row r="26" spans="1:40">
      <c r="A26" s="235"/>
      <c r="B26" s="222"/>
      <c r="C26" s="225"/>
      <c r="D26" s="225"/>
      <c r="E26" s="225"/>
      <c r="F26" s="225"/>
      <c r="G26" s="230"/>
      <c r="H26" s="233"/>
      <c r="I26" s="243"/>
      <c r="J26" s="247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40">
        <f t="shared" si="0"/>
        <v>3.980000000000004</v>
      </c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</row>
    <row r="27" spans="1:40">
      <c r="A27" s="235"/>
      <c r="B27" s="222"/>
      <c r="C27" s="225"/>
      <c r="D27" s="225"/>
      <c r="E27" s="225"/>
      <c r="F27" s="225"/>
      <c r="G27" s="230"/>
      <c r="H27" s="233"/>
      <c r="I27" s="243"/>
      <c r="J27" s="247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40">
        <f t="shared" si="0"/>
        <v>5.0999999999999943</v>
      </c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</row>
    <row r="28" spans="1:40">
      <c r="A28" s="235"/>
      <c r="B28" s="222"/>
      <c r="C28" s="225"/>
      <c r="D28" s="225"/>
      <c r="E28" s="225"/>
      <c r="F28" s="225"/>
      <c r="G28" s="230"/>
      <c r="H28" s="233"/>
      <c r="I28" s="243"/>
      <c r="J28" s="247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40">
        <f t="shared" si="0"/>
        <v>3.2000000000000028</v>
      </c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  <c r="AH28" s="141"/>
      <c r="AI28" s="141"/>
      <c r="AJ28" s="141"/>
      <c r="AK28" s="141"/>
      <c r="AL28" s="141"/>
      <c r="AM28" s="141"/>
      <c r="AN28" s="141"/>
    </row>
    <row r="29" spans="1:40" ht="15.75" thickBot="1">
      <c r="A29" s="235"/>
      <c r="B29" s="238"/>
      <c r="C29" s="239"/>
      <c r="D29" s="239"/>
      <c r="E29" s="239"/>
      <c r="F29" s="239"/>
      <c r="G29" s="240"/>
      <c r="H29" s="241"/>
      <c r="I29" s="244"/>
      <c r="J29" s="246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40">
        <f t="shared" si="0"/>
        <v>7.2200000000000131</v>
      </c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</row>
    <row r="30" spans="1:40" ht="44.25" thickTop="1" thickBot="1">
      <c r="A30" s="122" t="s">
        <v>349</v>
      </c>
      <c r="B30" s="122" t="s">
        <v>27</v>
      </c>
      <c r="C30" s="123">
        <v>2016</v>
      </c>
      <c r="D30" s="123">
        <v>2015</v>
      </c>
      <c r="E30" s="124" t="s">
        <v>28</v>
      </c>
      <c r="F30" s="124" t="s">
        <v>29</v>
      </c>
      <c r="G30" s="123" t="s">
        <v>30</v>
      </c>
      <c r="H30" s="125" t="s">
        <v>31</v>
      </c>
      <c r="I30" s="126" t="s">
        <v>350</v>
      </c>
      <c r="J30" s="127"/>
      <c r="K30" s="127" t="s">
        <v>351</v>
      </c>
      <c r="L30" s="127" t="s">
        <v>352</v>
      </c>
      <c r="M30" s="128">
        <v>2016</v>
      </c>
      <c r="N30" s="128">
        <v>2015</v>
      </c>
      <c r="O30" s="128" t="s">
        <v>28</v>
      </c>
      <c r="P30" s="128" t="s">
        <v>29</v>
      </c>
      <c r="Q30" s="14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</row>
    <row r="31" spans="1:40">
      <c r="A31" s="248" t="s">
        <v>364</v>
      </c>
      <c r="B31" s="221" t="s">
        <v>77</v>
      </c>
      <c r="C31" s="224">
        <f>+ROUND(AVERAGE(M31:M34),0)</f>
        <v>69</v>
      </c>
      <c r="D31" s="224">
        <f>+ROUND(AVERAGE(N31:N34),0)</f>
        <v>63</v>
      </c>
      <c r="E31" s="224">
        <f>+ROUND(AVERAGE(O31:O34),0)</f>
        <v>77</v>
      </c>
      <c r="F31" s="224">
        <f>+ROUND(AVERAGE(P31:P34),0)</f>
        <v>65</v>
      </c>
      <c r="G31" s="229">
        <f>+C31-E31</f>
        <v>-8</v>
      </c>
      <c r="H31" s="232">
        <f>+C31-F31</f>
        <v>4</v>
      </c>
      <c r="I31" s="250" t="s">
        <v>77</v>
      </c>
      <c r="J31" s="252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40">
        <f t="shared" si="0"/>
        <v>5.4099999999999966</v>
      </c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</row>
    <row r="32" spans="1:40" ht="15.75" thickBot="1">
      <c r="A32" s="248"/>
      <c r="B32" s="222"/>
      <c r="C32" s="225"/>
      <c r="D32" s="225"/>
      <c r="E32" s="225"/>
      <c r="F32" s="225"/>
      <c r="G32" s="230"/>
      <c r="H32" s="233"/>
      <c r="I32" s="250"/>
      <c r="J32" s="253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40">
        <f t="shared" si="0"/>
        <v>5.6900000000000048</v>
      </c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</row>
    <row r="33" spans="1:40">
      <c r="A33" s="248"/>
      <c r="B33" s="222"/>
      <c r="C33" s="225"/>
      <c r="D33" s="225"/>
      <c r="E33" s="225"/>
      <c r="F33" s="225"/>
      <c r="G33" s="230"/>
      <c r="H33" s="233"/>
      <c r="I33" s="250"/>
      <c r="J33" s="254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40">
        <f t="shared" si="0"/>
        <v>6.9000000000000057</v>
      </c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</row>
    <row r="34" spans="1:40" ht="15.75" thickBot="1">
      <c r="A34" s="248"/>
      <c r="B34" s="223"/>
      <c r="C34" s="226"/>
      <c r="D34" s="226"/>
      <c r="E34" s="226"/>
      <c r="F34" s="226"/>
      <c r="G34" s="230"/>
      <c r="H34" s="234"/>
      <c r="I34" s="251"/>
      <c r="J34" s="255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40">
        <f t="shared" si="0"/>
        <v>2.8100000000000023</v>
      </c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</row>
    <row r="35" spans="1:40">
      <c r="A35" s="248"/>
      <c r="B35" s="256" t="s">
        <v>84</v>
      </c>
      <c r="C35" s="224">
        <f>+ROUND(AVERAGE(M35:M37),0)</f>
        <v>68</v>
      </c>
      <c r="D35" s="224">
        <f>+ROUND(AVERAGE(N35:N37),0)</f>
        <v>62</v>
      </c>
      <c r="E35" s="224">
        <f>+ROUND(AVERAGE(O35:O37),0)</f>
        <v>78</v>
      </c>
      <c r="F35" s="224">
        <f>+ROUND(AVERAGE(P35:P37),0)</f>
        <v>64</v>
      </c>
      <c r="G35" s="259">
        <f>+C35-E35</f>
        <v>-10</v>
      </c>
      <c r="H35" s="232">
        <f>+C35-F35</f>
        <v>4</v>
      </c>
      <c r="I35" s="262" t="s">
        <v>84</v>
      </c>
      <c r="J35" s="262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40">
        <f t="shared" si="0"/>
        <v>5.4400000000000048</v>
      </c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</row>
    <row r="36" spans="1:40">
      <c r="A36" s="248"/>
      <c r="B36" s="257"/>
      <c r="C36" s="225"/>
      <c r="D36" s="225"/>
      <c r="E36" s="225"/>
      <c r="F36" s="225"/>
      <c r="G36" s="260"/>
      <c r="H36" s="233"/>
      <c r="I36" s="263"/>
      <c r="J36" s="263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40">
        <f t="shared" si="0"/>
        <v>4.9699999999999989</v>
      </c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</row>
    <row r="37" spans="1:40" ht="15.75" thickBot="1">
      <c r="A37" s="248"/>
      <c r="B37" s="258"/>
      <c r="C37" s="226"/>
      <c r="D37" s="226"/>
      <c r="E37" s="226"/>
      <c r="F37" s="226"/>
      <c r="G37" s="261"/>
      <c r="H37" s="234"/>
      <c r="I37" s="264"/>
      <c r="J37" s="264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40">
        <f t="shared" si="0"/>
        <v>6.5100000000000051</v>
      </c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</row>
    <row r="38" spans="1:40">
      <c r="A38" s="248"/>
      <c r="B38" s="221" t="s">
        <v>88</v>
      </c>
      <c r="C38" s="224">
        <f>+ROUND(AVERAGE(M38:M42),0)</f>
        <v>91</v>
      </c>
      <c r="D38" s="224">
        <f>+ROUND(AVERAGE(N38:N42),0)</f>
        <v>89</v>
      </c>
      <c r="E38" s="224">
        <f>+ROUND(AVERAGE(O38:O42),0)</f>
        <v>96</v>
      </c>
      <c r="F38" s="224">
        <f>+ROUND(AVERAGE(P38:P42),0)</f>
        <v>91</v>
      </c>
      <c r="G38" s="267">
        <f>+C38-E38</f>
        <v>-5</v>
      </c>
      <c r="H38" s="232">
        <f>+C38-F38</f>
        <v>0</v>
      </c>
      <c r="I38" s="270" t="s">
        <v>88</v>
      </c>
      <c r="J38" s="254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40">
        <f t="shared" si="0"/>
        <v>3.4000000000000057</v>
      </c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</row>
    <row r="39" spans="1:40">
      <c r="A39" s="248"/>
      <c r="B39" s="222"/>
      <c r="C39" s="225"/>
      <c r="D39" s="225"/>
      <c r="E39" s="225"/>
      <c r="F39" s="225"/>
      <c r="G39" s="230"/>
      <c r="H39" s="233"/>
      <c r="I39" s="250"/>
      <c r="J39" s="253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40">
        <f t="shared" si="0"/>
        <v>1.5899999999999892</v>
      </c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</row>
    <row r="40" spans="1:40">
      <c r="A40" s="248"/>
      <c r="B40" s="222"/>
      <c r="C40" s="225"/>
      <c r="D40" s="225"/>
      <c r="E40" s="225"/>
      <c r="F40" s="225"/>
      <c r="G40" s="230"/>
      <c r="H40" s="233"/>
      <c r="I40" s="250"/>
      <c r="J40" s="253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40">
        <f t="shared" si="0"/>
        <v>1.769999999999996</v>
      </c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</row>
    <row r="41" spans="1:40" ht="15.75" thickBot="1">
      <c r="A41" s="248"/>
      <c r="B41" s="222"/>
      <c r="C41" s="225"/>
      <c r="D41" s="225"/>
      <c r="E41" s="225"/>
      <c r="F41" s="225"/>
      <c r="G41" s="230"/>
      <c r="H41" s="233"/>
      <c r="I41" s="250"/>
      <c r="J41" s="253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40">
        <f t="shared" si="0"/>
        <v>2.5300000000000011</v>
      </c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</row>
    <row r="42" spans="1:40" ht="29.25" thickBot="1">
      <c r="A42" s="249"/>
      <c r="B42" s="265"/>
      <c r="C42" s="266"/>
      <c r="D42" s="266"/>
      <c r="E42" s="266"/>
      <c r="F42" s="266"/>
      <c r="G42" s="268"/>
      <c r="H42" s="269"/>
      <c r="I42" s="251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40">
        <f t="shared" si="0"/>
        <v>3.6099999999999994</v>
      </c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</row>
    <row r="43" spans="1:40" ht="44.25" thickTop="1" thickBot="1">
      <c r="A43" s="122" t="s">
        <v>349</v>
      </c>
      <c r="B43" s="122" t="s">
        <v>27</v>
      </c>
      <c r="C43" s="123">
        <v>2016</v>
      </c>
      <c r="D43" s="123">
        <v>2015</v>
      </c>
      <c r="E43" s="124" t="s">
        <v>28</v>
      </c>
      <c r="F43" s="124" t="s">
        <v>29</v>
      </c>
      <c r="G43" s="123" t="s">
        <v>30</v>
      </c>
      <c r="H43" s="125" t="s">
        <v>31</v>
      </c>
      <c r="I43" s="126" t="s">
        <v>350</v>
      </c>
      <c r="J43" s="127"/>
      <c r="K43" s="127" t="s">
        <v>351</v>
      </c>
      <c r="L43" s="127" t="s">
        <v>352</v>
      </c>
      <c r="M43" s="128">
        <v>2016</v>
      </c>
      <c r="N43" s="128">
        <v>2015</v>
      </c>
      <c r="O43" s="128" t="s">
        <v>28</v>
      </c>
      <c r="P43" s="128" t="s">
        <v>29</v>
      </c>
      <c r="Q43" s="14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130"/>
      <c r="AI43" s="130"/>
      <c r="AJ43" s="130"/>
      <c r="AK43" s="130"/>
      <c r="AL43" s="130"/>
      <c r="AM43" s="130"/>
      <c r="AN43" s="130"/>
    </row>
    <row r="44" spans="1:40">
      <c r="A44" s="271" t="s">
        <v>365</v>
      </c>
      <c r="B44" s="273" t="s">
        <v>96</v>
      </c>
      <c r="C44" s="225">
        <f>+ROUND(AVERAGE(M44:M45),0)</f>
        <v>81</v>
      </c>
      <c r="D44" s="225">
        <f>+ROUND(AVERAGE(N44:N45),0)</f>
        <v>76</v>
      </c>
      <c r="E44" s="225">
        <f>+ROUND(AVERAGE(O44:O45),0)</f>
        <v>88</v>
      </c>
      <c r="F44" s="225">
        <f>+ROUND(AVERAGE(P44:P45),0)</f>
        <v>77</v>
      </c>
      <c r="G44" s="275">
        <f>+C44-E44</f>
        <v>-7</v>
      </c>
      <c r="H44" s="233">
        <f>+C44-F44</f>
        <v>4</v>
      </c>
      <c r="I44" s="277" t="s">
        <v>96</v>
      </c>
      <c r="J44" s="278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40">
        <f t="shared" si="0"/>
        <v>3.2800000000000011</v>
      </c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</row>
    <row r="45" spans="1:40" ht="15.75" thickBot="1">
      <c r="A45" s="271"/>
      <c r="B45" s="274"/>
      <c r="C45" s="226"/>
      <c r="D45" s="226"/>
      <c r="E45" s="226"/>
      <c r="F45" s="226"/>
      <c r="G45" s="276"/>
      <c r="H45" s="234"/>
      <c r="I45" s="279"/>
      <c r="J45" s="280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40">
        <f t="shared" si="0"/>
        <v>5.3799999999999955</v>
      </c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</row>
    <row r="46" spans="1:40">
      <c r="A46" s="271"/>
      <c r="B46" s="281" t="s">
        <v>99</v>
      </c>
      <c r="C46" s="224">
        <f>+ROUND(AVERAGE(M46:M47),0)</f>
        <v>84</v>
      </c>
      <c r="D46" s="224">
        <f>+ROUND(AVERAGE(N46:N47),0)</f>
        <v>79</v>
      </c>
      <c r="E46" s="224">
        <f>+ROUND(AVERAGE(O46:O47),0)</f>
        <v>91</v>
      </c>
      <c r="F46" s="224">
        <f>+ROUND(AVERAGE(P46:P47),0)</f>
        <v>80</v>
      </c>
      <c r="G46" s="282">
        <f>+C46-E46</f>
        <v>-7</v>
      </c>
      <c r="H46" s="232">
        <f>+C46-F46</f>
        <v>4</v>
      </c>
      <c r="I46" s="277" t="s">
        <v>99</v>
      </c>
      <c r="J46" s="278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40">
        <f t="shared" si="0"/>
        <v>3.1400000000000006</v>
      </c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</row>
    <row r="47" spans="1:40" ht="15.75" thickBot="1">
      <c r="A47" s="271"/>
      <c r="B47" s="274"/>
      <c r="C47" s="226"/>
      <c r="D47" s="226"/>
      <c r="E47" s="226"/>
      <c r="F47" s="226"/>
      <c r="G47" s="276"/>
      <c r="H47" s="234"/>
      <c r="I47" s="279"/>
      <c r="J47" s="280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40">
        <f t="shared" si="0"/>
        <v>5.8900000000000006</v>
      </c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</row>
    <row r="48" spans="1:40">
      <c r="A48" s="271"/>
      <c r="B48" s="281" t="s">
        <v>102</v>
      </c>
      <c r="C48" s="224">
        <f>+ROUND(AVERAGE(M48:M51),0)</f>
        <v>84</v>
      </c>
      <c r="D48" s="224">
        <f>+ROUND(AVERAGE(N48:N51),0)</f>
        <v>79</v>
      </c>
      <c r="E48" s="224">
        <f>+ROUND(AVERAGE(O48:O51),0)</f>
        <v>91</v>
      </c>
      <c r="F48" s="224">
        <f>+ROUND(AVERAGE(P48:P51),0)</f>
        <v>82</v>
      </c>
      <c r="G48" s="282">
        <f>+C48-E48</f>
        <v>-7</v>
      </c>
      <c r="H48" s="232">
        <f>+C48-F48</f>
        <v>2</v>
      </c>
      <c r="I48" s="277" t="s">
        <v>102</v>
      </c>
      <c r="J48" s="278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40">
        <f t="shared" si="0"/>
        <v>3.9099999999999966</v>
      </c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</row>
    <row r="49" spans="1:40">
      <c r="A49" s="271"/>
      <c r="B49" s="273"/>
      <c r="C49" s="225"/>
      <c r="D49" s="225"/>
      <c r="E49" s="225"/>
      <c r="F49" s="225"/>
      <c r="G49" s="260"/>
      <c r="H49" s="233"/>
      <c r="I49" s="284"/>
      <c r="J49" s="285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40">
        <f t="shared" si="0"/>
        <v>4.2700000000000102</v>
      </c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</row>
    <row r="50" spans="1:40">
      <c r="A50" s="271"/>
      <c r="B50" s="273"/>
      <c r="C50" s="225"/>
      <c r="D50" s="225"/>
      <c r="E50" s="225"/>
      <c r="F50" s="225"/>
      <c r="G50" s="260"/>
      <c r="H50" s="233"/>
      <c r="I50" s="284"/>
      <c r="J50" s="285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40">
        <f t="shared" si="0"/>
        <v>7.4200000000000017</v>
      </c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</row>
    <row r="51" spans="1:40" ht="15.75" thickBot="1">
      <c r="A51" s="272"/>
      <c r="B51" s="290"/>
      <c r="C51" s="291"/>
      <c r="D51" s="291"/>
      <c r="E51" s="291"/>
      <c r="F51" s="291"/>
      <c r="G51" s="292"/>
      <c r="H51" s="283"/>
      <c r="I51" s="279"/>
      <c r="J51" s="280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40">
        <f t="shared" si="0"/>
        <v>4.7999999999999972</v>
      </c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</row>
    <row r="52" spans="1:40" ht="43.5" thickBot="1">
      <c r="A52" s="122" t="s">
        <v>349</v>
      </c>
      <c r="B52" s="122" t="s">
        <v>27</v>
      </c>
      <c r="C52" s="123">
        <v>2016</v>
      </c>
      <c r="D52" s="123">
        <v>2015</v>
      </c>
      <c r="E52" s="124" t="s">
        <v>28</v>
      </c>
      <c r="F52" s="124" t="s">
        <v>29</v>
      </c>
      <c r="G52" s="123" t="s">
        <v>30</v>
      </c>
      <c r="H52" s="125" t="s">
        <v>31</v>
      </c>
      <c r="I52" s="126" t="s">
        <v>350</v>
      </c>
      <c r="J52" s="127"/>
      <c r="K52" s="127" t="s">
        <v>351</v>
      </c>
      <c r="L52" s="127" t="s">
        <v>352</v>
      </c>
      <c r="M52" s="128">
        <v>2016</v>
      </c>
      <c r="N52" s="128">
        <v>2015</v>
      </c>
      <c r="O52" s="128" t="s">
        <v>28</v>
      </c>
      <c r="P52" s="128" t="s">
        <v>29</v>
      </c>
      <c r="Q52" s="14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</row>
    <row r="53" spans="1:40">
      <c r="A53" s="286" t="s">
        <v>366</v>
      </c>
      <c r="B53" s="288" t="s">
        <v>107</v>
      </c>
      <c r="C53" s="225">
        <f>+ROUND(AVERAGE(M53:M55),0)</f>
        <v>87</v>
      </c>
      <c r="D53" s="225">
        <f>+ROUND(AVERAGE(N53:N55),0)</f>
        <v>83</v>
      </c>
      <c r="E53" s="225">
        <f>+ROUND(AVERAGE(O53:O55),0)</f>
        <v>93</v>
      </c>
      <c r="F53" s="225">
        <f>+ROUND(AVERAGE(P53:P55),0)</f>
        <v>84</v>
      </c>
      <c r="G53" s="275">
        <f>+C53-E53</f>
        <v>-6</v>
      </c>
      <c r="H53" s="233">
        <f>+C53-F53</f>
        <v>3</v>
      </c>
      <c r="I53" s="293" t="s">
        <v>107</v>
      </c>
      <c r="J53" s="293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40">
        <f t="shared" si="0"/>
        <v>3.4099999999999966</v>
      </c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</row>
    <row r="54" spans="1:40">
      <c r="A54" s="286"/>
      <c r="B54" s="288"/>
      <c r="C54" s="225"/>
      <c r="D54" s="225"/>
      <c r="E54" s="225"/>
      <c r="F54" s="225"/>
      <c r="G54" s="260"/>
      <c r="H54" s="233"/>
      <c r="I54" s="293"/>
      <c r="J54" s="293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40">
        <f t="shared" si="0"/>
        <v>4.3400000000000034</v>
      </c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</row>
    <row r="55" spans="1:40" ht="15.75" thickBot="1">
      <c r="A55" s="286"/>
      <c r="B55" s="289"/>
      <c r="C55" s="226"/>
      <c r="D55" s="226"/>
      <c r="E55" s="226"/>
      <c r="F55" s="226"/>
      <c r="G55" s="261"/>
      <c r="H55" s="234"/>
      <c r="I55" s="294"/>
      <c r="J55" s="294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40">
        <f t="shared" si="0"/>
        <v>3.7199999999999989</v>
      </c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</row>
    <row r="56" spans="1:40">
      <c r="A56" s="286"/>
      <c r="B56" s="221" t="s">
        <v>111</v>
      </c>
      <c r="C56" s="224">
        <f>+ROUND(AVERAGE(M56:M59),0)</f>
        <v>88</v>
      </c>
      <c r="D56" s="224">
        <f>+ROUND(AVERAGE(N56:N59),0)</f>
        <v>84</v>
      </c>
      <c r="E56" s="224">
        <f>+ROUND(AVERAGE(O56:O59),0)</f>
        <v>94</v>
      </c>
      <c r="F56" s="224">
        <f>+ROUND(AVERAGE(P56:P59),0)</f>
        <v>86</v>
      </c>
      <c r="G56" s="267">
        <f>+C56-E56</f>
        <v>-6</v>
      </c>
      <c r="H56" s="232">
        <f>+C56-F56</f>
        <v>2</v>
      </c>
      <c r="I56" s="295" t="s">
        <v>111</v>
      </c>
      <c r="J56" s="298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40">
        <f t="shared" si="0"/>
        <v>4.4799999999999898</v>
      </c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</row>
    <row r="57" spans="1:40" ht="15.75" thickBot="1">
      <c r="A57" s="286"/>
      <c r="B57" s="222"/>
      <c r="C57" s="225"/>
      <c r="D57" s="225"/>
      <c r="E57" s="225"/>
      <c r="F57" s="225"/>
      <c r="G57" s="230"/>
      <c r="H57" s="233"/>
      <c r="I57" s="296"/>
      <c r="J57" s="299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40">
        <f t="shared" si="0"/>
        <v>5.2599999999999909</v>
      </c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</row>
    <row r="58" spans="1:40">
      <c r="A58" s="286"/>
      <c r="B58" s="222"/>
      <c r="C58" s="225"/>
      <c r="D58" s="225"/>
      <c r="E58" s="225"/>
      <c r="F58" s="225"/>
      <c r="G58" s="230"/>
      <c r="H58" s="233"/>
      <c r="I58" s="296"/>
      <c r="J58" s="298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40">
        <f t="shared" si="0"/>
        <v>2.6800000000000068</v>
      </c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</row>
    <row r="59" spans="1:40" ht="29.25" thickBot="1">
      <c r="A59" s="286"/>
      <c r="B59" s="223"/>
      <c r="C59" s="226"/>
      <c r="D59" s="226"/>
      <c r="E59" s="226"/>
      <c r="F59" s="226"/>
      <c r="G59" s="230"/>
      <c r="H59" s="234"/>
      <c r="I59" s="297"/>
      <c r="J59" s="300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40">
        <f t="shared" si="0"/>
        <v>4.9699999999999989</v>
      </c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</row>
    <row r="60" spans="1:40">
      <c r="A60" s="286"/>
      <c r="B60" s="301" t="s">
        <v>118</v>
      </c>
      <c r="C60" s="224">
        <f>+ROUND(AVERAGE(M60:M62),0)</f>
        <v>82</v>
      </c>
      <c r="D60" s="224">
        <f>+ROUND(AVERAGE(N60:N62),0)</f>
        <v>78</v>
      </c>
      <c r="E60" s="224">
        <f>+ROUND(AVERAGE(O60:O62),0)</f>
        <v>90</v>
      </c>
      <c r="F60" s="224">
        <f>+ROUND(AVERAGE(P60:P62),0)</f>
        <v>78</v>
      </c>
      <c r="G60" s="259">
        <f>+C60-E60</f>
        <v>-8</v>
      </c>
      <c r="H60" s="232">
        <f>+C60-F60</f>
        <v>4</v>
      </c>
      <c r="I60" s="303" t="s">
        <v>118</v>
      </c>
      <c r="J60" s="303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40">
        <f t="shared" si="0"/>
        <v>4.8199999999999932</v>
      </c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</row>
    <row r="61" spans="1:40">
      <c r="A61" s="286"/>
      <c r="B61" s="288"/>
      <c r="C61" s="225"/>
      <c r="D61" s="225"/>
      <c r="E61" s="225"/>
      <c r="F61" s="225"/>
      <c r="G61" s="260"/>
      <c r="H61" s="233"/>
      <c r="I61" s="293"/>
      <c r="J61" s="293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40">
        <f t="shared" si="0"/>
        <v>5.1299999999999955</v>
      </c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</row>
    <row r="62" spans="1:40" ht="15.75" thickBot="1">
      <c r="A62" s="287"/>
      <c r="B62" s="302"/>
      <c r="C62" s="239"/>
      <c r="D62" s="239"/>
      <c r="E62" s="239"/>
      <c r="F62" s="239"/>
      <c r="G62" s="261"/>
      <c r="H62" s="241"/>
      <c r="I62" s="294"/>
      <c r="J62" s="294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40">
        <f t="shared" si="0"/>
        <v>4.4399999999999977</v>
      </c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</row>
    <row r="63" spans="1:40" ht="43.5" thickBot="1">
      <c r="A63" s="122" t="s">
        <v>349</v>
      </c>
      <c r="B63" s="122" t="s">
        <v>27</v>
      </c>
      <c r="C63" s="123">
        <v>2016</v>
      </c>
      <c r="D63" s="123">
        <v>2015</v>
      </c>
      <c r="E63" s="124" t="s">
        <v>28</v>
      </c>
      <c r="F63" s="124" t="s">
        <v>29</v>
      </c>
      <c r="G63" s="123" t="s">
        <v>30</v>
      </c>
      <c r="H63" s="125" t="s">
        <v>31</v>
      </c>
      <c r="I63" s="126" t="s">
        <v>350</v>
      </c>
      <c r="J63" s="127"/>
      <c r="K63" s="127" t="s">
        <v>351</v>
      </c>
      <c r="L63" s="127" t="s">
        <v>352</v>
      </c>
      <c r="M63" s="128">
        <v>2016</v>
      </c>
      <c r="N63" s="128">
        <v>2015</v>
      </c>
      <c r="O63" s="128" t="s">
        <v>28</v>
      </c>
      <c r="P63" s="128" t="s">
        <v>29</v>
      </c>
      <c r="Q63" s="14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</row>
    <row r="64" spans="1:40">
      <c r="A64" s="147"/>
      <c r="B64" s="288"/>
      <c r="C64" s="225"/>
      <c r="D64" s="225"/>
      <c r="E64" s="225"/>
      <c r="F64" s="225"/>
      <c r="G64" s="275"/>
      <c r="H64" s="233"/>
      <c r="I64" s="148"/>
      <c r="J64" s="304" t="s">
        <v>367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40">
        <f t="shared" ref="Q64:Q68" si="1">+M64-N64</f>
        <v>-2.3500000000000085</v>
      </c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</row>
    <row r="65" spans="1:40" ht="28.5">
      <c r="A65" s="147"/>
      <c r="B65" s="288"/>
      <c r="C65" s="225"/>
      <c r="D65" s="225"/>
      <c r="E65" s="225"/>
      <c r="F65" s="225"/>
      <c r="G65" s="275"/>
      <c r="H65" s="233"/>
      <c r="I65" s="148"/>
      <c r="J65" s="305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40">
        <f t="shared" si="1"/>
        <v>5.2199999999999989</v>
      </c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</row>
    <row r="66" spans="1:40" ht="28.5">
      <c r="A66" s="147"/>
      <c r="B66" s="288"/>
      <c r="C66" s="225"/>
      <c r="D66" s="225"/>
      <c r="E66" s="225"/>
      <c r="F66" s="225"/>
      <c r="G66" s="275"/>
      <c r="H66" s="233"/>
      <c r="I66" s="148"/>
      <c r="J66" s="305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40">
        <f t="shared" si="1"/>
        <v>3.5700000000000003</v>
      </c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</row>
    <row r="67" spans="1:40" ht="28.5">
      <c r="A67" s="147"/>
      <c r="B67" s="288"/>
      <c r="C67" s="225"/>
      <c r="D67" s="225"/>
      <c r="E67" s="225"/>
      <c r="F67" s="225"/>
      <c r="G67" s="275"/>
      <c r="H67" s="233"/>
      <c r="I67" s="148"/>
      <c r="J67" s="305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40">
        <f t="shared" si="1"/>
        <v>2.7599999999999909</v>
      </c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</row>
    <row r="68" spans="1:40">
      <c r="A68" s="147"/>
      <c r="B68" s="288"/>
      <c r="C68" s="225"/>
      <c r="D68" s="225"/>
      <c r="E68" s="225"/>
      <c r="F68" s="225"/>
      <c r="G68" s="275"/>
      <c r="H68" s="233"/>
      <c r="I68" s="148"/>
      <c r="J68" s="305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40">
        <f t="shared" si="1"/>
        <v>2.2099999999999937</v>
      </c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</row>
    <row r="69" spans="1:40" ht="28.5">
      <c r="A69" s="147"/>
      <c r="B69" s="288"/>
      <c r="C69" s="225"/>
      <c r="D69" s="225"/>
      <c r="E69" s="225"/>
      <c r="F69" s="225"/>
      <c r="G69" s="260"/>
      <c r="H69" s="233"/>
      <c r="I69" s="148"/>
      <c r="J69" s="305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40" t="s">
        <v>10</v>
      </c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</row>
    <row r="70" spans="1:40" ht="29.25" thickBot="1">
      <c r="A70" s="147"/>
      <c r="B70" s="289"/>
      <c r="C70" s="226"/>
      <c r="D70" s="226"/>
      <c r="E70" s="226"/>
      <c r="F70" s="226"/>
      <c r="G70" s="261"/>
      <c r="H70" s="234"/>
      <c r="I70" s="148"/>
      <c r="J70" s="306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40" t="s">
        <v>10</v>
      </c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</row>
    <row r="71" spans="1:40" ht="15.75" thickBot="1">
      <c r="A71" s="147"/>
      <c r="B71" s="141"/>
      <c r="C71" s="141"/>
      <c r="D71" s="141"/>
      <c r="E71" s="141"/>
      <c r="F71" s="141"/>
      <c r="G71" s="141"/>
      <c r="H71" s="141"/>
      <c r="I71" s="148"/>
      <c r="J71" s="141"/>
      <c r="K71" s="130"/>
      <c r="L71" s="141"/>
      <c r="M71" s="141"/>
      <c r="N71" s="149"/>
      <c r="O71" s="141"/>
      <c r="P71" s="141"/>
      <c r="Q71" s="150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</row>
    <row r="72" spans="1:40" ht="29.25" thickBot="1">
      <c r="A72" s="147"/>
      <c r="B72" s="141"/>
      <c r="C72" s="141"/>
      <c r="D72" s="141"/>
      <c r="E72" s="141"/>
      <c r="F72" s="141"/>
      <c r="G72" s="141"/>
      <c r="H72" s="141"/>
      <c r="I72" s="148"/>
      <c r="J72" s="307" t="s">
        <v>368</v>
      </c>
      <c r="K72" s="127" t="s">
        <v>351</v>
      </c>
      <c r="L72" s="127" t="s">
        <v>352</v>
      </c>
      <c r="M72" s="128">
        <v>2016</v>
      </c>
      <c r="N72" s="128">
        <v>2015</v>
      </c>
      <c r="O72" s="128" t="s">
        <v>28</v>
      </c>
      <c r="P72" s="128" t="s">
        <v>29</v>
      </c>
      <c r="Q72" s="150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</row>
    <row r="73" spans="1:40">
      <c r="A73" s="147"/>
      <c r="B73" s="141"/>
      <c r="C73" s="141"/>
      <c r="D73" s="141"/>
      <c r="E73" s="141"/>
      <c r="F73" s="141"/>
      <c r="G73" s="141"/>
      <c r="H73" s="141"/>
      <c r="I73" s="148"/>
      <c r="J73" s="308"/>
      <c r="K73" s="151">
        <v>58</v>
      </c>
      <c r="L73" s="152" t="s">
        <v>16</v>
      </c>
      <c r="M73" s="153">
        <v>84.08</v>
      </c>
      <c r="N73" s="153">
        <v>79.319999999999993</v>
      </c>
      <c r="O73" s="154">
        <v>91.62</v>
      </c>
      <c r="P73" s="153">
        <v>82.28</v>
      </c>
      <c r="Q73" s="150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</row>
    <row r="74" spans="1:40">
      <c r="A74" s="147"/>
      <c r="B74" s="141"/>
      <c r="C74" s="141"/>
      <c r="D74" s="141"/>
      <c r="E74" s="141"/>
      <c r="F74" s="141"/>
      <c r="G74" s="141"/>
      <c r="H74" s="141"/>
      <c r="I74" s="148"/>
      <c r="J74" s="308"/>
      <c r="K74" s="155"/>
      <c r="L74" s="156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50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</row>
    <row r="75" spans="1:40">
      <c r="A75" s="147"/>
      <c r="B75" s="141"/>
      <c r="C75" s="141"/>
      <c r="D75" s="141"/>
      <c r="E75" s="141"/>
      <c r="F75" s="141"/>
      <c r="G75" s="141"/>
      <c r="H75" s="141"/>
      <c r="I75" s="148"/>
      <c r="J75" s="308"/>
      <c r="K75" s="157"/>
      <c r="L75" s="157" t="s">
        <v>369</v>
      </c>
      <c r="M75" s="158">
        <f>+AVERAGE(M2:M15,M17:M29,M31:M42)</f>
        <v>81.966410256410228</v>
      </c>
      <c r="N75" s="158">
        <f t="shared" ref="N75:P75" si="2">+AVERAGE(N2:N15,N17:N29,N31:N42)</f>
        <v>78.171794871794873</v>
      </c>
      <c r="O75" s="158">
        <f t="shared" si="2"/>
        <v>87.772051282051294</v>
      </c>
      <c r="P75" s="158">
        <f t="shared" si="2"/>
        <v>77.366666666666646</v>
      </c>
      <c r="Q75" s="150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</row>
    <row r="76" spans="1:40" ht="15.75" thickBot="1">
      <c r="A76" s="147"/>
      <c r="B76" s="141"/>
      <c r="C76" s="141"/>
      <c r="D76" s="141"/>
      <c r="E76" s="141"/>
      <c r="F76" s="141"/>
      <c r="G76" s="141"/>
      <c r="H76" s="141"/>
      <c r="I76" s="148"/>
      <c r="J76" s="141"/>
      <c r="K76" s="130"/>
      <c r="L76" s="141"/>
      <c r="M76" s="141"/>
      <c r="N76" s="141"/>
      <c r="O76" s="141"/>
      <c r="P76" s="141"/>
      <c r="Q76" s="150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</row>
    <row r="77" spans="1:40" ht="29.25" thickBot="1">
      <c r="A77" s="147"/>
      <c r="B77" s="141"/>
      <c r="C77" s="141"/>
      <c r="D77" s="141"/>
      <c r="E77" s="141"/>
      <c r="F77" s="141"/>
      <c r="G77" s="141"/>
      <c r="H77" s="141"/>
      <c r="I77" s="148"/>
      <c r="J77" s="141"/>
      <c r="K77" s="130"/>
      <c r="L77" s="141"/>
      <c r="M77" s="128">
        <v>2016</v>
      </c>
      <c r="N77" s="128">
        <v>2015</v>
      </c>
      <c r="O77" s="128" t="s">
        <v>28</v>
      </c>
      <c r="P77" s="128" t="s">
        <v>29</v>
      </c>
      <c r="Q77" s="150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</row>
    <row r="78" spans="1:40">
      <c r="A78" s="147"/>
      <c r="B78" s="141"/>
      <c r="C78" s="141"/>
      <c r="D78" s="141"/>
      <c r="E78" s="141"/>
      <c r="F78" s="141"/>
      <c r="G78" s="141"/>
      <c r="H78" s="141"/>
      <c r="I78" s="148"/>
      <c r="J78" s="309" t="s">
        <v>129</v>
      </c>
      <c r="K78" s="159" t="s">
        <v>11</v>
      </c>
      <c r="L78" s="160"/>
      <c r="M78" s="132">
        <v>85.93</v>
      </c>
      <c r="N78" s="132">
        <v>82.67</v>
      </c>
      <c r="O78" s="132">
        <v>89.46</v>
      </c>
      <c r="P78" s="132">
        <v>79.150000000000006</v>
      </c>
      <c r="Q78" s="150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</row>
    <row r="79" spans="1:40">
      <c r="A79" s="147"/>
      <c r="B79" s="141"/>
      <c r="C79" s="141"/>
      <c r="D79" s="141"/>
      <c r="E79" s="141"/>
      <c r="F79" s="141"/>
      <c r="G79" s="141"/>
      <c r="H79" s="141"/>
      <c r="I79" s="148"/>
      <c r="J79" s="309"/>
      <c r="K79" s="159" t="s">
        <v>12</v>
      </c>
      <c r="L79" s="160"/>
      <c r="M79" s="133">
        <v>81.56</v>
      </c>
      <c r="N79" s="133">
        <v>77.59</v>
      </c>
      <c r="O79" s="133">
        <v>88.6</v>
      </c>
      <c r="P79" s="133">
        <v>77.23</v>
      </c>
      <c r="Q79" s="150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</row>
    <row r="80" spans="1:40">
      <c r="A80" s="147"/>
      <c r="B80" s="141"/>
      <c r="C80" s="141"/>
      <c r="D80" s="141"/>
      <c r="E80" s="141"/>
      <c r="F80" s="141"/>
      <c r="G80" s="141"/>
      <c r="H80" s="141"/>
      <c r="I80" s="148"/>
      <c r="J80" s="309"/>
      <c r="K80" s="159" t="s">
        <v>13</v>
      </c>
      <c r="L80" s="160"/>
      <c r="M80" s="134">
        <v>77.78</v>
      </c>
      <c r="N80" s="134">
        <v>73.56</v>
      </c>
      <c r="O80" s="134">
        <v>84.91</v>
      </c>
      <c r="P80" s="134">
        <v>75.44</v>
      </c>
      <c r="Q80" s="150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</row>
    <row r="81" spans="1:40">
      <c r="A81" s="147"/>
      <c r="B81" s="141"/>
      <c r="C81" s="141"/>
      <c r="D81" s="141"/>
      <c r="E81" s="141"/>
      <c r="F81" s="141"/>
      <c r="G81" s="141"/>
      <c r="H81" s="141"/>
      <c r="I81" s="148"/>
      <c r="J81" s="309"/>
      <c r="K81" s="159" t="s">
        <v>14</v>
      </c>
      <c r="L81" s="160"/>
      <c r="M81" s="135">
        <v>83.3</v>
      </c>
      <c r="N81" s="135">
        <v>78.540000000000006</v>
      </c>
      <c r="O81" s="135">
        <v>90.36</v>
      </c>
      <c r="P81" s="135">
        <v>80.28</v>
      </c>
      <c r="Q81" s="150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</row>
    <row r="82" spans="1:40">
      <c r="A82" s="147"/>
      <c r="B82" s="141"/>
      <c r="C82" s="141"/>
      <c r="D82" s="141"/>
      <c r="E82" s="141"/>
      <c r="F82" s="141"/>
      <c r="G82" s="141"/>
      <c r="H82" s="141"/>
      <c r="I82" s="148"/>
      <c r="J82" s="309"/>
      <c r="K82" s="159" t="s">
        <v>15</v>
      </c>
      <c r="L82" s="160"/>
      <c r="M82" s="136">
        <v>86.19</v>
      </c>
      <c r="N82" s="136">
        <v>81.86</v>
      </c>
      <c r="O82" s="136">
        <v>92.63</v>
      </c>
      <c r="P82" s="136">
        <v>83.31</v>
      </c>
      <c r="Q82" s="150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</row>
    <row r="83" spans="1:40">
      <c r="A83" s="147"/>
      <c r="B83" s="141"/>
      <c r="C83" s="141"/>
      <c r="D83" s="141"/>
      <c r="E83" s="141"/>
      <c r="F83" s="141"/>
      <c r="G83" s="141"/>
      <c r="H83" s="141"/>
      <c r="I83" s="148"/>
      <c r="J83" s="141"/>
      <c r="K83" s="130"/>
      <c r="L83" s="141"/>
      <c r="M83" s="141"/>
      <c r="N83" s="141"/>
      <c r="O83" s="141"/>
      <c r="P83" s="141"/>
      <c r="Q83" s="150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</row>
    <row r="84" spans="1:40">
      <c r="A84" s="147"/>
      <c r="B84" s="141"/>
      <c r="C84" s="141"/>
      <c r="D84" s="141"/>
      <c r="E84" s="141"/>
      <c r="F84" s="141"/>
      <c r="G84" s="141"/>
      <c r="H84" s="141"/>
      <c r="I84" s="148"/>
      <c r="J84" s="141"/>
      <c r="K84" s="130"/>
      <c r="L84" s="141"/>
      <c r="M84" s="141"/>
      <c r="N84" s="141"/>
      <c r="O84" s="141"/>
      <c r="P84" s="141"/>
      <c r="Q84" s="150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</row>
    <row r="85" spans="1:40" ht="25.5">
      <c r="A85" s="147"/>
      <c r="B85" s="141"/>
      <c r="C85" s="141"/>
      <c r="D85" s="141"/>
      <c r="E85" s="141"/>
      <c r="F85" s="141"/>
      <c r="G85" s="141"/>
      <c r="H85" s="161" t="s">
        <v>370</v>
      </c>
      <c r="I85" s="162"/>
      <c r="J85" s="162" t="s">
        <v>371</v>
      </c>
      <c r="K85" s="162" t="s">
        <v>351</v>
      </c>
      <c r="L85" s="162" t="s">
        <v>352</v>
      </c>
      <c r="M85" s="162">
        <v>2016</v>
      </c>
      <c r="N85" s="162" t="s">
        <v>372</v>
      </c>
      <c r="O85" s="141"/>
      <c r="P85" s="141"/>
      <c r="Q85" s="150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</row>
    <row r="86" spans="1:40">
      <c r="A86" s="147"/>
      <c r="B86" s="141"/>
      <c r="C86" s="141"/>
      <c r="D86" s="141"/>
      <c r="E86" s="141"/>
      <c r="F86" s="141"/>
      <c r="G86" s="163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41"/>
      <c r="P86" s="141"/>
      <c r="Q86" s="150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</row>
    <row r="87" spans="1:40">
      <c r="A87" s="147"/>
      <c r="B87" s="141"/>
      <c r="C87" s="141"/>
      <c r="D87" s="141"/>
      <c r="E87" s="141"/>
      <c r="F87" s="141"/>
      <c r="G87" s="163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41"/>
      <c r="P87" s="141"/>
      <c r="Q87" s="150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</row>
    <row r="88" spans="1:40">
      <c r="A88" s="147"/>
      <c r="B88" s="141"/>
      <c r="C88" s="141"/>
      <c r="D88" s="141"/>
      <c r="E88" s="141"/>
      <c r="F88" s="141"/>
      <c r="G88" s="163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41"/>
      <c r="P88" s="141"/>
      <c r="Q88" s="150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</row>
    <row r="89" spans="1:40">
      <c r="A89" s="147"/>
      <c r="B89" s="141"/>
      <c r="C89" s="141"/>
      <c r="D89" s="141"/>
      <c r="E89" s="141"/>
      <c r="F89" s="141"/>
      <c r="G89" s="163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41"/>
      <c r="P89" s="141"/>
      <c r="Q89" s="150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</row>
    <row r="90" spans="1:40">
      <c r="A90" s="147"/>
      <c r="B90" s="141"/>
      <c r="C90" s="141"/>
      <c r="D90" s="141"/>
      <c r="E90" s="141"/>
      <c r="F90" s="141"/>
      <c r="G90" s="163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41"/>
      <c r="P90" s="141"/>
      <c r="Q90" s="150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</row>
    <row r="91" spans="1:40" ht="24">
      <c r="A91" s="147"/>
      <c r="B91" s="141"/>
      <c r="C91" s="141"/>
      <c r="D91" s="141"/>
      <c r="E91" s="141"/>
      <c r="F91" s="141"/>
      <c r="G91" s="163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41"/>
      <c r="P91" s="141"/>
      <c r="Q91" s="150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</row>
    <row r="92" spans="1:40">
      <c r="A92" s="147"/>
      <c r="B92" s="141"/>
      <c r="C92" s="141"/>
      <c r="D92" s="141"/>
      <c r="E92" s="141"/>
      <c r="F92" s="141"/>
      <c r="G92" s="163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41"/>
      <c r="P92" s="141"/>
      <c r="Q92" s="150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</row>
    <row r="93" spans="1:40">
      <c r="A93" s="147"/>
      <c r="B93" s="141"/>
      <c r="C93" s="141"/>
      <c r="D93" s="141"/>
      <c r="E93" s="141"/>
      <c r="F93" s="141"/>
      <c r="G93" s="163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41"/>
      <c r="P93" s="141"/>
      <c r="Q93" s="150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</row>
    <row r="94" spans="1:40">
      <c r="A94" s="147"/>
      <c r="B94" s="141"/>
      <c r="C94" s="141"/>
      <c r="D94" s="141"/>
      <c r="E94" s="141"/>
      <c r="F94" s="141"/>
      <c r="G94" s="163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41"/>
      <c r="P94" s="141"/>
      <c r="Q94" s="150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</row>
    <row r="95" spans="1:40">
      <c r="A95" s="147"/>
      <c r="B95" s="141"/>
      <c r="C95" s="141"/>
      <c r="D95" s="141"/>
      <c r="E95" s="141"/>
      <c r="F95" s="141"/>
      <c r="G95" s="163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41"/>
      <c r="P95" s="141"/>
      <c r="Q95" s="150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</row>
    <row r="96" spans="1:40">
      <c r="A96" s="147"/>
      <c r="B96" s="141"/>
      <c r="C96" s="141"/>
      <c r="D96" s="141"/>
      <c r="E96" s="141"/>
      <c r="F96" s="141"/>
      <c r="G96" s="141"/>
      <c r="H96" s="164"/>
      <c r="I96" s="165"/>
      <c r="J96" s="165"/>
      <c r="K96" s="166"/>
      <c r="L96" s="165"/>
      <c r="M96" s="167"/>
      <c r="N96" s="168"/>
      <c r="O96" s="141"/>
      <c r="P96" s="141"/>
      <c r="Q96" s="150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</row>
    <row r="97" spans="1:40" ht="25.5">
      <c r="A97" s="147"/>
      <c r="B97" s="141"/>
      <c r="C97" s="141"/>
      <c r="D97" s="141"/>
      <c r="E97" s="141"/>
      <c r="F97" s="141"/>
      <c r="G97" s="141"/>
      <c r="H97" s="161" t="s">
        <v>370</v>
      </c>
      <c r="I97" s="162"/>
      <c r="J97" s="162" t="s">
        <v>371</v>
      </c>
      <c r="K97" s="162" t="s">
        <v>351</v>
      </c>
      <c r="L97" s="162" t="s">
        <v>352</v>
      </c>
      <c r="M97" s="162">
        <v>2016</v>
      </c>
      <c r="N97" s="162" t="s">
        <v>372</v>
      </c>
      <c r="O97" s="141"/>
      <c r="P97" s="141"/>
      <c r="Q97" s="150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</row>
    <row r="98" spans="1:40">
      <c r="A98" s="147"/>
      <c r="B98" s="141"/>
      <c r="C98" s="141"/>
      <c r="D98" s="141"/>
      <c r="E98" s="141"/>
      <c r="F98" s="141"/>
      <c r="G98" s="163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41"/>
      <c r="P98" s="141"/>
      <c r="Q98" s="150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</row>
    <row r="99" spans="1:40" ht="24">
      <c r="A99" s="147"/>
      <c r="B99" s="141"/>
      <c r="C99" s="141"/>
      <c r="D99" s="141"/>
      <c r="E99" s="141"/>
      <c r="F99" s="141"/>
      <c r="G99" s="163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41"/>
      <c r="P99" s="141"/>
      <c r="Q99" s="150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</row>
    <row r="100" spans="1:40">
      <c r="A100" s="147"/>
      <c r="B100" s="141"/>
      <c r="C100" s="141"/>
      <c r="D100" s="141"/>
      <c r="E100" s="141"/>
      <c r="F100" s="141"/>
      <c r="G100" s="163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41"/>
      <c r="P100" s="141"/>
      <c r="Q100" s="150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</row>
    <row r="101" spans="1:40" ht="24">
      <c r="A101" s="147"/>
      <c r="B101" s="141"/>
      <c r="C101" s="141"/>
      <c r="D101" s="141"/>
      <c r="E101" s="141"/>
      <c r="F101" s="141"/>
      <c r="G101" s="163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41"/>
      <c r="P101" s="141"/>
      <c r="Q101" s="150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</row>
    <row r="102" spans="1:40" ht="24">
      <c r="A102" s="147"/>
      <c r="B102" s="141"/>
      <c r="C102" s="141"/>
      <c r="D102" s="141"/>
      <c r="E102" s="141"/>
      <c r="F102" s="141"/>
      <c r="G102" s="163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41"/>
      <c r="P102" s="141"/>
      <c r="Q102" s="150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</row>
    <row r="103" spans="1:40">
      <c r="A103" s="147"/>
      <c r="B103" s="141"/>
      <c r="C103" s="141"/>
      <c r="D103" s="141"/>
      <c r="E103" s="141"/>
      <c r="F103" s="141"/>
      <c r="G103" s="163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41"/>
      <c r="P103" s="141"/>
      <c r="Q103" s="150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</row>
    <row r="104" spans="1:40" ht="24">
      <c r="A104" s="147"/>
      <c r="B104" s="141"/>
      <c r="C104" s="141"/>
      <c r="D104" s="141"/>
      <c r="E104" s="141"/>
      <c r="F104" s="141"/>
      <c r="G104" s="163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41"/>
      <c r="P104" s="141"/>
      <c r="Q104" s="150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</row>
    <row r="105" spans="1:40" ht="24">
      <c r="A105" s="147"/>
      <c r="B105" s="141"/>
      <c r="C105" s="141"/>
      <c r="D105" s="141"/>
      <c r="E105" s="141"/>
      <c r="F105" s="141"/>
      <c r="G105" s="163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41"/>
      <c r="P105" s="141"/>
      <c r="Q105" s="150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</row>
    <row r="106" spans="1:40">
      <c r="A106" s="147"/>
      <c r="B106" s="141"/>
      <c r="C106" s="141"/>
      <c r="D106" s="141"/>
      <c r="E106" s="141"/>
      <c r="F106" s="141"/>
      <c r="G106" s="163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41"/>
      <c r="P106" s="141"/>
      <c r="Q106" s="150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</row>
    <row r="107" spans="1:40">
      <c r="A107" s="147"/>
      <c r="B107" s="141"/>
      <c r="C107" s="141"/>
      <c r="D107" s="141"/>
      <c r="E107" s="141"/>
      <c r="F107" s="141"/>
      <c r="G107" s="163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41"/>
      <c r="P107" s="141"/>
      <c r="Q107" s="150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7" workbookViewId="0">
      <selection activeCell="C14" sqref="C14:C16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5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270</v>
      </c>
      <c r="C3" s="73">
        <v>2</v>
      </c>
    </row>
    <row r="4" spans="2:8">
      <c r="C4" s="76"/>
    </row>
    <row r="5" spans="2:8">
      <c r="B5" s="80" t="s">
        <v>138</v>
      </c>
      <c r="C5" s="318" t="s">
        <v>444</v>
      </c>
      <c r="D5" s="319"/>
      <c r="E5" s="86" t="s">
        <v>162</v>
      </c>
      <c r="F5" s="86" t="s">
        <v>163</v>
      </c>
      <c r="G5" s="86" t="s">
        <v>244</v>
      </c>
      <c r="H5" s="86" t="s">
        <v>245</v>
      </c>
    </row>
    <row r="6" spans="2:8">
      <c r="B6" s="81" t="s">
        <v>445</v>
      </c>
      <c r="C6" s="178" t="s">
        <v>444</v>
      </c>
      <c r="D6" s="82"/>
      <c r="E6" s="83" t="s">
        <v>446</v>
      </c>
      <c r="F6" s="83" t="s">
        <v>447</v>
      </c>
      <c r="G6" s="83"/>
      <c r="H6" s="83"/>
    </row>
    <row r="7" spans="2:8" ht="15" customHeight="1">
      <c r="B7" s="80" t="s">
        <v>138</v>
      </c>
      <c r="C7" s="318" t="s">
        <v>207</v>
      </c>
      <c r="D7" s="319"/>
      <c r="E7" s="86" t="s">
        <v>162</v>
      </c>
      <c r="F7" s="86" t="s">
        <v>163</v>
      </c>
      <c r="G7" s="86" t="s">
        <v>244</v>
      </c>
      <c r="H7" s="86" t="s">
        <v>245</v>
      </c>
    </row>
    <row r="8" spans="2:8" ht="30">
      <c r="B8" s="81" t="s">
        <v>224</v>
      </c>
      <c r="C8" s="78" t="s">
        <v>208</v>
      </c>
      <c r="D8" s="82"/>
      <c r="E8" s="83" t="s">
        <v>448</v>
      </c>
      <c r="F8" s="83" t="s">
        <v>199</v>
      </c>
      <c r="G8" s="83"/>
      <c r="H8" s="83"/>
    </row>
    <row r="9" spans="2:8" ht="30">
      <c r="B9" s="81" t="s">
        <v>239</v>
      </c>
      <c r="C9" s="78" t="s">
        <v>209</v>
      </c>
      <c r="D9" s="82"/>
      <c r="E9" s="83" t="s">
        <v>283</v>
      </c>
      <c r="F9" s="83" t="s">
        <v>284</v>
      </c>
      <c r="G9" s="83" t="s">
        <v>279</v>
      </c>
      <c r="H9" s="83" t="s">
        <v>280</v>
      </c>
    </row>
    <row r="10" spans="2:8" ht="30.75" customHeight="1">
      <c r="B10" s="81" t="s">
        <v>225</v>
      </c>
      <c r="C10" s="78" t="s">
        <v>222</v>
      </c>
      <c r="D10" s="82"/>
      <c r="E10" s="83" t="s">
        <v>449</v>
      </c>
      <c r="F10" s="83" t="s">
        <v>200</v>
      </c>
      <c r="G10" s="83"/>
      <c r="H10" s="83"/>
    </row>
    <row r="11" spans="2:8" ht="45">
      <c r="B11" s="81" t="s">
        <v>240</v>
      </c>
      <c r="C11" s="78" t="s">
        <v>223</v>
      </c>
      <c r="D11" s="82"/>
      <c r="E11" s="83" t="s">
        <v>281</v>
      </c>
      <c r="F11" s="83" t="s">
        <v>282</v>
      </c>
      <c r="G11" s="83" t="s">
        <v>279</v>
      </c>
      <c r="H11" s="83" t="s">
        <v>280</v>
      </c>
    </row>
    <row r="12" spans="2:8">
      <c r="B12" s="80" t="s">
        <v>138</v>
      </c>
      <c r="C12" s="310" t="s">
        <v>129</v>
      </c>
      <c r="D12" s="315"/>
      <c r="E12" s="86" t="s">
        <v>162</v>
      </c>
      <c r="F12" s="86" t="s">
        <v>163</v>
      </c>
      <c r="G12" s="86" t="s">
        <v>244</v>
      </c>
      <c r="H12" s="86" t="s">
        <v>245</v>
      </c>
    </row>
    <row r="13" spans="2:8">
      <c r="B13" s="320" t="s">
        <v>226</v>
      </c>
      <c r="C13" s="78" t="s">
        <v>348</v>
      </c>
      <c r="D13" s="74" t="s">
        <v>164</v>
      </c>
      <c r="E13" s="84" t="s">
        <v>243</v>
      </c>
      <c r="F13" s="84" t="s">
        <v>246</v>
      </c>
      <c r="G13" s="83"/>
      <c r="H13" s="83"/>
    </row>
    <row r="14" spans="2:8">
      <c r="B14" s="316"/>
      <c r="C14" s="312" t="s">
        <v>164</v>
      </c>
      <c r="D14" s="74" t="s">
        <v>32</v>
      </c>
      <c r="E14" s="84" t="s">
        <v>165</v>
      </c>
      <c r="F14" s="84" t="s">
        <v>166</v>
      </c>
      <c r="G14" s="83"/>
      <c r="H14" s="83"/>
    </row>
    <row r="15" spans="2:8">
      <c r="B15" s="316"/>
      <c r="C15" s="312"/>
      <c r="D15" s="74" t="s">
        <v>39</v>
      </c>
      <c r="E15" s="84" t="s">
        <v>167</v>
      </c>
      <c r="F15" s="84" t="s">
        <v>168</v>
      </c>
      <c r="G15" s="83"/>
      <c r="H15" s="83"/>
    </row>
    <row r="16" spans="2:8">
      <c r="B16" s="317"/>
      <c r="C16" s="312"/>
      <c r="D16" s="74" t="s">
        <v>49</v>
      </c>
      <c r="E16" s="84" t="s">
        <v>169</v>
      </c>
      <c r="F16" s="84" t="s">
        <v>170</v>
      </c>
      <c r="G16" s="83"/>
      <c r="H16" s="83"/>
    </row>
    <row r="17" spans="2:8">
      <c r="B17" s="320" t="s">
        <v>227</v>
      </c>
      <c r="C17" s="78" t="s">
        <v>348</v>
      </c>
      <c r="D17" s="74" t="s">
        <v>171</v>
      </c>
      <c r="E17" s="84" t="s">
        <v>247</v>
      </c>
      <c r="F17" s="84" t="s">
        <v>248</v>
      </c>
      <c r="G17" s="83"/>
      <c r="H17" s="83"/>
    </row>
    <row r="18" spans="2:8">
      <c r="B18" s="316"/>
      <c r="C18" s="313" t="s">
        <v>171</v>
      </c>
      <c r="D18" s="74" t="s">
        <v>56</v>
      </c>
      <c r="E18" s="84" t="s">
        <v>172</v>
      </c>
      <c r="F18" s="84" t="s">
        <v>173</v>
      </c>
      <c r="G18" s="83"/>
      <c r="H18" s="83"/>
    </row>
    <row r="19" spans="2:8">
      <c r="B19" s="316"/>
      <c r="C19" s="314"/>
      <c r="D19" s="82" t="s">
        <v>63</v>
      </c>
      <c r="E19" s="83" t="s">
        <v>174</v>
      </c>
      <c r="F19" s="83" t="s">
        <v>175</v>
      </c>
      <c r="G19" s="83"/>
      <c r="H19" s="83"/>
    </row>
    <row r="20" spans="2:8">
      <c r="B20" s="317"/>
      <c r="C20" s="314"/>
      <c r="D20" s="74" t="s">
        <v>67</v>
      </c>
      <c r="E20" s="84" t="s">
        <v>176</v>
      </c>
      <c r="F20" s="84" t="s">
        <v>177</v>
      </c>
      <c r="G20" s="83"/>
      <c r="H20" s="83"/>
    </row>
    <row r="21" spans="2:8">
      <c r="B21" s="320" t="s">
        <v>228</v>
      </c>
      <c r="C21" s="181" t="s">
        <v>348</v>
      </c>
      <c r="D21" s="74" t="s">
        <v>178</v>
      </c>
      <c r="E21" s="84" t="s">
        <v>249</v>
      </c>
      <c r="F21" s="84" t="s">
        <v>250</v>
      </c>
      <c r="G21" s="83"/>
      <c r="H21" s="83"/>
    </row>
    <row r="22" spans="2:8">
      <c r="B22" s="316"/>
      <c r="C22" s="313" t="s">
        <v>178</v>
      </c>
      <c r="D22" s="74" t="s">
        <v>77</v>
      </c>
      <c r="E22" s="84" t="s">
        <v>179</v>
      </c>
      <c r="F22" s="84" t="s">
        <v>180</v>
      </c>
      <c r="G22" s="83"/>
      <c r="H22" s="83"/>
    </row>
    <row r="23" spans="2:8">
      <c r="B23" s="316"/>
      <c r="C23" s="314"/>
      <c r="D23" s="82" t="s">
        <v>84</v>
      </c>
      <c r="E23" s="83" t="s">
        <v>181</v>
      </c>
      <c r="F23" s="83" t="s">
        <v>182</v>
      </c>
      <c r="G23" s="83"/>
      <c r="H23" s="83"/>
    </row>
    <row r="24" spans="2:8">
      <c r="B24" s="317"/>
      <c r="C24" s="314"/>
      <c r="D24" s="74" t="s">
        <v>88</v>
      </c>
      <c r="E24" s="84" t="s">
        <v>183</v>
      </c>
      <c r="F24" s="84" t="s">
        <v>184</v>
      </c>
      <c r="G24" s="83"/>
      <c r="H24" s="83"/>
    </row>
    <row r="25" spans="2:8" ht="15" customHeight="1">
      <c r="B25" s="320" t="s">
        <v>229</v>
      </c>
      <c r="C25" s="181" t="s">
        <v>348</v>
      </c>
      <c r="D25" s="74" t="s">
        <v>185</v>
      </c>
      <c r="E25" s="84" t="s">
        <v>251</v>
      </c>
      <c r="F25" s="84" t="s">
        <v>252</v>
      </c>
      <c r="G25" s="83"/>
      <c r="H25" s="83"/>
    </row>
    <row r="26" spans="2:8">
      <c r="B26" s="316"/>
      <c r="C26" s="312" t="s">
        <v>185</v>
      </c>
      <c r="D26" s="82" t="s">
        <v>96</v>
      </c>
      <c r="E26" s="83" t="s">
        <v>186</v>
      </c>
      <c r="F26" s="83" t="s">
        <v>187</v>
      </c>
      <c r="G26" s="83"/>
      <c r="H26" s="83"/>
    </row>
    <row r="27" spans="2:8">
      <c r="B27" s="316"/>
      <c r="C27" s="312"/>
      <c r="D27" s="82" t="s">
        <v>99</v>
      </c>
      <c r="E27" s="83" t="s">
        <v>188</v>
      </c>
      <c r="F27" s="83" t="s">
        <v>189</v>
      </c>
      <c r="G27" s="83"/>
      <c r="H27" s="83"/>
    </row>
    <row r="28" spans="2:8">
      <c r="B28" s="317"/>
      <c r="C28" s="312"/>
      <c r="D28" s="82" t="s">
        <v>102</v>
      </c>
      <c r="E28" s="83" t="s">
        <v>190</v>
      </c>
      <c r="F28" s="83" t="s">
        <v>191</v>
      </c>
      <c r="G28" s="83"/>
      <c r="H28" s="83"/>
    </row>
    <row r="29" spans="2:8">
      <c r="B29" s="320" t="s">
        <v>230</v>
      </c>
      <c r="C29" s="181" t="s">
        <v>348</v>
      </c>
      <c r="D29" s="74" t="s">
        <v>192</v>
      </c>
      <c r="E29" s="84" t="s">
        <v>253</v>
      </c>
      <c r="F29" s="84" t="s">
        <v>200</v>
      </c>
      <c r="G29" s="83"/>
      <c r="H29" s="83"/>
    </row>
    <row r="30" spans="2:8">
      <c r="B30" s="316"/>
      <c r="C30" s="312" t="s">
        <v>192</v>
      </c>
      <c r="D30" s="82" t="s">
        <v>107</v>
      </c>
      <c r="E30" s="83" t="s">
        <v>193</v>
      </c>
      <c r="F30" s="83" t="s">
        <v>194</v>
      </c>
      <c r="G30" s="83"/>
      <c r="H30" s="83"/>
    </row>
    <row r="31" spans="2:8">
      <c r="B31" s="316"/>
      <c r="C31" s="312"/>
      <c r="D31" s="74" t="s">
        <v>111</v>
      </c>
      <c r="E31" s="84" t="s">
        <v>195</v>
      </c>
      <c r="F31" s="84" t="s">
        <v>196</v>
      </c>
      <c r="G31" s="83"/>
      <c r="H31" s="83"/>
    </row>
    <row r="32" spans="2:8">
      <c r="B32" s="317"/>
      <c r="C32" s="312"/>
      <c r="D32" s="82" t="s">
        <v>118</v>
      </c>
      <c r="E32" s="83" t="s">
        <v>197</v>
      </c>
      <c r="F32" s="83" t="s">
        <v>198</v>
      </c>
      <c r="G32" s="83"/>
      <c r="H32" s="83"/>
    </row>
    <row r="33" spans="2:8">
      <c r="B33" s="80" t="s">
        <v>138</v>
      </c>
      <c r="C33" s="310" t="s">
        <v>210</v>
      </c>
      <c r="D33" s="315"/>
      <c r="E33" s="86" t="s">
        <v>162</v>
      </c>
      <c r="F33" s="86" t="s">
        <v>163</v>
      </c>
      <c r="G33" s="86" t="s">
        <v>244</v>
      </c>
      <c r="H33" s="86" t="s">
        <v>245</v>
      </c>
    </row>
    <row r="34" spans="2:8">
      <c r="B34" s="81" t="s">
        <v>231</v>
      </c>
      <c r="C34" s="78" t="s">
        <v>164</v>
      </c>
      <c r="D34" s="82" t="s">
        <v>211</v>
      </c>
      <c r="E34" s="83" t="s">
        <v>212</v>
      </c>
      <c r="F34" s="83" t="s">
        <v>213</v>
      </c>
      <c r="G34" s="83"/>
      <c r="H34" s="83"/>
    </row>
    <row r="35" spans="2:8">
      <c r="B35" s="81" t="s">
        <v>232</v>
      </c>
      <c r="C35" s="78" t="s">
        <v>171</v>
      </c>
      <c r="D35" s="82" t="s">
        <v>211</v>
      </c>
      <c r="E35" s="83" t="s">
        <v>214</v>
      </c>
      <c r="F35" s="83" t="s">
        <v>218</v>
      </c>
      <c r="G35" s="83"/>
      <c r="H35" s="83"/>
    </row>
    <row r="36" spans="2:8">
      <c r="B36" s="81" t="s">
        <v>235</v>
      </c>
      <c r="C36" s="78" t="s">
        <v>178</v>
      </c>
      <c r="D36" s="82" t="s">
        <v>211</v>
      </c>
      <c r="E36" s="83" t="s">
        <v>215</v>
      </c>
      <c r="F36" s="83" t="s">
        <v>219</v>
      </c>
      <c r="G36" s="83"/>
      <c r="H36" s="83"/>
    </row>
    <row r="37" spans="2:8">
      <c r="B37" s="81" t="s">
        <v>233</v>
      </c>
      <c r="C37" s="78" t="s">
        <v>185</v>
      </c>
      <c r="D37" s="82" t="s">
        <v>211</v>
      </c>
      <c r="E37" s="83" t="s">
        <v>216</v>
      </c>
      <c r="F37" s="83" t="s">
        <v>220</v>
      </c>
      <c r="G37" s="83"/>
      <c r="H37" s="83"/>
    </row>
    <row r="38" spans="2:8">
      <c r="B38" s="81" t="s">
        <v>234</v>
      </c>
      <c r="C38" s="78" t="s">
        <v>192</v>
      </c>
      <c r="D38" s="82" t="s">
        <v>211</v>
      </c>
      <c r="E38" s="83" t="s">
        <v>217</v>
      </c>
      <c r="F38" s="83" t="s">
        <v>221</v>
      </c>
      <c r="G38" s="83"/>
      <c r="H38" s="83"/>
    </row>
    <row r="39" spans="2:8">
      <c r="B39" s="80" t="s">
        <v>138</v>
      </c>
      <c r="C39" s="310" t="s">
        <v>238</v>
      </c>
      <c r="D39" s="315"/>
      <c r="E39" s="86" t="s">
        <v>162</v>
      </c>
      <c r="F39" s="86" t="s">
        <v>163</v>
      </c>
      <c r="G39" s="86" t="s">
        <v>244</v>
      </c>
      <c r="H39" s="86" t="s">
        <v>245</v>
      </c>
    </row>
    <row r="40" spans="2:8">
      <c r="B40" s="320" t="s">
        <v>269</v>
      </c>
      <c r="C40" s="313" t="s">
        <v>238</v>
      </c>
      <c r="D40" s="74" t="s">
        <v>32</v>
      </c>
      <c r="E40" s="84" t="s">
        <v>254</v>
      </c>
      <c r="F40" s="83"/>
      <c r="G40" s="84" t="s">
        <v>165</v>
      </c>
      <c r="H40" s="83"/>
    </row>
    <row r="41" spans="2:8">
      <c r="B41" s="316"/>
      <c r="C41" s="316"/>
      <c r="D41" s="74" t="s">
        <v>39</v>
      </c>
      <c r="E41" s="84" t="s">
        <v>255</v>
      </c>
      <c r="F41" s="83"/>
      <c r="G41" s="84" t="s">
        <v>167</v>
      </c>
      <c r="H41" s="83"/>
    </row>
    <row r="42" spans="2:8">
      <c r="B42" s="316"/>
      <c r="C42" s="316"/>
      <c r="D42" s="74" t="s">
        <v>49</v>
      </c>
      <c r="E42" s="84" t="s">
        <v>256</v>
      </c>
      <c r="F42" s="83"/>
      <c r="G42" s="84" t="s">
        <v>169</v>
      </c>
      <c r="H42" s="83"/>
    </row>
    <row r="43" spans="2:8">
      <c r="B43" s="316"/>
      <c r="C43" s="316"/>
      <c r="D43" s="74" t="s">
        <v>56</v>
      </c>
      <c r="E43" s="84" t="s">
        <v>257</v>
      </c>
      <c r="F43" s="83"/>
      <c r="G43" s="84" t="s">
        <v>172</v>
      </c>
      <c r="H43" s="83"/>
    </row>
    <row r="44" spans="2:8">
      <c r="B44" s="316"/>
      <c r="C44" s="316"/>
      <c r="D44" s="82" t="s">
        <v>63</v>
      </c>
      <c r="E44" s="83" t="s">
        <v>258</v>
      </c>
      <c r="F44" s="83"/>
      <c r="G44" s="83" t="s">
        <v>174</v>
      </c>
      <c r="H44" s="83"/>
    </row>
    <row r="45" spans="2:8">
      <c r="B45" s="316"/>
      <c r="C45" s="316"/>
      <c r="D45" s="74" t="s">
        <v>67</v>
      </c>
      <c r="E45" s="84" t="s">
        <v>259</v>
      </c>
      <c r="F45" s="83"/>
      <c r="G45" s="84" t="s">
        <v>176</v>
      </c>
      <c r="H45" s="83"/>
    </row>
    <row r="46" spans="2:8">
      <c r="B46" s="316"/>
      <c r="C46" s="316"/>
      <c r="D46" s="74" t="s">
        <v>77</v>
      </c>
      <c r="E46" s="84" t="s">
        <v>260</v>
      </c>
      <c r="F46" s="83"/>
      <c r="G46" s="84" t="s">
        <v>179</v>
      </c>
      <c r="H46" s="83"/>
    </row>
    <row r="47" spans="2:8">
      <c r="B47" s="316"/>
      <c r="C47" s="316"/>
      <c r="D47" s="82" t="s">
        <v>84</v>
      </c>
      <c r="E47" s="83" t="s">
        <v>261</v>
      </c>
      <c r="F47" s="83"/>
      <c r="G47" s="83" t="s">
        <v>181</v>
      </c>
      <c r="H47" s="83"/>
    </row>
    <row r="48" spans="2:8">
      <c r="B48" s="316"/>
      <c r="C48" s="316"/>
      <c r="D48" s="74" t="s">
        <v>88</v>
      </c>
      <c r="E48" s="84" t="s">
        <v>262</v>
      </c>
      <c r="F48" s="83"/>
      <c r="G48" s="84" t="s">
        <v>183</v>
      </c>
      <c r="H48" s="83"/>
    </row>
    <row r="49" spans="2:8">
      <c r="B49" s="316"/>
      <c r="C49" s="316"/>
      <c r="D49" s="82" t="s">
        <v>96</v>
      </c>
      <c r="E49" s="83" t="s">
        <v>263</v>
      </c>
      <c r="F49" s="83"/>
      <c r="G49" s="83" t="s">
        <v>186</v>
      </c>
      <c r="H49" s="83"/>
    </row>
    <row r="50" spans="2:8">
      <c r="B50" s="316"/>
      <c r="C50" s="316"/>
      <c r="D50" s="82" t="s">
        <v>99</v>
      </c>
      <c r="E50" s="83" t="s">
        <v>264</v>
      </c>
      <c r="F50" s="83"/>
      <c r="G50" s="83" t="s">
        <v>188</v>
      </c>
      <c r="H50" s="83"/>
    </row>
    <row r="51" spans="2:8">
      <c r="B51" s="316"/>
      <c r="C51" s="316"/>
      <c r="D51" s="82" t="s">
        <v>102</v>
      </c>
      <c r="E51" s="83" t="s">
        <v>265</v>
      </c>
      <c r="F51" s="83"/>
      <c r="G51" s="83" t="s">
        <v>190</v>
      </c>
      <c r="H51" s="83"/>
    </row>
    <row r="52" spans="2:8">
      <c r="B52" s="316"/>
      <c r="C52" s="316"/>
      <c r="D52" s="82" t="s">
        <v>107</v>
      </c>
      <c r="E52" s="83" t="s">
        <v>266</v>
      </c>
      <c r="F52" s="83"/>
      <c r="G52" s="83" t="s">
        <v>193</v>
      </c>
      <c r="H52" s="83"/>
    </row>
    <row r="53" spans="2:8">
      <c r="B53" s="316"/>
      <c r="C53" s="316"/>
      <c r="D53" s="74" t="s">
        <v>111</v>
      </c>
      <c r="E53" s="84" t="s">
        <v>267</v>
      </c>
      <c r="F53" s="83"/>
      <c r="G53" s="84" t="s">
        <v>195</v>
      </c>
      <c r="H53" s="83"/>
    </row>
    <row r="54" spans="2:8">
      <c r="B54" s="317"/>
      <c r="C54" s="317"/>
      <c r="D54" s="82" t="s">
        <v>118</v>
      </c>
      <c r="E54" s="83" t="s">
        <v>268</v>
      </c>
      <c r="F54" s="83"/>
      <c r="G54" s="83" t="s">
        <v>197</v>
      </c>
      <c r="H54" s="83"/>
    </row>
    <row r="55" spans="2:8">
      <c r="B55" s="320" t="s">
        <v>241</v>
      </c>
      <c r="C55" s="313" t="s">
        <v>238</v>
      </c>
      <c r="D55" s="74" t="s">
        <v>273</v>
      </c>
      <c r="E55" s="84" t="s">
        <v>274</v>
      </c>
      <c r="F55" s="84" t="s">
        <v>275</v>
      </c>
      <c r="G55" s="83"/>
      <c r="H55" s="83"/>
    </row>
    <row r="56" spans="2:8" ht="15" customHeight="1">
      <c r="B56" s="316"/>
      <c r="C56" s="316"/>
      <c r="D56" s="74" t="s">
        <v>32</v>
      </c>
      <c r="E56" s="84" t="s">
        <v>165</v>
      </c>
      <c r="F56" s="84" t="s">
        <v>166</v>
      </c>
      <c r="G56" s="83"/>
      <c r="H56" s="83"/>
    </row>
    <row r="57" spans="2:8">
      <c r="B57" s="316"/>
      <c r="C57" s="316"/>
      <c r="D57" s="74" t="s">
        <v>39</v>
      </c>
      <c r="E57" s="84" t="s">
        <v>167</v>
      </c>
      <c r="F57" s="84" t="s">
        <v>168</v>
      </c>
      <c r="G57" s="83"/>
      <c r="H57" s="83"/>
    </row>
    <row r="58" spans="2:8">
      <c r="B58" s="316"/>
      <c r="C58" s="316"/>
      <c r="D58" s="74" t="s">
        <v>49</v>
      </c>
      <c r="E58" s="84" t="s">
        <v>169</v>
      </c>
      <c r="F58" s="84" t="s">
        <v>170</v>
      </c>
      <c r="G58" s="83"/>
      <c r="H58" s="83"/>
    </row>
    <row r="59" spans="2:8">
      <c r="B59" s="316"/>
      <c r="C59" s="316"/>
      <c r="D59" s="74" t="s">
        <v>56</v>
      </c>
      <c r="E59" s="84" t="s">
        <v>172</v>
      </c>
      <c r="F59" s="84" t="s">
        <v>173</v>
      </c>
      <c r="G59" s="83"/>
      <c r="H59" s="83"/>
    </row>
    <row r="60" spans="2:8">
      <c r="B60" s="316"/>
      <c r="C60" s="316"/>
      <c r="D60" s="82" t="s">
        <v>63</v>
      </c>
      <c r="E60" s="83" t="s">
        <v>174</v>
      </c>
      <c r="F60" s="83" t="s">
        <v>175</v>
      </c>
      <c r="G60" s="83"/>
      <c r="H60" s="83"/>
    </row>
    <row r="61" spans="2:8">
      <c r="B61" s="316"/>
      <c r="C61" s="316"/>
      <c r="D61" s="74" t="s">
        <v>67</v>
      </c>
      <c r="E61" s="84" t="s">
        <v>176</v>
      </c>
      <c r="F61" s="84" t="s">
        <v>177</v>
      </c>
      <c r="G61" s="83"/>
      <c r="H61" s="83"/>
    </row>
    <row r="62" spans="2:8">
      <c r="B62" s="316"/>
      <c r="C62" s="316"/>
      <c r="D62" s="74" t="s">
        <v>77</v>
      </c>
      <c r="E62" s="84" t="s">
        <v>179</v>
      </c>
      <c r="F62" s="84" t="s">
        <v>180</v>
      </c>
      <c r="G62" s="83"/>
      <c r="H62" s="83"/>
    </row>
    <row r="63" spans="2:8">
      <c r="B63" s="316"/>
      <c r="C63" s="316"/>
      <c r="D63" s="82" t="s">
        <v>84</v>
      </c>
      <c r="E63" s="83" t="s">
        <v>181</v>
      </c>
      <c r="F63" s="83" t="s">
        <v>182</v>
      </c>
      <c r="G63" s="83"/>
      <c r="H63" s="83"/>
    </row>
    <row r="64" spans="2:8">
      <c r="B64" s="316"/>
      <c r="C64" s="316"/>
      <c r="D64" s="74" t="s">
        <v>88</v>
      </c>
      <c r="E64" s="84" t="s">
        <v>183</v>
      </c>
      <c r="F64" s="84" t="s">
        <v>184</v>
      </c>
      <c r="G64" s="83"/>
      <c r="H64" s="83"/>
    </row>
    <row r="65" spans="2:8">
      <c r="B65" s="316"/>
      <c r="C65" s="316"/>
      <c r="D65" s="82" t="s">
        <v>96</v>
      </c>
      <c r="E65" s="83" t="s">
        <v>186</v>
      </c>
      <c r="F65" s="83" t="s">
        <v>187</v>
      </c>
      <c r="G65" s="83"/>
      <c r="H65" s="83"/>
    </row>
    <row r="66" spans="2:8" ht="15" customHeight="1">
      <c r="B66" s="316"/>
      <c r="C66" s="316"/>
      <c r="D66" s="82" t="s">
        <v>99</v>
      </c>
      <c r="E66" s="83" t="s">
        <v>188</v>
      </c>
      <c r="F66" s="83" t="s">
        <v>189</v>
      </c>
      <c r="G66" s="83"/>
      <c r="H66" s="83"/>
    </row>
    <row r="67" spans="2:8">
      <c r="B67" s="316"/>
      <c r="C67" s="316"/>
      <c r="D67" s="82" t="s">
        <v>102</v>
      </c>
      <c r="E67" s="83" t="s">
        <v>190</v>
      </c>
      <c r="F67" s="83" t="s">
        <v>191</v>
      </c>
      <c r="G67" s="83"/>
      <c r="H67" s="83"/>
    </row>
    <row r="68" spans="2:8">
      <c r="B68" s="316"/>
      <c r="C68" s="316"/>
      <c r="D68" s="82" t="s">
        <v>107</v>
      </c>
      <c r="E68" s="83" t="s">
        <v>193</v>
      </c>
      <c r="F68" s="83" t="s">
        <v>194</v>
      </c>
      <c r="G68" s="83"/>
      <c r="H68" s="83"/>
    </row>
    <row r="69" spans="2:8">
      <c r="B69" s="316"/>
      <c r="C69" s="316"/>
      <c r="D69" s="74" t="s">
        <v>111</v>
      </c>
      <c r="E69" s="84" t="s">
        <v>195</v>
      </c>
      <c r="F69" s="84" t="s">
        <v>196</v>
      </c>
      <c r="G69" s="83"/>
      <c r="H69" s="83"/>
    </row>
    <row r="70" spans="2:8">
      <c r="B70" s="317"/>
      <c r="C70" s="317"/>
      <c r="D70" s="82" t="s">
        <v>118</v>
      </c>
      <c r="E70" s="83" t="s">
        <v>197</v>
      </c>
      <c r="F70" s="83" t="s">
        <v>198</v>
      </c>
      <c r="G70" s="83"/>
      <c r="H70" s="83"/>
    </row>
    <row r="71" spans="2:8" ht="15" customHeight="1">
      <c r="B71" s="80" t="s">
        <v>138</v>
      </c>
      <c r="C71" s="310" t="s">
        <v>201</v>
      </c>
      <c r="D71" s="311"/>
      <c r="E71" s="86" t="s">
        <v>162</v>
      </c>
      <c r="F71" s="86" t="s">
        <v>163</v>
      </c>
      <c r="G71" s="86" t="s">
        <v>244</v>
      </c>
      <c r="H71" s="86" t="s">
        <v>245</v>
      </c>
    </row>
    <row r="72" spans="2:8">
      <c r="B72" s="81" t="s">
        <v>242</v>
      </c>
      <c r="C72" s="87" t="s">
        <v>202</v>
      </c>
      <c r="D72" s="82" t="s">
        <v>211</v>
      </c>
      <c r="E72" s="83" t="s">
        <v>272</v>
      </c>
      <c r="F72" s="83" t="s">
        <v>271</v>
      </c>
      <c r="G72" s="83"/>
      <c r="H72" s="83"/>
    </row>
    <row r="73" spans="2:8" ht="15" customHeight="1">
      <c r="B73" s="80" t="s">
        <v>138</v>
      </c>
      <c r="C73" s="310" t="s">
        <v>26</v>
      </c>
      <c r="D73" s="311"/>
      <c r="E73" s="86" t="s">
        <v>162</v>
      </c>
      <c r="F73" s="86" t="s">
        <v>163</v>
      </c>
      <c r="G73" s="86" t="s">
        <v>244</v>
      </c>
      <c r="H73" s="86" t="s">
        <v>245</v>
      </c>
    </row>
    <row r="74" spans="2:8">
      <c r="B74" s="81" t="s">
        <v>236</v>
      </c>
      <c r="C74" s="87" t="s">
        <v>203</v>
      </c>
      <c r="D74" s="82" t="s">
        <v>211</v>
      </c>
      <c r="E74" s="83" t="s">
        <v>276</v>
      </c>
      <c r="F74" s="83" t="s">
        <v>205</v>
      </c>
      <c r="G74" s="83"/>
      <c r="H74" s="83"/>
    </row>
    <row r="75" spans="2:8" ht="30">
      <c r="B75" s="81" t="s">
        <v>237</v>
      </c>
      <c r="C75" s="87" t="s">
        <v>204</v>
      </c>
      <c r="D75" s="82" t="s">
        <v>211</v>
      </c>
      <c r="E75" s="83" t="s">
        <v>277</v>
      </c>
      <c r="F75" s="83" t="s">
        <v>206</v>
      </c>
      <c r="G75" s="83"/>
      <c r="H75" s="83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4" sqref="J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1" t="s">
        <v>293</v>
      </c>
      <c r="C2" s="321"/>
      <c r="D2" s="321"/>
      <c r="E2" s="321"/>
      <c r="F2" s="321"/>
      <c r="G2" s="321"/>
      <c r="H2" s="321"/>
      <c r="I2" s="321"/>
      <c r="J2" s="321"/>
    </row>
    <row r="3" spans="2:10" ht="20.100000000000001" customHeight="1">
      <c r="B3" s="101" t="s">
        <v>138</v>
      </c>
      <c r="C3" s="101" t="s">
        <v>294</v>
      </c>
      <c r="D3" s="101" t="s">
        <v>295</v>
      </c>
      <c r="E3" s="101" t="s">
        <v>296</v>
      </c>
      <c r="F3" s="101" t="s">
        <v>297</v>
      </c>
      <c r="G3" s="101" t="s">
        <v>298</v>
      </c>
      <c r="H3" s="101" t="s">
        <v>299</v>
      </c>
      <c r="I3" s="101" t="s">
        <v>300</v>
      </c>
      <c r="J3" s="101" t="s">
        <v>301</v>
      </c>
    </row>
    <row r="4" spans="2:10">
      <c r="B4" s="100" t="s">
        <v>302</v>
      </c>
      <c r="C4" s="100" t="s">
        <v>134</v>
      </c>
      <c r="D4" s="100" t="s">
        <v>137</v>
      </c>
      <c r="E4" s="100" t="s">
        <v>303</v>
      </c>
      <c r="F4" s="100" t="s">
        <v>304</v>
      </c>
      <c r="G4" s="100" t="s">
        <v>305</v>
      </c>
      <c r="H4" s="100" t="s">
        <v>306</v>
      </c>
      <c r="I4" s="100">
        <v>2</v>
      </c>
      <c r="J4" s="104"/>
    </row>
    <row r="5" spans="2:10">
      <c r="B5" s="100" t="s">
        <v>307</v>
      </c>
      <c r="C5" s="100" t="s">
        <v>134</v>
      </c>
      <c r="D5" s="100" t="s">
        <v>137</v>
      </c>
      <c r="E5" s="100" t="s">
        <v>303</v>
      </c>
      <c r="F5" s="100" t="s">
        <v>304</v>
      </c>
      <c r="G5" s="100"/>
      <c r="H5" s="100"/>
      <c r="I5" s="100">
        <v>1</v>
      </c>
      <c r="J5" s="104"/>
    </row>
    <row r="6" spans="2:10">
      <c r="B6" s="100" t="s">
        <v>308</v>
      </c>
      <c r="C6" s="100" t="s">
        <v>135</v>
      </c>
      <c r="D6" s="100" t="s">
        <v>137</v>
      </c>
      <c r="E6" s="100" t="s">
        <v>421</v>
      </c>
      <c r="F6" s="100" t="s">
        <v>309</v>
      </c>
      <c r="G6" s="100" t="s">
        <v>422</v>
      </c>
      <c r="H6" s="100" t="s">
        <v>310</v>
      </c>
      <c r="I6" s="100">
        <v>2</v>
      </c>
      <c r="J6" s="104"/>
    </row>
    <row r="7" spans="2:10">
      <c r="B7" s="100" t="s">
        <v>311</v>
      </c>
      <c r="C7" s="100" t="s">
        <v>135</v>
      </c>
      <c r="D7" s="100" t="s">
        <v>137</v>
      </c>
      <c r="E7" s="100" t="s">
        <v>421</v>
      </c>
      <c r="F7" s="100" t="s">
        <v>309</v>
      </c>
      <c r="G7" s="100"/>
      <c r="H7" s="100"/>
      <c r="I7" s="100">
        <v>1</v>
      </c>
      <c r="J7" s="104"/>
    </row>
    <row r="8" spans="2:10">
      <c r="B8" s="100" t="s">
        <v>312</v>
      </c>
      <c r="C8" s="100" t="s">
        <v>136</v>
      </c>
      <c r="D8" s="100" t="s">
        <v>137</v>
      </c>
      <c r="E8" s="100" t="s">
        <v>423</v>
      </c>
      <c r="F8" s="100" t="s">
        <v>313</v>
      </c>
      <c r="G8" s="100" t="s">
        <v>424</v>
      </c>
      <c r="H8" s="100" t="s">
        <v>314</v>
      </c>
      <c r="I8" s="100">
        <v>2</v>
      </c>
      <c r="J8" s="104"/>
    </row>
    <row r="9" spans="2:10">
      <c r="B9" s="100" t="s">
        <v>315</v>
      </c>
      <c r="C9" s="100" t="s">
        <v>136</v>
      </c>
      <c r="D9" s="100" t="s">
        <v>137</v>
      </c>
      <c r="E9" s="100" t="s">
        <v>423</v>
      </c>
      <c r="F9" s="100" t="s">
        <v>313</v>
      </c>
      <c r="G9" s="100"/>
      <c r="H9" s="100"/>
      <c r="I9" s="100">
        <v>1</v>
      </c>
      <c r="J9" s="104"/>
    </row>
    <row r="10" spans="2:10">
      <c r="B10" s="100" t="s">
        <v>316</v>
      </c>
      <c r="C10" s="100" t="s">
        <v>373</v>
      </c>
      <c r="D10" s="100" t="s">
        <v>137</v>
      </c>
      <c r="E10" s="100" t="s">
        <v>425</v>
      </c>
      <c r="F10" s="100" t="s">
        <v>317</v>
      </c>
      <c r="G10" s="100" t="s">
        <v>426</v>
      </c>
      <c r="H10" s="100" t="s">
        <v>318</v>
      </c>
      <c r="I10" s="100">
        <v>2</v>
      </c>
      <c r="J10" s="104"/>
    </row>
    <row r="11" spans="2:10">
      <c r="B11" s="100" t="s">
        <v>319</v>
      </c>
      <c r="C11" s="100" t="s">
        <v>373</v>
      </c>
      <c r="D11" s="100" t="s">
        <v>137</v>
      </c>
      <c r="E11" s="100" t="s">
        <v>425</v>
      </c>
      <c r="F11" s="100" t="s">
        <v>317</v>
      </c>
      <c r="G11" s="100"/>
      <c r="H11" s="100"/>
      <c r="I11" s="100">
        <v>1</v>
      </c>
      <c r="J11" s="104"/>
    </row>
    <row r="12" spans="2:10">
      <c r="B12" s="100" t="s">
        <v>320</v>
      </c>
      <c r="C12" s="100" t="s">
        <v>374</v>
      </c>
      <c r="D12" s="100" t="s">
        <v>137</v>
      </c>
      <c r="E12" s="100" t="s">
        <v>427</v>
      </c>
      <c r="F12" s="100" t="s">
        <v>428</v>
      </c>
      <c r="G12" s="100" t="s">
        <v>429</v>
      </c>
      <c r="H12" s="100" t="s">
        <v>430</v>
      </c>
      <c r="I12" s="100">
        <v>2</v>
      </c>
      <c r="J12" s="104"/>
    </row>
    <row r="13" spans="2:10">
      <c r="B13" s="100" t="s">
        <v>321</v>
      </c>
      <c r="C13" s="100" t="s">
        <v>374</v>
      </c>
      <c r="D13" s="100" t="s">
        <v>137</v>
      </c>
      <c r="E13" s="100" t="s">
        <v>427</v>
      </c>
      <c r="F13" s="100" t="s">
        <v>428</v>
      </c>
      <c r="G13" s="100"/>
      <c r="H13" s="100"/>
      <c r="I13" s="100">
        <v>1</v>
      </c>
      <c r="J13" s="104"/>
    </row>
    <row r="14" spans="2:10">
      <c r="B14" s="100" t="s">
        <v>322</v>
      </c>
      <c r="C14" s="100" t="s">
        <v>375</v>
      </c>
      <c r="D14" s="100" t="s">
        <v>137</v>
      </c>
      <c r="E14" s="100" t="s">
        <v>431</v>
      </c>
      <c r="F14" s="100" t="s">
        <v>432</v>
      </c>
      <c r="G14" s="100" t="s">
        <v>433</v>
      </c>
      <c r="H14" s="100" t="s">
        <v>434</v>
      </c>
      <c r="I14" s="100">
        <v>2</v>
      </c>
      <c r="J14" s="104"/>
    </row>
    <row r="15" spans="2:10">
      <c r="B15" s="100" t="s">
        <v>323</v>
      </c>
      <c r="C15" s="100" t="s">
        <v>375</v>
      </c>
      <c r="D15" s="100" t="s">
        <v>137</v>
      </c>
      <c r="E15" s="100" t="s">
        <v>431</v>
      </c>
      <c r="F15" s="100" t="s">
        <v>432</v>
      </c>
      <c r="G15" s="100"/>
      <c r="H15" s="100"/>
      <c r="I15" s="100">
        <v>1</v>
      </c>
      <c r="J15" s="104"/>
    </row>
    <row r="16" spans="2:10">
      <c r="B16" s="100" t="s">
        <v>324</v>
      </c>
      <c r="C16" s="100" t="s">
        <v>376</v>
      </c>
      <c r="D16" s="100" t="s">
        <v>137</v>
      </c>
      <c r="E16" s="100" t="s">
        <v>325</v>
      </c>
      <c r="F16" s="100" t="s">
        <v>435</v>
      </c>
      <c r="G16" s="100" t="s">
        <v>326</v>
      </c>
      <c r="H16" s="100" t="s">
        <v>436</v>
      </c>
      <c r="I16" s="100">
        <v>2</v>
      </c>
      <c r="J16" s="104"/>
    </row>
    <row r="17" spans="2:10">
      <c r="B17" s="100" t="s">
        <v>327</v>
      </c>
      <c r="C17" s="100" t="s">
        <v>376</v>
      </c>
      <c r="D17" s="100" t="s">
        <v>137</v>
      </c>
      <c r="E17" s="100" t="s">
        <v>325</v>
      </c>
      <c r="F17" s="100" t="s">
        <v>435</v>
      </c>
      <c r="G17" s="100"/>
      <c r="H17" s="100"/>
      <c r="I17" s="100">
        <v>1</v>
      </c>
      <c r="J17" s="104"/>
    </row>
    <row r="18" spans="2:10">
      <c r="B18" s="100" t="s">
        <v>328</v>
      </c>
      <c r="C18" s="100" t="s">
        <v>377</v>
      </c>
      <c r="D18" s="100" t="s">
        <v>137</v>
      </c>
      <c r="E18" s="100" t="s">
        <v>437</v>
      </c>
      <c r="F18" s="100" t="s">
        <v>329</v>
      </c>
      <c r="G18" s="100" t="s">
        <v>438</v>
      </c>
      <c r="H18" s="100" t="s">
        <v>330</v>
      </c>
      <c r="I18" s="100">
        <v>2</v>
      </c>
      <c r="J18" s="104"/>
    </row>
    <row r="19" spans="2:10">
      <c r="B19" s="100" t="s">
        <v>331</v>
      </c>
      <c r="C19" s="100" t="s">
        <v>377</v>
      </c>
      <c r="D19" s="100" t="s">
        <v>137</v>
      </c>
      <c r="E19" s="100" t="s">
        <v>437</v>
      </c>
      <c r="F19" s="100" t="s">
        <v>329</v>
      </c>
      <c r="G19" s="100"/>
      <c r="H19" s="100"/>
      <c r="I19" s="100">
        <v>1</v>
      </c>
      <c r="J19" s="104"/>
    </row>
    <row r="20" spans="2:10">
      <c r="B20" s="100" t="s">
        <v>332</v>
      </c>
      <c r="C20" s="100" t="s">
        <v>287</v>
      </c>
      <c r="D20" s="100" t="s">
        <v>137</v>
      </c>
      <c r="E20" s="100" t="s">
        <v>439</v>
      </c>
      <c r="F20" s="100" t="s">
        <v>333</v>
      </c>
      <c r="G20" s="100" t="s">
        <v>440</v>
      </c>
      <c r="H20" s="100" t="s">
        <v>334</v>
      </c>
      <c r="I20" s="100">
        <v>2</v>
      </c>
      <c r="J20" s="104"/>
    </row>
    <row r="21" spans="2:10">
      <c r="B21" s="100" t="s">
        <v>335</v>
      </c>
      <c r="C21" s="100" t="s">
        <v>287</v>
      </c>
      <c r="D21" s="100" t="s">
        <v>137</v>
      </c>
      <c r="E21" s="100" t="s">
        <v>439</v>
      </c>
      <c r="F21" s="100" t="s">
        <v>333</v>
      </c>
      <c r="G21" s="100"/>
      <c r="H21" s="100"/>
      <c r="I21" s="100">
        <v>1</v>
      </c>
      <c r="J21" s="104"/>
    </row>
    <row r="22" spans="2:10">
      <c r="B22" s="100" t="s">
        <v>336</v>
      </c>
      <c r="C22" s="100" t="s">
        <v>378</v>
      </c>
      <c r="D22" s="100" t="s">
        <v>137</v>
      </c>
      <c r="E22" s="100" t="s">
        <v>337</v>
      </c>
      <c r="F22" s="100" t="s">
        <v>338</v>
      </c>
      <c r="G22" s="100" t="s">
        <v>339</v>
      </c>
      <c r="H22" s="100" t="s">
        <v>340</v>
      </c>
      <c r="I22" s="100">
        <v>2</v>
      </c>
      <c r="J22" s="104"/>
    </row>
    <row r="23" spans="2:10">
      <c r="B23" s="100" t="s">
        <v>341</v>
      </c>
      <c r="C23" s="100" t="s">
        <v>378</v>
      </c>
      <c r="D23" s="100" t="s">
        <v>137</v>
      </c>
      <c r="E23" s="100" t="s">
        <v>337</v>
      </c>
      <c r="F23" s="100" t="s">
        <v>338</v>
      </c>
      <c r="G23" s="100"/>
      <c r="H23" s="100"/>
      <c r="I23" s="100">
        <v>1</v>
      </c>
      <c r="J23" s="104"/>
    </row>
    <row r="24" spans="2:10">
      <c r="B24" s="103" t="s">
        <v>443</v>
      </c>
      <c r="C24" s="179"/>
      <c r="D24" s="103"/>
      <c r="E24" s="103"/>
      <c r="F24" s="103"/>
      <c r="G24" s="103"/>
      <c r="H24" s="102"/>
      <c r="I24" s="102">
        <v>2</v>
      </c>
      <c r="J24" s="103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6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7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45:I656"/>
  <sheetViews>
    <sheetView topLeftCell="A652" workbookViewId="0"/>
  </sheetViews>
  <sheetFormatPr baseColWidth="10" defaultRowHeight="15"/>
  <cols>
    <col min="2" max="2" width="17.7109375" bestFit="1" customWidth="1"/>
  </cols>
  <sheetData>
    <row r="45" spans="2:9" ht="15.75" thickBot="1">
      <c r="B45" s="107" t="s">
        <v>131</v>
      </c>
      <c r="C45" s="106">
        <v>85.93</v>
      </c>
      <c r="D45" s="106">
        <v>82.67</v>
      </c>
      <c r="E45" s="106">
        <v>89.46</v>
      </c>
      <c r="F45" s="106">
        <v>79.150000000000006</v>
      </c>
      <c r="G45" s="171">
        <v>3.2600000000000051</v>
      </c>
      <c r="H45" s="171">
        <v>-3.5299999999999869</v>
      </c>
      <c r="I45" s="171">
        <v>6.7800000000000011</v>
      </c>
    </row>
    <row r="46" spans="2:9" ht="15.75" thickBot="1">
      <c r="B46" s="108" t="s">
        <v>132</v>
      </c>
      <c r="C46" s="109">
        <v>81.56</v>
      </c>
      <c r="D46" s="109">
        <v>77.59</v>
      </c>
      <c r="E46" s="109">
        <v>88.6</v>
      </c>
      <c r="F46" s="109">
        <v>77.23</v>
      </c>
      <c r="G46" s="172">
        <v>3.9699999999999989</v>
      </c>
      <c r="H46" s="172">
        <v>-7.039999999999992</v>
      </c>
      <c r="I46" s="172">
        <v>4.3299999999999983</v>
      </c>
    </row>
    <row r="47" spans="2:9" ht="15.75" thickBot="1">
      <c r="B47" s="110" t="s">
        <v>130</v>
      </c>
      <c r="C47" s="111">
        <v>77.78</v>
      </c>
      <c r="D47" s="111">
        <v>73.56</v>
      </c>
      <c r="E47" s="111">
        <v>84.91</v>
      </c>
      <c r="F47" s="111">
        <v>75.44</v>
      </c>
      <c r="G47" s="173">
        <v>4.2199999999999989</v>
      </c>
      <c r="H47" s="173">
        <v>-7.1299999999999955</v>
      </c>
      <c r="I47" s="173">
        <v>2.3400000000000034</v>
      </c>
    </row>
    <row r="48" spans="2:9" ht="15.75" thickBot="1">
      <c r="B48" s="112" t="s">
        <v>342</v>
      </c>
      <c r="C48" s="113">
        <v>83.3</v>
      </c>
      <c r="D48" s="113">
        <v>78.540000000000006</v>
      </c>
      <c r="E48" s="113">
        <v>90.36</v>
      </c>
      <c r="F48" s="113">
        <v>80.28</v>
      </c>
      <c r="G48" s="174">
        <v>4.7599999999999909</v>
      </c>
      <c r="H48" s="174">
        <v>-7.0600000000000023</v>
      </c>
      <c r="I48" s="174">
        <v>3.019999999999996</v>
      </c>
    </row>
    <row r="49" spans="2:9" ht="15.75" thickBot="1">
      <c r="B49" s="114" t="s">
        <v>343</v>
      </c>
      <c r="C49" s="115">
        <v>86.19</v>
      </c>
      <c r="D49" s="115">
        <v>81.86</v>
      </c>
      <c r="E49" s="115">
        <v>92.63</v>
      </c>
      <c r="F49" s="115">
        <v>83.31</v>
      </c>
      <c r="G49" s="175">
        <v>4.3299999999999983</v>
      </c>
      <c r="H49" s="175">
        <v>-6.4399999999999977</v>
      </c>
      <c r="I49" s="175">
        <v>2.8799999999999955</v>
      </c>
    </row>
    <row r="50" spans="2:9">
      <c r="B50" t="s">
        <v>344</v>
      </c>
      <c r="C50" s="116">
        <v>82.91</v>
      </c>
      <c r="D50" s="116">
        <v>78.88</v>
      </c>
      <c r="E50" s="116">
        <v>89.03</v>
      </c>
      <c r="F50" s="116">
        <v>78.88</v>
      </c>
      <c r="G50" s="116">
        <v>4.0300000000000011</v>
      </c>
      <c r="H50" s="116">
        <v>-6.1200000000000045</v>
      </c>
      <c r="I50" s="116">
        <v>4.0300000000000011</v>
      </c>
    </row>
    <row r="51" spans="2:9">
      <c r="B51" t="s">
        <v>345</v>
      </c>
      <c r="C51" s="117">
        <v>4886</v>
      </c>
      <c r="D51" s="117">
        <v>4735</v>
      </c>
      <c r="E51" s="117"/>
      <c r="F51" s="117"/>
      <c r="G51" s="117"/>
      <c r="H51" s="117"/>
      <c r="I51" s="117"/>
    </row>
    <row r="52" spans="2:9">
      <c r="B52" t="s">
        <v>346</v>
      </c>
      <c r="C52" s="118">
        <v>78.88</v>
      </c>
      <c r="D52" s="118">
        <v>73.930000000000007</v>
      </c>
      <c r="E52" s="118"/>
      <c r="F52" s="118"/>
      <c r="G52" s="118"/>
      <c r="H52" s="118"/>
      <c r="I52" s="118"/>
    </row>
    <row r="53" spans="2:9">
      <c r="B53" t="s">
        <v>347</v>
      </c>
      <c r="C53" s="119">
        <v>4735</v>
      </c>
      <c r="D53" s="119">
        <v>4504</v>
      </c>
      <c r="E53" s="119"/>
      <c r="F53" s="119"/>
      <c r="G53" s="119"/>
      <c r="H53" s="119"/>
      <c r="I53" s="119"/>
    </row>
    <row r="54" spans="2:9" ht="33.75">
      <c r="B54" t="s">
        <v>348</v>
      </c>
      <c r="C54" s="120">
        <v>2016</v>
      </c>
      <c r="D54" s="120">
        <v>2015</v>
      </c>
      <c r="E54" s="120" t="s">
        <v>380</v>
      </c>
      <c r="F54" s="120" t="s">
        <v>381</v>
      </c>
      <c r="G54" s="120" t="s">
        <v>382</v>
      </c>
      <c r="H54" s="120" t="s">
        <v>383</v>
      </c>
      <c r="I54" s="120" t="s">
        <v>384</v>
      </c>
    </row>
    <row r="55" spans="2:9">
      <c r="B55" t="s">
        <v>441</v>
      </c>
      <c r="C55" s="116">
        <v>82.91</v>
      </c>
      <c r="D55" s="116">
        <v>82.91</v>
      </c>
      <c r="E55" s="116">
        <v>82.91</v>
      </c>
      <c r="F55" s="116">
        <v>82.91</v>
      </c>
      <c r="G55" s="116">
        <v>82.91</v>
      </c>
      <c r="H55" s="116">
        <v>82.91</v>
      </c>
      <c r="I55" s="116">
        <v>82.91</v>
      </c>
    </row>
    <row r="56" spans="2:9">
      <c r="B56" t="s">
        <v>442</v>
      </c>
      <c r="C56" s="121">
        <v>84.08</v>
      </c>
      <c r="D56" s="121">
        <v>79.319999999999993</v>
      </c>
      <c r="E56" s="121">
        <v>91.62</v>
      </c>
      <c r="F56" s="121">
        <v>82.28</v>
      </c>
      <c r="G56" s="176">
        <v>4.7600000000000051</v>
      </c>
      <c r="H56" s="176">
        <v>-7.5400000000000063</v>
      </c>
      <c r="I56" s="176">
        <v>1.7999999999999972</v>
      </c>
    </row>
    <row r="105" spans="2:7" ht="15.75" thickBot="1">
      <c r="B105" s="107" t="s">
        <v>131</v>
      </c>
      <c r="C105" s="106">
        <v>90.45</v>
      </c>
      <c r="D105" s="106">
        <v>86.08</v>
      </c>
      <c r="E105" s="106">
        <v>84.35</v>
      </c>
      <c r="F105" s="106">
        <v>87.74</v>
      </c>
      <c r="G105" s="106">
        <v>90.43</v>
      </c>
    </row>
    <row r="106" spans="2:7" ht="15.75" thickBot="1">
      <c r="B106" s="108" t="s">
        <v>132</v>
      </c>
      <c r="C106" s="109">
        <v>84.9</v>
      </c>
      <c r="D106" s="109">
        <v>80.59</v>
      </c>
      <c r="E106" s="109">
        <v>81</v>
      </c>
      <c r="F106" s="109">
        <v>84.36</v>
      </c>
      <c r="G106" s="109">
        <v>87.34</v>
      </c>
    </row>
    <row r="107" spans="2:7" ht="15.75" thickBot="1">
      <c r="B107" s="110" t="s">
        <v>130</v>
      </c>
      <c r="C107" s="111">
        <v>85.2</v>
      </c>
      <c r="D107" s="111">
        <v>77.400000000000006</v>
      </c>
      <c r="E107" s="111">
        <v>75.959999999999994</v>
      </c>
      <c r="F107" s="111">
        <v>79.81</v>
      </c>
      <c r="G107" s="111">
        <v>83.12</v>
      </c>
    </row>
    <row r="108" spans="2:7" ht="15.75" thickBot="1">
      <c r="B108" s="112" t="s">
        <v>342</v>
      </c>
      <c r="C108" s="113">
        <v>83.54</v>
      </c>
      <c r="D108" s="113">
        <v>81.03</v>
      </c>
      <c r="E108" s="113">
        <v>83.26</v>
      </c>
      <c r="F108" s="113">
        <v>88.56</v>
      </c>
      <c r="G108" s="113">
        <v>91.07</v>
      </c>
    </row>
    <row r="109" spans="2:7" ht="15.75" thickBot="1">
      <c r="B109" s="114" t="s">
        <v>343</v>
      </c>
      <c r="C109" s="115">
        <v>90.58</v>
      </c>
      <c r="D109" s="115">
        <v>85.89</v>
      </c>
      <c r="E109" s="115">
        <v>85.08</v>
      </c>
      <c r="F109" s="115">
        <v>88.42</v>
      </c>
      <c r="G109" s="115">
        <v>90.24</v>
      </c>
    </row>
    <row r="110" spans="2:7">
      <c r="B110" t="s">
        <v>344</v>
      </c>
      <c r="C110" s="116">
        <v>87.13</v>
      </c>
      <c r="D110" s="116">
        <v>82.26</v>
      </c>
      <c r="E110" s="116">
        <v>81.83</v>
      </c>
      <c r="F110" s="116">
        <v>85.57</v>
      </c>
      <c r="G110" s="116">
        <v>88.33</v>
      </c>
    </row>
    <row r="111" spans="2:7">
      <c r="B111" t="s">
        <v>345</v>
      </c>
      <c r="C111" s="117">
        <v>292</v>
      </c>
      <c r="D111" s="117">
        <v>1996</v>
      </c>
      <c r="E111" s="117">
        <v>1426</v>
      </c>
      <c r="F111" s="117">
        <v>736</v>
      </c>
      <c r="G111" s="117">
        <v>248</v>
      </c>
    </row>
    <row r="112" spans="2:7">
      <c r="B112" t="s">
        <v>346</v>
      </c>
      <c r="C112" s="118">
        <v>82.41</v>
      </c>
      <c r="D112" s="118">
        <v>77.44</v>
      </c>
      <c r="E112" s="118">
        <v>78.069999999999993</v>
      </c>
      <c r="F112" s="118">
        <v>82.57</v>
      </c>
      <c r="G112" s="118">
        <v>86.36</v>
      </c>
    </row>
    <row r="113" spans="2:7">
      <c r="B113" t="s">
        <v>347</v>
      </c>
      <c r="C113" s="119">
        <v>249</v>
      </c>
      <c r="D113" s="119">
        <v>1965</v>
      </c>
      <c r="E113" s="119">
        <v>1426</v>
      </c>
      <c r="F113" s="119">
        <v>733</v>
      </c>
      <c r="G113" s="119">
        <v>256</v>
      </c>
    </row>
    <row r="114" spans="2:7" ht="22.5">
      <c r="B114" t="s">
        <v>348</v>
      </c>
      <c r="C114" s="120" t="s">
        <v>140</v>
      </c>
      <c r="D114" s="120" t="s">
        <v>141</v>
      </c>
      <c r="E114" s="120" t="s">
        <v>142</v>
      </c>
      <c r="F114" s="120" t="s">
        <v>143</v>
      </c>
      <c r="G114" s="120" t="s">
        <v>144</v>
      </c>
    </row>
    <row r="115" spans="2:7">
      <c r="B115" t="s">
        <v>441</v>
      </c>
      <c r="C115" s="116">
        <v>82.91</v>
      </c>
      <c r="D115" s="116">
        <v>82.91</v>
      </c>
      <c r="E115" s="116">
        <v>82.91</v>
      </c>
      <c r="F115" s="116">
        <v>82.91</v>
      </c>
      <c r="G115" s="116">
        <v>82.91</v>
      </c>
    </row>
    <row r="116" spans="2:7">
      <c r="B116" t="s">
        <v>442</v>
      </c>
      <c r="C116" s="121">
        <v>87.33</v>
      </c>
      <c r="D116" s="121">
        <v>82.4</v>
      </c>
      <c r="E116" s="121">
        <v>83.7</v>
      </c>
      <c r="F116" s="121">
        <v>87.89</v>
      </c>
      <c r="G116" s="121">
        <v>93.55</v>
      </c>
    </row>
    <row r="165" spans="2:4" ht="15.75" thickBot="1">
      <c r="B165" s="107" t="s">
        <v>131</v>
      </c>
      <c r="C165" s="106">
        <v>86.53</v>
      </c>
      <c r="D165" s="106">
        <v>86.24</v>
      </c>
    </row>
    <row r="166" spans="2:4" ht="15.75" thickBot="1">
      <c r="B166" s="108" t="s">
        <v>132</v>
      </c>
      <c r="C166" s="109">
        <v>82.52</v>
      </c>
      <c r="D166" s="109">
        <v>81.34</v>
      </c>
    </row>
    <row r="167" spans="2:4" ht="15.75" thickBot="1">
      <c r="B167" s="110" t="s">
        <v>130</v>
      </c>
      <c r="C167" s="111">
        <v>78.27</v>
      </c>
      <c r="D167" s="111">
        <v>78.02</v>
      </c>
    </row>
    <row r="168" spans="2:4" ht="15.75" thickBot="1">
      <c r="B168" s="112" t="s">
        <v>342</v>
      </c>
      <c r="C168" s="113">
        <v>83.68</v>
      </c>
      <c r="D168" s="113">
        <v>83.52</v>
      </c>
    </row>
    <row r="169" spans="2:4" ht="15.75" thickBot="1">
      <c r="B169" s="114" t="s">
        <v>343</v>
      </c>
      <c r="C169" s="115">
        <v>86.39</v>
      </c>
      <c r="D169" s="115">
        <v>86.83</v>
      </c>
    </row>
    <row r="170" spans="2:4">
      <c r="B170" t="s">
        <v>344</v>
      </c>
      <c r="C170" s="116">
        <v>83.48</v>
      </c>
      <c r="D170" s="116">
        <v>83.12</v>
      </c>
    </row>
    <row r="171" spans="2:4">
      <c r="B171" t="s">
        <v>345</v>
      </c>
      <c r="C171" s="117">
        <v>2476</v>
      </c>
      <c r="D171" s="117">
        <v>2191</v>
      </c>
    </row>
    <row r="172" spans="2:4">
      <c r="B172" t="s">
        <v>346</v>
      </c>
      <c r="C172" s="118">
        <v>79.62</v>
      </c>
      <c r="D172" s="118">
        <v>78.790000000000006</v>
      </c>
    </row>
    <row r="173" spans="2:4">
      <c r="B173" t="s">
        <v>347</v>
      </c>
      <c r="C173" s="119">
        <v>2382</v>
      </c>
      <c r="D173" s="119">
        <v>2218</v>
      </c>
    </row>
    <row r="174" spans="2:4">
      <c r="B174" t="s">
        <v>348</v>
      </c>
      <c r="C174" s="120" t="s">
        <v>145</v>
      </c>
      <c r="D174" s="120" t="s">
        <v>146</v>
      </c>
    </row>
    <row r="175" spans="2:4">
      <c r="B175" t="s">
        <v>441</v>
      </c>
      <c r="C175" s="116">
        <v>82.91</v>
      </c>
      <c r="D175" s="116">
        <v>82.91</v>
      </c>
    </row>
    <row r="176" spans="2:4">
      <c r="B176" t="s">
        <v>442</v>
      </c>
      <c r="C176" s="121">
        <v>85.32</v>
      </c>
      <c r="D176" s="121">
        <v>83.78</v>
      </c>
    </row>
    <row r="225" spans="2:7" ht="15.75" thickBot="1">
      <c r="B225" s="107" t="s">
        <v>131</v>
      </c>
      <c r="C225" s="106">
        <v>76.19</v>
      </c>
      <c r="D225" s="106">
        <v>87.14</v>
      </c>
      <c r="E225" s="106">
        <v>86.86</v>
      </c>
      <c r="F225" s="106">
        <v>85.18</v>
      </c>
      <c r="G225" s="106">
        <v>87.05</v>
      </c>
    </row>
    <row r="226" spans="2:7" ht="15.75" thickBot="1">
      <c r="B226" s="108" t="s">
        <v>132</v>
      </c>
      <c r="C226" s="109">
        <v>78.209999999999994</v>
      </c>
      <c r="D226" s="109">
        <v>80.63</v>
      </c>
      <c r="E226" s="109">
        <v>81.92</v>
      </c>
      <c r="F226" s="109">
        <v>81.260000000000005</v>
      </c>
      <c r="G226" s="109">
        <v>85.26</v>
      </c>
    </row>
    <row r="227" spans="2:7" ht="15.75" thickBot="1">
      <c r="B227" s="110" t="s">
        <v>130</v>
      </c>
      <c r="C227" s="111">
        <v>80.489999999999995</v>
      </c>
      <c r="D227" s="111">
        <v>78.47</v>
      </c>
      <c r="E227" s="111">
        <v>78.739999999999995</v>
      </c>
      <c r="F227" s="111">
        <v>76.790000000000006</v>
      </c>
      <c r="G227" s="111">
        <v>79.03</v>
      </c>
    </row>
    <row r="228" spans="2:7" ht="15.75" thickBot="1">
      <c r="B228" s="112" t="s">
        <v>342</v>
      </c>
      <c r="C228" s="113">
        <v>84.38</v>
      </c>
      <c r="D228" s="113">
        <v>84.66</v>
      </c>
      <c r="E228" s="113">
        <v>83.78</v>
      </c>
      <c r="F228" s="113">
        <v>82.02</v>
      </c>
      <c r="G228" s="113">
        <v>86.82</v>
      </c>
    </row>
    <row r="229" spans="2:7" ht="15.75" thickBot="1">
      <c r="B229" s="114" t="s">
        <v>343</v>
      </c>
      <c r="C229" s="115">
        <v>78.33</v>
      </c>
      <c r="D229" s="115">
        <v>85.6</v>
      </c>
      <c r="E229" s="115">
        <v>86.75</v>
      </c>
      <c r="F229" s="115">
        <v>85.69</v>
      </c>
      <c r="G229" s="115">
        <v>89.35</v>
      </c>
    </row>
    <row r="230" spans="2:7">
      <c r="B230" t="s">
        <v>344</v>
      </c>
      <c r="C230" s="116">
        <v>79.010000000000005</v>
      </c>
      <c r="D230" s="116">
        <v>83.26</v>
      </c>
      <c r="E230" s="116">
        <v>83.59</v>
      </c>
      <c r="F230" s="116">
        <v>82.17</v>
      </c>
      <c r="G230" s="116">
        <v>85.4</v>
      </c>
    </row>
    <row r="231" spans="2:7">
      <c r="B231" t="s">
        <v>345</v>
      </c>
      <c r="C231" s="117">
        <v>12</v>
      </c>
      <c r="D231" s="117">
        <v>360</v>
      </c>
      <c r="E231" s="117">
        <v>2276</v>
      </c>
      <c r="F231" s="117">
        <v>1542</v>
      </c>
      <c r="G231" s="117">
        <v>500</v>
      </c>
    </row>
    <row r="232" spans="2:7">
      <c r="B232" t="s">
        <v>346</v>
      </c>
      <c r="C232" s="118">
        <v>68.069999999999993</v>
      </c>
      <c r="D232" s="118">
        <v>79.69</v>
      </c>
      <c r="E232" s="118">
        <v>79.13</v>
      </c>
      <c r="F232" s="118">
        <v>78.17</v>
      </c>
      <c r="G232" s="118">
        <v>82.9</v>
      </c>
    </row>
    <row r="233" spans="2:7">
      <c r="B233" t="s">
        <v>347</v>
      </c>
      <c r="C233" s="119">
        <v>14</v>
      </c>
      <c r="D233" s="119">
        <v>413</v>
      </c>
      <c r="E233" s="119">
        <v>2318</v>
      </c>
      <c r="F233" s="119">
        <v>1467</v>
      </c>
      <c r="G233" s="119">
        <v>425</v>
      </c>
    </row>
    <row r="234" spans="2:7" ht="45">
      <c r="B234" t="s">
        <v>348</v>
      </c>
      <c r="C234" s="120" t="s">
        <v>385</v>
      </c>
      <c r="D234" s="120" t="s">
        <v>386</v>
      </c>
      <c r="E234" s="120" t="s">
        <v>387</v>
      </c>
      <c r="F234" s="120" t="s">
        <v>388</v>
      </c>
      <c r="G234" s="120" t="s">
        <v>389</v>
      </c>
    </row>
    <row r="235" spans="2:7">
      <c r="B235" t="s">
        <v>441</v>
      </c>
      <c r="C235" s="116">
        <v>82.91</v>
      </c>
      <c r="D235" s="116">
        <v>82.91</v>
      </c>
      <c r="E235" s="116">
        <v>82.91</v>
      </c>
      <c r="F235" s="116">
        <v>82.91</v>
      </c>
      <c r="G235" s="116">
        <v>82.91</v>
      </c>
    </row>
    <row r="236" spans="2:7">
      <c r="B236" t="s">
        <v>442</v>
      </c>
      <c r="C236" s="121">
        <v>75</v>
      </c>
      <c r="D236" s="121">
        <v>86.11</v>
      </c>
      <c r="E236" s="121">
        <v>84.66</v>
      </c>
      <c r="F236" s="121">
        <v>82.38</v>
      </c>
      <c r="G236" s="121">
        <v>89.58</v>
      </c>
    </row>
    <row r="285" spans="2:7" ht="15.75" thickBot="1">
      <c r="B285" s="107" t="s">
        <v>131</v>
      </c>
      <c r="C285" s="106">
        <v>93.53</v>
      </c>
      <c r="D285" s="106">
        <v>91.83</v>
      </c>
      <c r="E285" s="106">
        <v>88.97</v>
      </c>
      <c r="F285" s="106">
        <v>83.86</v>
      </c>
      <c r="G285" s="106">
        <v>84.1</v>
      </c>
    </row>
    <row r="286" spans="2:7" ht="15.75" thickBot="1">
      <c r="B286" s="108" t="s">
        <v>132</v>
      </c>
      <c r="C286" s="109">
        <v>93.66</v>
      </c>
      <c r="D286" s="109">
        <v>89.43</v>
      </c>
      <c r="E286" s="109">
        <v>85.92</v>
      </c>
      <c r="F286" s="109">
        <v>81.99</v>
      </c>
      <c r="G286" s="109">
        <v>79.41</v>
      </c>
    </row>
    <row r="287" spans="2:7" ht="15.75" thickBot="1">
      <c r="B287" s="110" t="s">
        <v>130</v>
      </c>
      <c r="C287" s="111">
        <v>87.16</v>
      </c>
      <c r="D287" s="111">
        <v>83.33</v>
      </c>
      <c r="E287" s="111">
        <v>81.790000000000006</v>
      </c>
      <c r="F287" s="111">
        <v>75.37</v>
      </c>
      <c r="G287" s="111">
        <v>74.319999999999993</v>
      </c>
    </row>
    <row r="288" spans="2:7" ht="15.75" thickBot="1">
      <c r="B288" s="112" t="s">
        <v>342</v>
      </c>
      <c r="C288" s="113">
        <v>94.93</v>
      </c>
      <c r="D288" s="113">
        <v>92.27</v>
      </c>
      <c r="E288" s="113">
        <v>89.09</v>
      </c>
      <c r="F288" s="113">
        <v>82.97</v>
      </c>
      <c r="G288" s="113">
        <v>81.58</v>
      </c>
    </row>
    <row r="289" spans="2:7" ht="15.75" thickBot="1">
      <c r="B289" s="114" t="s">
        <v>343</v>
      </c>
      <c r="C289" s="115">
        <v>94.86</v>
      </c>
      <c r="D289" s="115">
        <v>92.88</v>
      </c>
      <c r="E289" s="115">
        <v>90.23</v>
      </c>
      <c r="F289" s="115">
        <v>86.42</v>
      </c>
      <c r="G289" s="115">
        <v>83.34</v>
      </c>
    </row>
    <row r="290" spans="2:7">
      <c r="B290" t="s">
        <v>344</v>
      </c>
      <c r="C290" s="116">
        <v>92.75</v>
      </c>
      <c r="D290" s="116">
        <v>89.82</v>
      </c>
      <c r="E290" s="116">
        <v>87.04</v>
      </c>
      <c r="F290" s="116">
        <v>82.03</v>
      </c>
      <c r="G290" s="116">
        <v>80.510000000000005</v>
      </c>
    </row>
    <row r="291" spans="2:7">
      <c r="B291" t="s">
        <v>345</v>
      </c>
      <c r="C291" s="117">
        <v>74</v>
      </c>
      <c r="D291" s="117">
        <v>139</v>
      </c>
      <c r="E291" s="117">
        <v>979</v>
      </c>
      <c r="F291" s="117">
        <v>794</v>
      </c>
      <c r="G291" s="117">
        <v>386</v>
      </c>
    </row>
    <row r="292" spans="2:7">
      <c r="B292" t="s">
        <v>346</v>
      </c>
      <c r="C292" s="118">
        <v>91.91</v>
      </c>
      <c r="D292" s="118">
        <v>88.05</v>
      </c>
      <c r="E292" s="118">
        <v>86.33</v>
      </c>
      <c r="F292" s="118">
        <v>77.510000000000005</v>
      </c>
      <c r="G292" s="118">
        <v>73.2</v>
      </c>
    </row>
    <row r="293" spans="2:7">
      <c r="B293" t="s">
        <v>347</v>
      </c>
      <c r="C293" s="119">
        <v>65</v>
      </c>
      <c r="D293" s="119">
        <v>121</v>
      </c>
      <c r="E293" s="119">
        <v>895</v>
      </c>
      <c r="F293" s="119">
        <v>768</v>
      </c>
      <c r="G293" s="119">
        <v>265</v>
      </c>
    </row>
    <row r="294" spans="2:7" ht="112.5">
      <c r="B294" t="s">
        <v>348</v>
      </c>
      <c r="C294" s="177" t="s">
        <v>390</v>
      </c>
      <c r="D294" s="177" t="s">
        <v>391</v>
      </c>
      <c r="E294" s="177" t="s">
        <v>392</v>
      </c>
      <c r="F294" s="177" t="s">
        <v>393</v>
      </c>
      <c r="G294" s="177" t="s">
        <v>394</v>
      </c>
    </row>
    <row r="295" spans="2:7">
      <c r="B295" t="s">
        <v>441</v>
      </c>
      <c r="C295" s="116">
        <v>82.91</v>
      </c>
      <c r="D295" s="116">
        <v>82.91</v>
      </c>
      <c r="E295" s="116">
        <v>82.91</v>
      </c>
      <c r="F295" s="116">
        <v>82.91</v>
      </c>
      <c r="G295" s="116">
        <v>82.91</v>
      </c>
    </row>
    <row r="296" spans="2:7">
      <c r="B296" t="s">
        <v>442</v>
      </c>
      <c r="C296" s="121">
        <v>98.65</v>
      </c>
      <c r="D296" s="121">
        <v>94.24</v>
      </c>
      <c r="E296" s="121">
        <v>89.27</v>
      </c>
      <c r="F296" s="121">
        <v>85.34</v>
      </c>
      <c r="G296" s="121">
        <v>81.61</v>
      </c>
    </row>
    <row r="315" spans="2:7" ht="15.75" thickBot="1">
      <c r="B315" s="107" t="s">
        <v>131</v>
      </c>
      <c r="C315" s="106">
        <v>78.73</v>
      </c>
      <c r="D315" s="106">
        <v>86.35</v>
      </c>
      <c r="E315" s="106">
        <v>87.52</v>
      </c>
      <c r="F315" s="106">
        <v>90.4</v>
      </c>
      <c r="G315" s="106">
        <v>79.88</v>
      </c>
    </row>
    <row r="316" spans="2:7" ht="15.75" thickBot="1">
      <c r="B316" s="108" t="s">
        <v>132</v>
      </c>
      <c r="C316" s="109">
        <v>74.709999999999994</v>
      </c>
      <c r="D316" s="109">
        <v>79.209999999999994</v>
      </c>
      <c r="E316" s="109">
        <v>81.94</v>
      </c>
      <c r="F316" s="109">
        <v>82.09</v>
      </c>
      <c r="G316" s="109">
        <v>80.540000000000006</v>
      </c>
    </row>
    <row r="317" spans="2:7" ht="15.75" thickBot="1">
      <c r="B317" s="110" t="s">
        <v>130</v>
      </c>
      <c r="C317" s="111">
        <v>69.97</v>
      </c>
      <c r="D317" s="111">
        <v>77.64</v>
      </c>
      <c r="E317" s="111">
        <v>79.180000000000007</v>
      </c>
      <c r="F317" s="111">
        <v>83.27</v>
      </c>
      <c r="G317" s="111">
        <v>72.260000000000005</v>
      </c>
    </row>
    <row r="318" spans="2:7" ht="15.75" thickBot="1">
      <c r="B318" s="112" t="s">
        <v>342</v>
      </c>
      <c r="C318" s="113">
        <v>76.73</v>
      </c>
      <c r="D318" s="113">
        <v>80.61</v>
      </c>
      <c r="E318" s="113">
        <v>83.49</v>
      </c>
      <c r="F318" s="113">
        <v>80.66</v>
      </c>
      <c r="G318" s="113">
        <v>76.23</v>
      </c>
    </row>
    <row r="319" spans="2:7" ht="15.75" thickBot="1">
      <c r="B319" s="114" t="s">
        <v>343</v>
      </c>
      <c r="C319" s="115">
        <v>79.400000000000006</v>
      </c>
      <c r="D319" s="115">
        <v>84.13</v>
      </c>
      <c r="E319" s="115">
        <v>86.8</v>
      </c>
      <c r="F319" s="115">
        <v>89.26</v>
      </c>
      <c r="G319" s="115">
        <v>80.28</v>
      </c>
    </row>
    <row r="320" spans="2:7">
      <c r="B320" t="s">
        <v>344</v>
      </c>
      <c r="C320" s="116">
        <v>75.88</v>
      </c>
      <c r="D320" s="116">
        <v>81.69</v>
      </c>
      <c r="E320" s="116">
        <v>83.78</v>
      </c>
      <c r="F320" s="116">
        <v>85.39</v>
      </c>
      <c r="G320" s="116">
        <v>77.95</v>
      </c>
    </row>
    <row r="321" spans="2:7">
      <c r="B321" t="s">
        <v>345</v>
      </c>
      <c r="C321" s="117">
        <v>426</v>
      </c>
      <c r="D321" s="117">
        <v>536</v>
      </c>
      <c r="E321" s="117">
        <v>877</v>
      </c>
      <c r="F321" s="117">
        <v>396</v>
      </c>
      <c r="G321" s="117">
        <v>42</v>
      </c>
    </row>
    <row r="322" spans="2:7">
      <c r="B322" t="s">
        <v>346</v>
      </c>
      <c r="C322" s="118">
        <v>71.02</v>
      </c>
      <c r="D322" s="118">
        <v>74.760000000000005</v>
      </c>
      <c r="E322" s="118">
        <v>80.2</v>
      </c>
      <c r="F322" s="118">
        <v>80.39</v>
      </c>
      <c r="G322" s="118" t="s">
        <v>153</v>
      </c>
    </row>
    <row r="323" spans="2:7">
      <c r="B323" t="s">
        <v>347</v>
      </c>
      <c r="C323" s="119">
        <v>519</v>
      </c>
      <c r="D323" s="119">
        <v>572</v>
      </c>
      <c r="E323" s="119">
        <v>937</v>
      </c>
      <c r="F323" s="119">
        <v>444</v>
      </c>
      <c r="G323" s="119" t="s">
        <v>10</v>
      </c>
    </row>
    <row r="324" spans="2:7" ht="90">
      <c r="B324" t="s">
        <v>348</v>
      </c>
      <c r="C324" s="177" t="s">
        <v>395</v>
      </c>
      <c r="D324" s="177" t="s">
        <v>396</v>
      </c>
      <c r="E324" s="177" t="s">
        <v>397</v>
      </c>
      <c r="F324" s="177" t="s">
        <v>398</v>
      </c>
      <c r="G324" s="177" t="s">
        <v>399</v>
      </c>
    </row>
    <row r="325" spans="2:7">
      <c r="B325" t="s">
        <v>441</v>
      </c>
      <c r="C325" s="116">
        <v>82.91</v>
      </c>
      <c r="D325" s="116">
        <v>82.91</v>
      </c>
      <c r="E325" s="116">
        <v>82.91</v>
      </c>
      <c r="F325" s="116">
        <v>82.91</v>
      </c>
      <c r="G325" s="116">
        <v>82.91</v>
      </c>
    </row>
    <row r="326" spans="2:7">
      <c r="B326" t="s">
        <v>442</v>
      </c>
      <c r="C326" s="121">
        <v>80</v>
      </c>
      <c r="D326" s="121">
        <v>81.459999999999994</v>
      </c>
      <c r="E326" s="121">
        <v>82.78</v>
      </c>
      <c r="F326" s="121">
        <v>82.83</v>
      </c>
      <c r="G326" s="121">
        <v>76.19</v>
      </c>
    </row>
    <row r="375" spans="2:8" ht="15.75" thickBot="1">
      <c r="B375" s="107" t="s">
        <v>131</v>
      </c>
      <c r="C375" s="106">
        <v>91.75</v>
      </c>
      <c r="D375" s="106">
        <v>87.14</v>
      </c>
      <c r="E375" s="106">
        <v>84.41</v>
      </c>
      <c r="F375" s="106">
        <v>79.94</v>
      </c>
      <c r="G375" s="106">
        <v>87.42</v>
      </c>
      <c r="H375" s="106">
        <v>88.24</v>
      </c>
    </row>
    <row r="376" spans="2:8" ht="15.75" thickBot="1">
      <c r="B376" s="108" t="s">
        <v>132</v>
      </c>
      <c r="C376" s="109">
        <v>87.01</v>
      </c>
      <c r="D376" s="109">
        <v>82.15</v>
      </c>
      <c r="E376" s="109">
        <v>78.97</v>
      </c>
      <c r="F376" s="109">
        <v>76.930000000000007</v>
      </c>
      <c r="G376" s="109">
        <v>83.93</v>
      </c>
      <c r="H376" s="109">
        <v>84.79</v>
      </c>
    </row>
    <row r="377" spans="2:8" ht="15.75" thickBot="1">
      <c r="B377" s="110" t="s">
        <v>130</v>
      </c>
      <c r="C377" s="111">
        <v>87.17</v>
      </c>
      <c r="D377" s="111">
        <v>79.760000000000005</v>
      </c>
      <c r="E377" s="111">
        <v>74.66</v>
      </c>
      <c r="F377" s="111">
        <v>72.42</v>
      </c>
      <c r="G377" s="111">
        <v>77.63</v>
      </c>
      <c r="H377" s="111">
        <v>80.38</v>
      </c>
    </row>
    <row r="378" spans="2:8" ht="15.75" thickBot="1">
      <c r="B378" s="112" t="s">
        <v>342</v>
      </c>
      <c r="C378" s="113">
        <v>86.67</v>
      </c>
      <c r="D378" s="113">
        <v>82.73</v>
      </c>
      <c r="E378" s="113">
        <v>79.88</v>
      </c>
      <c r="F378" s="113">
        <v>80.069999999999993</v>
      </c>
      <c r="G378" s="113">
        <v>86.61</v>
      </c>
      <c r="H378" s="113">
        <v>88.62</v>
      </c>
    </row>
    <row r="379" spans="2:8" ht="15.75" thickBot="1">
      <c r="B379" s="114" t="s">
        <v>343</v>
      </c>
      <c r="C379" s="115">
        <v>91.77</v>
      </c>
      <c r="D379" s="115">
        <v>87.67</v>
      </c>
      <c r="E379" s="115">
        <v>83.75</v>
      </c>
      <c r="F379" s="115">
        <v>81.36</v>
      </c>
      <c r="G379" s="115">
        <v>88.32</v>
      </c>
      <c r="H379" s="115">
        <v>88.26</v>
      </c>
    </row>
    <row r="380" spans="2:8">
      <c r="B380" t="s">
        <v>344</v>
      </c>
      <c r="C380" s="116">
        <v>89.02</v>
      </c>
      <c r="D380" s="116">
        <v>83.93</v>
      </c>
      <c r="E380" s="116">
        <v>80.37</v>
      </c>
      <c r="F380" s="116">
        <v>77.959999999999994</v>
      </c>
      <c r="G380" s="116">
        <v>84.65</v>
      </c>
      <c r="H380" s="116">
        <v>85.91</v>
      </c>
    </row>
    <row r="381" spans="2:8">
      <c r="B381" t="s">
        <v>345</v>
      </c>
      <c r="C381" s="117">
        <v>425</v>
      </c>
      <c r="D381" s="117">
        <v>1125</v>
      </c>
      <c r="E381" s="117">
        <v>1198</v>
      </c>
      <c r="F381" s="117">
        <v>412</v>
      </c>
      <c r="G381" s="117">
        <v>791</v>
      </c>
      <c r="H381" s="117">
        <v>719</v>
      </c>
    </row>
    <row r="382" spans="2:8">
      <c r="B382" t="s">
        <v>346</v>
      </c>
      <c r="C382" s="118">
        <v>83.99</v>
      </c>
      <c r="D382" s="118">
        <v>78.19</v>
      </c>
      <c r="E382" s="118">
        <v>76.42</v>
      </c>
      <c r="F382" s="118">
        <v>76.36</v>
      </c>
      <c r="G382" s="118">
        <v>80.75</v>
      </c>
      <c r="H382" s="118">
        <v>84.02</v>
      </c>
    </row>
    <row r="383" spans="2:8">
      <c r="B383" t="s">
        <v>347</v>
      </c>
      <c r="C383" s="119">
        <v>305</v>
      </c>
      <c r="D383" s="119">
        <v>1135</v>
      </c>
      <c r="E383" s="119">
        <v>1202</v>
      </c>
      <c r="F383" s="119">
        <v>481</v>
      </c>
      <c r="G383" s="119">
        <v>715</v>
      </c>
      <c r="H383" s="119">
        <v>773</v>
      </c>
    </row>
    <row r="384" spans="2:8" ht="22.5">
      <c r="B384" t="s">
        <v>348</v>
      </c>
      <c r="C384" s="120" t="s">
        <v>400</v>
      </c>
      <c r="D384" s="120" t="s">
        <v>401</v>
      </c>
      <c r="E384" s="120" t="s">
        <v>402</v>
      </c>
      <c r="F384" s="120" t="s">
        <v>403</v>
      </c>
      <c r="G384" s="120" t="s">
        <v>404</v>
      </c>
      <c r="H384" s="120" t="s">
        <v>405</v>
      </c>
    </row>
    <row r="385" spans="2:8">
      <c r="B385" t="s">
        <v>441</v>
      </c>
      <c r="C385" s="116">
        <v>82.91</v>
      </c>
      <c r="D385" s="116">
        <v>82.91</v>
      </c>
      <c r="E385" s="116">
        <v>82.91</v>
      </c>
      <c r="F385" s="116">
        <v>82.91</v>
      </c>
      <c r="G385" s="116">
        <v>82.91</v>
      </c>
      <c r="H385" s="116">
        <v>82.91</v>
      </c>
    </row>
    <row r="386" spans="2:8">
      <c r="B386" t="s">
        <v>442</v>
      </c>
      <c r="C386" s="121">
        <v>90.59</v>
      </c>
      <c r="D386" s="121">
        <v>84.53</v>
      </c>
      <c r="E386" s="121">
        <v>80.75</v>
      </c>
      <c r="F386" s="121">
        <v>79.08</v>
      </c>
      <c r="G386" s="121">
        <v>86.71</v>
      </c>
      <c r="H386" s="121">
        <v>89.28</v>
      </c>
    </row>
    <row r="435" spans="2:9" ht="15.75" thickBot="1">
      <c r="B435" s="107" t="s">
        <v>131</v>
      </c>
      <c r="C435" s="106">
        <v>70.28</v>
      </c>
      <c r="D435" s="106">
        <v>93.52</v>
      </c>
      <c r="E435" s="106">
        <v>81.7</v>
      </c>
      <c r="F435" s="106">
        <v>85.8</v>
      </c>
      <c r="G435" s="106">
        <v>86.78</v>
      </c>
      <c r="H435" s="106">
        <v>83.81</v>
      </c>
      <c r="I435" s="106">
        <v>96.24</v>
      </c>
    </row>
    <row r="436" spans="2:9" ht="15.75" thickBot="1">
      <c r="B436" s="108" t="s">
        <v>132</v>
      </c>
      <c r="C436" s="109">
        <v>62.23</v>
      </c>
      <c r="D436" s="109">
        <v>94.29</v>
      </c>
      <c r="E436" s="109">
        <v>80.44</v>
      </c>
      <c r="F436" s="109">
        <v>83.68</v>
      </c>
      <c r="G436" s="109">
        <v>81.459999999999994</v>
      </c>
      <c r="H436" s="109">
        <v>84.28</v>
      </c>
      <c r="I436" s="109">
        <v>91.48</v>
      </c>
    </row>
    <row r="437" spans="2:9" ht="15.75" thickBot="1">
      <c r="B437" s="110" t="s">
        <v>130</v>
      </c>
      <c r="C437" s="111">
        <v>67.959999999999994</v>
      </c>
      <c r="D437" s="111">
        <v>91.07</v>
      </c>
      <c r="E437" s="111">
        <v>74.040000000000006</v>
      </c>
      <c r="F437" s="111">
        <v>74.45</v>
      </c>
      <c r="G437" s="111">
        <v>78.72</v>
      </c>
      <c r="H437" s="111">
        <v>76.58</v>
      </c>
      <c r="I437" s="111">
        <v>81.349999999999994</v>
      </c>
    </row>
    <row r="438" spans="2:9" ht="15.75" thickBot="1">
      <c r="B438" s="112" t="s">
        <v>342</v>
      </c>
      <c r="C438" s="113">
        <v>72.989999999999995</v>
      </c>
      <c r="D438" s="113">
        <v>99.04</v>
      </c>
      <c r="E438" s="113">
        <v>80</v>
      </c>
      <c r="F438" s="113">
        <v>84.75</v>
      </c>
      <c r="G438" s="113">
        <v>83.95</v>
      </c>
      <c r="H438" s="113">
        <v>89.61</v>
      </c>
      <c r="I438" s="113">
        <v>93.45</v>
      </c>
    </row>
    <row r="439" spans="2:9" ht="15.75" thickBot="1">
      <c r="B439" s="114" t="s">
        <v>343</v>
      </c>
      <c r="C439" s="115">
        <v>60.71</v>
      </c>
      <c r="D439" s="115">
        <v>98.57</v>
      </c>
      <c r="E439" s="115">
        <v>79.77</v>
      </c>
      <c r="F439" s="115">
        <v>87.66</v>
      </c>
      <c r="G439" s="115">
        <v>86.3</v>
      </c>
      <c r="H439" s="115">
        <v>90.11</v>
      </c>
      <c r="I439" s="115">
        <v>93.76</v>
      </c>
    </row>
    <row r="440" spans="2:9">
      <c r="B440" t="s">
        <v>344</v>
      </c>
      <c r="C440" s="116">
        <v>66.8</v>
      </c>
      <c r="D440" s="116">
        <v>94.93</v>
      </c>
      <c r="E440" s="116">
        <v>79.16</v>
      </c>
      <c r="F440" s="116">
        <v>83.16</v>
      </c>
      <c r="G440" s="116">
        <v>83.39</v>
      </c>
      <c r="H440" s="116">
        <v>84.44</v>
      </c>
      <c r="I440" s="116">
        <v>91.35</v>
      </c>
    </row>
    <row r="441" spans="2:9">
      <c r="B441" t="s">
        <v>345</v>
      </c>
      <c r="C441" s="117">
        <v>8</v>
      </c>
      <c r="D441" s="117">
        <v>14</v>
      </c>
      <c r="E441" s="117">
        <v>41</v>
      </c>
      <c r="F441" s="117">
        <v>199</v>
      </c>
      <c r="G441" s="117">
        <v>2612</v>
      </c>
      <c r="H441" s="117">
        <v>95</v>
      </c>
      <c r="I441" s="117">
        <v>21</v>
      </c>
    </row>
    <row r="442" spans="2:9">
      <c r="B442" t="s">
        <v>346</v>
      </c>
      <c r="C442" s="118">
        <v>71.709999999999994</v>
      </c>
      <c r="D442" s="118">
        <v>94.66</v>
      </c>
      <c r="E442" s="118">
        <v>78.58</v>
      </c>
      <c r="F442" s="118">
        <v>74.38</v>
      </c>
      <c r="G442" s="118">
        <v>80.41</v>
      </c>
      <c r="H442" s="118">
        <v>84.16</v>
      </c>
      <c r="I442" s="118" t="s">
        <v>153</v>
      </c>
    </row>
    <row r="443" spans="2:9">
      <c r="B443" t="s">
        <v>347</v>
      </c>
      <c r="C443" s="119">
        <v>22</v>
      </c>
      <c r="D443" s="119">
        <v>10</v>
      </c>
      <c r="E443" s="119">
        <v>47</v>
      </c>
      <c r="F443" s="119">
        <v>187</v>
      </c>
      <c r="G443" s="119">
        <v>2535</v>
      </c>
      <c r="H443" s="119">
        <v>89</v>
      </c>
      <c r="I443" s="119" t="s">
        <v>10</v>
      </c>
    </row>
    <row r="444" spans="2:9" ht="33.75">
      <c r="B444" t="s">
        <v>348</v>
      </c>
      <c r="C444" s="120" t="s">
        <v>406</v>
      </c>
      <c r="D444" s="120" t="s">
        <v>407</v>
      </c>
      <c r="E444" s="120" t="s">
        <v>408</v>
      </c>
      <c r="F444" s="120" t="s">
        <v>409</v>
      </c>
      <c r="G444" s="120" t="s">
        <v>410</v>
      </c>
      <c r="H444" s="120" t="s">
        <v>411</v>
      </c>
      <c r="I444" s="120" t="s">
        <v>412</v>
      </c>
    </row>
    <row r="445" spans="2:9">
      <c r="B445" t="s">
        <v>441</v>
      </c>
      <c r="C445" s="116">
        <v>82.91</v>
      </c>
      <c r="D445" s="116">
        <v>82.91</v>
      </c>
      <c r="E445" s="116">
        <v>82.91</v>
      </c>
      <c r="F445" s="116">
        <v>82.91</v>
      </c>
      <c r="G445" s="116">
        <v>82.91</v>
      </c>
      <c r="H445" s="116">
        <v>82.91</v>
      </c>
      <c r="I445" s="116">
        <v>82.91</v>
      </c>
    </row>
    <row r="446" spans="2:9">
      <c r="B446" t="s">
        <v>442</v>
      </c>
      <c r="C446" s="121">
        <v>75</v>
      </c>
      <c r="D446" s="121">
        <v>100</v>
      </c>
      <c r="E446" s="121">
        <v>75.61</v>
      </c>
      <c r="F446" s="121">
        <v>86.36</v>
      </c>
      <c r="G446" s="121">
        <v>83.41</v>
      </c>
      <c r="H446" s="121">
        <v>91.58</v>
      </c>
      <c r="I446" s="121">
        <v>100</v>
      </c>
    </row>
    <row r="465" spans="2:9" ht="15.75" thickBot="1">
      <c r="B465" s="107" t="s">
        <v>131</v>
      </c>
      <c r="C465" s="106">
        <v>90.49</v>
      </c>
      <c r="D465" s="106">
        <v>78.42</v>
      </c>
      <c r="E465" s="106">
        <v>89.17</v>
      </c>
      <c r="F465" s="106">
        <v>84.63</v>
      </c>
      <c r="G465" s="106">
        <v>81.78</v>
      </c>
      <c r="H465" s="106" t="s">
        <v>153</v>
      </c>
      <c r="I465" s="106">
        <v>97.14</v>
      </c>
    </row>
    <row r="466" spans="2:9" ht="15.75" thickBot="1">
      <c r="B466" s="108" t="s">
        <v>132</v>
      </c>
      <c r="C466" s="109">
        <v>90.16</v>
      </c>
      <c r="D466" s="109">
        <v>79.81</v>
      </c>
      <c r="E466" s="109">
        <v>87.3</v>
      </c>
      <c r="F466" s="109">
        <v>79.87</v>
      </c>
      <c r="G466" s="109">
        <v>83.85</v>
      </c>
      <c r="H466" s="109" t="s">
        <v>153</v>
      </c>
      <c r="I466" s="109">
        <v>95.38</v>
      </c>
    </row>
    <row r="467" spans="2:9" ht="15.75" thickBot="1">
      <c r="B467" s="110" t="s">
        <v>130</v>
      </c>
      <c r="C467" s="111">
        <v>80.63</v>
      </c>
      <c r="D467" s="111">
        <v>70.56</v>
      </c>
      <c r="E467" s="111">
        <v>81.760000000000005</v>
      </c>
      <c r="F467" s="111">
        <v>76.849999999999994</v>
      </c>
      <c r="G467" s="111">
        <v>73.540000000000006</v>
      </c>
      <c r="H467" s="111" t="s">
        <v>153</v>
      </c>
      <c r="I467" s="111">
        <v>85</v>
      </c>
    </row>
    <row r="468" spans="2:9" ht="15.75" thickBot="1">
      <c r="B468" s="112" t="s">
        <v>342</v>
      </c>
      <c r="C468" s="113">
        <v>88.73</v>
      </c>
      <c r="D468" s="113">
        <v>76.319999999999993</v>
      </c>
      <c r="E468" s="113">
        <v>90.11</v>
      </c>
      <c r="F468" s="113">
        <v>80.97</v>
      </c>
      <c r="G468" s="113">
        <v>81.84</v>
      </c>
      <c r="H468" s="113" t="s">
        <v>153</v>
      </c>
      <c r="I468" s="113">
        <v>96.25</v>
      </c>
    </row>
    <row r="469" spans="2:9" ht="15.75" thickBot="1">
      <c r="B469" s="114" t="s">
        <v>343</v>
      </c>
      <c r="C469" s="115">
        <v>92.57</v>
      </c>
      <c r="D469" s="115">
        <v>79.37</v>
      </c>
      <c r="E469" s="115">
        <v>91.39</v>
      </c>
      <c r="F469" s="115">
        <v>85.14</v>
      </c>
      <c r="G469" s="115">
        <v>86.85</v>
      </c>
      <c r="H469" s="115" t="s">
        <v>153</v>
      </c>
      <c r="I469" s="115">
        <v>91</v>
      </c>
    </row>
    <row r="470" spans="2:9">
      <c r="B470" t="s">
        <v>344</v>
      </c>
      <c r="C470" s="116">
        <v>88.51</v>
      </c>
      <c r="D470" s="116">
        <v>77.03</v>
      </c>
      <c r="E470" s="116">
        <v>87.77</v>
      </c>
      <c r="F470" s="116">
        <v>81.510000000000005</v>
      </c>
      <c r="G470" s="116">
        <v>81.52</v>
      </c>
      <c r="H470" s="116" t="s">
        <v>153</v>
      </c>
      <c r="I470" s="116">
        <v>93.1</v>
      </c>
    </row>
    <row r="471" spans="2:9">
      <c r="B471" t="s">
        <v>345</v>
      </c>
      <c r="C471" s="117">
        <v>170</v>
      </c>
      <c r="D471" s="117">
        <v>102</v>
      </c>
      <c r="E471" s="117">
        <v>60</v>
      </c>
      <c r="F471" s="117">
        <v>1478</v>
      </c>
      <c r="G471" s="117">
        <v>73</v>
      </c>
      <c r="H471" s="117">
        <v>3</v>
      </c>
      <c r="I471" s="117">
        <v>10</v>
      </c>
    </row>
    <row r="472" spans="2:9">
      <c r="B472" t="s">
        <v>346</v>
      </c>
      <c r="C472" s="118">
        <v>87.49</v>
      </c>
      <c r="D472" s="118">
        <v>80.099999999999994</v>
      </c>
      <c r="E472" s="118">
        <v>77.22</v>
      </c>
      <c r="F472" s="118">
        <v>75.45</v>
      </c>
      <c r="G472" s="118">
        <v>82.2</v>
      </c>
      <c r="H472" s="118" t="s">
        <v>153</v>
      </c>
      <c r="I472" s="118">
        <v>91.82</v>
      </c>
    </row>
    <row r="473" spans="2:9">
      <c r="B473" t="s">
        <v>347</v>
      </c>
      <c r="C473" s="119">
        <v>159</v>
      </c>
      <c r="D473" s="119">
        <v>99</v>
      </c>
      <c r="E473" s="119">
        <v>55</v>
      </c>
      <c r="F473" s="119">
        <v>1432</v>
      </c>
      <c r="G473" s="119">
        <v>77</v>
      </c>
      <c r="H473" s="119">
        <v>5</v>
      </c>
      <c r="I473" s="119">
        <v>11</v>
      </c>
    </row>
    <row r="474" spans="2:9" ht="33.75">
      <c r="B474" t="s">
        <v>348</v>
      </c>
      <c r="C474" s="120" t="s">
        <v>413</v>
      </c>
      <c r="D474" s="120" t="s">
        <v>414</v>
      </c>
      <c r="E474" s="120" t="s">
        <v>415</v>
      </c>
      <c r="F474" s="120" t="s">
        <v>416</v>
      </c>
      <c r="G474" s="120" t="s">
        <v>417</v>
      </c>
      <c r="H474" s="120" t="s">
        <v>418</v>
      </c>
      <c r="I474" s="120" t="s">
        <v>419</v>
      </c>
    </row>
    <row r="475" spans="2:9">
      <c r="B475" t="s">
        <v>441</v>
      </c>
      <c r="C475" s="116">
        <v>82.91</v>
      </c>
      <c r="D475" s="116">
        <v>82.91</v>
      </c>
      <c r="E475" s="116">
        <v>82.91</v>
      </c>
      <c r="F475" s="116">
        <v>82.91</v>
      </c>
      <c r="G475" s="116">
        <v>82.91</v>
      </c>
      <c r="H475" s="116">
        <v>82.91</v>
      </c>
      <c r="I475" s="116">
        <v>82.91</v>
      </c>
    </row>
    <row r="476" spans="2:9">
      <c r="B476" t="s">
        <v>442</v>
      </c>
      <c r="C476" s="121">
        <v>91.12</v>
      </c>
      <c r="D476" s="121">
        <v>81.37</v>
      </c>
      <c r="E476" s="121">
        <v>91.53</v>
      </c>
      <c r="F476" s="121">
        <v>83.23</v>
      </c>
      <c r="G476" s="121">
        <v>87.67</v>
      </c>
      <c r="H476" s="121" t="s">
        <v>153</v>
      </c>
      <c r="I476" s="121">
        <v>100</v>
      </c>
    </row>
    <row r="525" spans="2:6" ht="15.75" thickBot="1">
      <c r="B525" s="107" t="s">
        <v>131</v>
      </c>
      <c r="C525" s="106">
        <v>92.06</v>
      </c>
      <c r="D525" s="106">
        <v>82.99</v>
      </c>
      <c r="E525" s="106">
        <v>73.010000000000005</v>
      </c>
      <c r="F525" s="106">
        <v>58.22</v>
      </c>
    </row>
    <row r="526" spans="2:6" ht="15.75" thickBot="1">
      <c r="B526" s="108" t="s">
        <v>132</v>
      </c>
      <c r="C526" s="109">
        <v>87.65</v>
      </c>
      <c r="D526" s="109">
        <v>78.34</v>
      </c>
      <c r="E526" s="109">
        <v>69.09</v>
      </c>
      <c r="F526" s="109">
        <v>54.71</v>
      </c>
    </row>
    <row r="527" spans="2:6" ht="15.75" thickBot="1">
      <c r="B527" s="110" t="s">
        <v>130</v>
      </c>
      <c r="C527" s="111">
        <v>83.2</v>
      </c>
      <c r="D527" s="111">
        <v>74.31</v>
      </c>
      <c r="E527" s="111">
        <v>66.7</v>
      </c>
      <c r="F527" s="111">
        <v>56.94</v>
      </c>
    </row>
    <row r="528" spans="2:6" ht="15.75" thickBot="1">
      <c r="B528" s="112" t="s">
        <v>342</v>
      </c>
      <c r="C528" s="113">
        <v>87.6</v>
      </c>
      <c r="D528" s="113">
        <v>81.8</v>
      </c>
      <c r="E528" s="113">
        <v>71.7</v>
      </c>
      <c r="F528" s="113">
        <v>66.19</v>
      </c>
    </row>
    <row r="529" spans="2:6" ht="15.75" thickBot="1">
      <c r="B529" s="114" t="s">
        <v>343</v>
      </c>
      <c r="C529" s="115">
        <v>90.98</v>
      </c>
      <c r="D529" s="115">
        <v>84.03</v>
      </c>
      <c r="E529" s="115">
        <v>75.88</v>
      </c>
      <c r="F529" s="115">
        <v>65.92</v>
      </c>
    </row>
    <row r="530" spans="2:6">
      <c r="B530" t="s">
        <v>344</v>
      </c>
      <c r="C530" s="116">
        <v>88.39</v>
      </c>
      <c r="D530" s="116">
        <v>80.150000000000006</v>
      </c>
      <c r="E530" s="116">
        <v>71.099999999999994</v>
      </c>
      <c r="F530" s="116">
        <v>59.77</v>
      </c>
    </row>
    <row r="531" spans="2:6">
      <c r="B531" t="s">
        <v>345</v>
      </c>
      <c r="C531" s="117">
        <v>2444</v>
      </c>
      <c r="D531" s="117">
        <v>1088</v>
      </c>
      <c r="E531" s="117">
        <v>501</v>
      </c>
      <c r="F531" s="117">
        <v>116</v>
      </c>
    </row>
    <row r="532" spans="2:6">
      <c r="B532" t="s">
        <v>346</v>
      </c>
      <c r="C532" s="118">
        <v>84.86</v>
      </c>
      <c r="D532" s="118">
        <v>74.510000000000005</v>
      </c>
      <c r="E532" s="118">
        <v>66.599999999999994</v>
      </c>
      <c r="F532" s="118">
        <v>55.18</v>
      </c>
    </row>
    <row r="533" spans="2:6">
      <c r="B533" t="s">
        <v>347</v>
      </c>
      <c r="C533" s="119">
        <v>2773</v>
      </c>
      <c r="D533" s="119">
        <v>1087</v>
      </c>
      <c r="E533" s="119">
        <v>595</v>
      </c>
      <c r="F533" s="119">
        <v>110</v>
      </c>
    </row>
    <row r="534" spans="2:6">
      <c r="B534" t="s">
        <v>348</v>
      </c>
      <c r="C534" s="120" t="s">
        <v>147</v>
      </c>
      <c r="D534" s="120" t="s">
        <v>148</v>
      </c>
      <c r="E534" s="120" t="s">
        <v>149</v>
      </c>
      <c r="F534" s="120" t="s">
        <v>150</v>
      </c>
    </row>
    <row r="535" spans="2:6">
      <c r="B535" t="s">
        <v>441</v>
      </c>
      <c r="C535" s="116">
        <v>82.91</v>
      </c>
      <c r="D535" s="116">
        <v>82.91</v>
      </c>
      <c r="E535" s="116">
        <v>82.91</v>
      </c>
      <c r="F535" s="116">
        <v>82.91</v>
      </c>
    </row>
    <row r="536" spans="2:6">
      <c r="B536" t="s">
        <v>442</v>
      </c>
      <c r="C536" s="121">
        <v>89.51</v>
      </c>
      <c r="D536" s="121">
        <v>82.26</v>
      </c>
      <c r="E536" s="121">
        <v>70.599999999999994</v>
      </c>
      <c r="F536" s="121">
        <v>68.099999999999994</v>
      </c>
    </row>
    <row r="585" spans="2:7" ht="15.75" thickBot="1">
      <c r="B585" s="107" t="s">
        <v>131</v>
      </c>
      <c r="C585" s="106">
        <v>88.46</v>
      </c>
      <c r="D585" s="106">
        <v>81.81</v>
      </c>
      <c r="E585" s="106">
        <v>69.47</v>
      </c>
      <c r="F585" s="106">
        <v>90.75</v>
      </c>
      <c r="G585" s="106">
        <v>71.900000000000006</v>
      </c>
    </row>
    <row r="586" spans="2:7" ht="15.75" thickBot="1">
      <c r="B586" s="108" t="s">
        <v>132</v>
      </c>
      <c r="C586" s="109">
        <v>84.45</v>
      </c>
      <c r="D586" s="109">
        <v>75.67</v>
      </c>
      <c r="E586" s="109">
        <v>62.34</v>
      </c>
      <c r="F586" s="109">
        <v>87.24</v>
      </c>
      <c r="G586" s="109">
        <v>66.099999999999994</v>
      </c>
    </row>
    <row r="587" spans="2:7" ht="15.75" thickBot="1">
      <c r="B587" s="110" t="s">
        <v>130</v>
      </c>
      <c r="C587" s="111">
        <v>79.25</v>
      </c>
      <c r="D587" s="111">
        <v>73.47</v>
      </c>
      <c r="E587" s="111">
        <v>59.43</v>
      </c>
      <c r="F587" s="111">
        <v>82.97</v>
      </c>
      <c r="G587" s="111">
        <v>62.41</v>
      </c>
    </row>
    <row r="588" spans="2:7" ht="15.75" thickBot="1">
      <c r="B588" s="112" t="s">
        <v>342</v>
      </c>
      <c r="C588" s="113">
        <v>84.85</v>
      </c>
      <c r="D588" s="113">
        <v>75.930000000000007</v>
      </c>
      <c r="E588" s="113">
        <v>67.13</v>
      </c>
      <c r="F588" s="113">
        <v>89.76</v>
      </c>
      <c r="G588" s="113">
        <v>66.989999999999995</v>
      </c>
    </row>
    <row r="589" spans="2:7" ht="15.75" thickBot="1">
      <c r="B589" s="114" t="s">
        <v>343</v>
      </c>
      <c r="C589" s="115">
        <v>88.44</v>
      </c>
      <c r="D589" s="115">
        <v>81.05</v>
      </c>
      <c r="E589" s="115">
        <v>68.94</v>
      </c>
      <c r="F589" s="115">
        <v>91.63</v>
      </c>
      <c r="G589" s="115">
        <v>70.739999999999995</v>
      </c>
    </row>
    <row r="590" spans="2:7">
      <c r="B590" t="s">
        <v>344</v>
      </c>
      <c r="C590" s="116">
        <v>85.13</v>
      </c>
      <c r="D590" s="116">
        <v>77.69</v>
      </c>
      <c r="E590" s="116">
        <v>65.31</v>
      </c>
      <c r="F590" s="116">
        <v>88.38</v>
      </c>
      <c r="G590" s="116">
        <v>67.58</v>
      </c>
    </row>
    <row r="591" spans="2:7">
      <c r="B591" t="s">
        <v>345</v>
      </c>
      <c r="C591" s="117">
        <v>680</v>
      </c>
      <c r="D591" s="117">
        <v>940</v>
      </c>
      <c r="E591" s="117">
        <v>101</v>
      </c>
      <c r="F591" s="117">
        <v>1993</v>
      </c>
      <c r="G591" s="117">
        <v>218</v>
      </c>
    </row>
    <row r="592" spans="2:7">
      <c r="B592" t="s">
        <v>346</v>
      </c>
      <c r="C592" s="118">
        <v>80.739999999999995</v>
      </c>
      <c r="D592" s="118">
        <v>74.11</v>
      </c>
      <c r="E592" s="118">
        <v>60.51</v>
      </c>
      <c r="F592" s="118">
        <v>85.59</v>
      </c>
      <c r="G592" s="118">
        <v>59.82</v>
      </c>
    </row>
    <row r="593" spans="2:7">
      <c r="B593" t="s">
        <v>347</v>
      </c>
      <c r="C593" s="119">
        <v>764</v>
      </c>
      <c r="D593" s="119">
        <v>1235</v>
      </c>
      <c r="E593" s="119">
        <v>132</v>
      </c>
      <c r="F593" s="119">
        <v>2149</v>
      </c>
      <c r="G593" s="119">
        <v>297</v>
      </c>
    </row>
    <row r="594" spans="2:7" ht="67.5">
      <c r="B594" t="s">
        <v>348</v>
      </c>
      <c r="C594" s="120" t="s">
        <v>288</v>
      </c>
      <c r="D594" s="120" t="s">
        <v>289</v>
      </c>
      <c r="E594" s="120" t="s">
        <v>290</v>
      </c>
      <c r="F594" s="120" t="s">
        <v>291</v>
      </c>
      <c r="G594" s="120" t="s">
        <v>292</v>
      </c>
    </row>
    <row r="595" spans="2:7">
      <c r="B595" t="s">
        <v>441</v>
      </c>
      <c r="C595" s="116">
        <v>82.91</v>
      </c>
      <c r="D595" s="116">
        <v>82.91</v>
      </c>
      <c r="E595" s="116">
        <v>82.91</v>
      </c>
      <c r="F595" s="116">
        <v>82.91</v>
      </c>
      <c r="G595" s="116">
        <v>82.91</v>
      </c>
    </row>
    <row r="596" spans="2:7">
      <c r="B596" t="s">
        <v>442</v>
      </c>
      <c r="C596" s="121">
        <v>87.3</v>
      </c>
      <c r="D596" s="121">
        <v>77.290000000000006</v>
      </c>
      <c r="E596" s="121">
        <v>65.349999999999994</v>
      </c>
      <c r="F596" s="121">
        <v>91.62</v>
      </c>
      <c r="G596" s="121">
        <v>61.47</v>
      </c>
    </row>
    <row r="645" spans="2:6" ht="15.75" thickBot="1">
      <c r="B645" s="107" t="s">
        <v>131</v>
      </c>
      <c r="C645" s="106">
        <v>93.66</v>
      </c>
      <c r="D645" s="106">
        <v>88.03</v>
      </c>
      <c r="E645" s="106">
        <v>82.62</v>
      </c>
      <c r="F645" s="106">
        <v>65.010000000000005</v>
      </c>
    </row>
    <row r="646" spans="2:6" ht="15.75" thickBot="1">
      <c r="B646" s="108" t="s">
        <v>132</v>
      </c>
      <c r="C646" s="109">
        <v>89.83</v>
      </c>
      <c r="D646" s="109">
        <v>83.54</v>
      </c>
      <c r="E646" s="109">
        <v>77.73</v>
      </c>
      <c r="F646" s="109">
        <v>61.02</v>
      </c>
    </row>
    <row r="647" spans="2:6" ht="15.75" thickBot="1">
      <c r="B647" s="110" t="s">
        <v>130</v>
      </c>
      <c r="C647" s="111">
        <v>85.29</v>
      </c>
      <c r="D647" s="111">
        <v>79.36</v>
      </c>
      <c r="E647" s="111">
        <v>73.209999999999994</v>
      </c>
      <c r="F647" s="111">
        <v>61.49</v>
      </c>
    </row>
    <row r="648" spans="2:6" ht="15.75" thickBot="1">
      <c r="B648" s="112" t="s">
        <v>342</v>
      </c>
      <c r="C648" s="113">
        <v>89.45</v>
      </c>
      <c r="D648" s="113">
        <v>84.49</v>
      </c>
      <c r="E648" s="113">
        <v>80.319999999999993</v>
      </c>
      <c r="F648" s="113">
        <v>67.36</v>
      </c>
    </row>
    <row r="649" spans="2:6" ht="15.75" thickBot="1">
      <c r="B649" s="114" t="s">
        <v>343</v>
      </c>
      <c r="C649" s="115">
        <v>93.27</v>
      </c>
      <c r="D649" s="115">
        <v>88.22</v>
      </c>
      <c r="E649" s="115">
        <v>84</v>
      </c>
      <c r="F649" s="115">
        <v>70.72</v>
      </c>
    </row>
    <row r="650" spans="2:6">
      <c r="B650" t="s">
        <v>344</v>
      </c>
      <c r="C650" s="116">
        <v>90.42</v>
      </c>
      <c r="D650" s="116">
        <v>84.77</v>
      </c>
      <c r="E650" s="116">
        <v>79.48</v>
      </c>
      <c r="F650" s="116">
        <v>64.67</v>
      </c>
    </row>
    <row r="651" spans="2:6">
      <c r="B651" t="s">
        <v>345</v>
      </c>
      <c r="C651" s="117">
        <v>789</v>
      </c>
      <c r="D651" s="117">
        <v>283</v>
      </c>
      <c r="E651" s="117">
        <v>450</v>
      </c>
      <c r="F651" s="117">
        <v>317</v>
      </c>
    </row>
    <row r="652" spans="2:6">
      <c r="B652" t="s">
        <v>346</v>
      </c>
      <c r="C652" s="118" t="s">
        <v>153</v>
      </c>
      <c r="D652" s="118" t="s">
        <v>153</v>
      </c>
      <c r="E652" s="118" t="s">
        <v>153</v>
      </c>
      <c r="F652" s="118" t="s">
        <v>153</v>
      </c>
    </row>
    <row r="653" spans="2:6">
      <c r="B653" t="s">
        <v>347</v>
      </c>
      <c r="C653" s="119" t="s">
        <v>10</v>
      </c>
      <c r="D653" s="119" t="s">
        <v>10</v>
      </c>
      <c r="E653" s="119" t="s">
        <v>10</v>
      </c>
      <c r="F653" s="119" t="s">
        <v>10</v>
      </c>
    </row>
    <row r="654" spans="2:6">
      <c r="B654" t="s">
        <v>348</v>
      </c>
      <c r="C654" s="120" t="s">
        <v>420</v>
      </c>
      <c r="D654" s="120" t="s">
        <v>148</v>
      </c>
      <c r="E654" s="120" t="s">
        <v>149</v>
      </c>
      <c r="F654" s="120" t="s">
        <v>150</v>
      </c>
    </row>
    <row r="655" spans="2:6">
      <c r="B655" t="s">
        <v>441</v>
      </c>
      <c r="C655" s="116">
        <v>82.91</v>
      </c>
      <c r="D655" s="116">
        <v>82.91</v>
      </c>
      <c r="E655" s="116">
        <v>82.91</v>
      </c>
      <c r="F655" s="116">
        <v>82.91</v>
      </c>
    </row>
    <row r="656" spans="2:6">
      <c r="B656" t="s">
        <v>442</v>
      </c>
      <c r="C656" s="121">
        <v>93.54</v>
      </c>
      <c r="D656" s="121">
        <v>87.99</v>
      </c>
      <c r="E656" s="121">
        <v>81.739999999999995</v>
      </c>
      <c r="F656" s="121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4:AJ504"/>
  <sheetViews>
    <sheetView tabSelected="1" topLeftCell="A206" workbookViewId="0">
      <selection activeCell="E206" sqref="E205:E20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88" customWidth="1"/>
    <col min="26" max="26" width="25" bestFit="1" customWidth="1"/>
  </cols>
  <sheetData>
    <row r="14" spans="26:36" ht="15.75" thickBot="1"/>
    <row r="15" spans="26:36" ht="15.75" thickBot="1">
      <c r="Z15" s="138" t="s">
        <v>20</v>
      </c>
      <c r="AA15" s="139">
        <v>2007</v>
      </c>
      <c r="AB15" s="139">
        <v>2008</v>
      </c>
      <c r="AC15" s="139">
        <v>2009</v>
      </c>
      <c r="AD15" s="139">
        <v>2010</v>
      </c>
      <c r="AE15" s="139">
        <v>2011</v>
      </c>
      <c r="AF15" s="139">
        <v>2012</v>
      </c>
      <c r="AG15" s="139">
        <v>2013</v>
      </c>
      <c r="AH15" s="139">
        <v>2014</v>
      </c>
      <c r="AI15" s="139">
        <v>2015</v>
      </c>
      <c r="AJ15" s="139">
        <v>2016</v>
      </c>
    </row>
    <row r="16" spans="26:36" ht="15.75" thickBot="1">
      <c r="Z16" s="142" t="s">
        <v>21</v>
      </c>
      <c r="AA16" s="143">
        <v>376</v>
      </c>
      <c r="AB16" s="143">
        <v>387</v>
      </c>
      <c r="AC16" s="143">
        <v>532</v>
      </c>
      <c r="AD16" s="143">
        <v>581</v>
      </c>
      <c r="AE16" s="143">
        <v>676</v>
      </c>
      <c r="AF16" s="143">
        <v>704</v>
      </c>
      <c r="AG16" s="143">
        <v>711</v>
      </c>
      <c r="AH16" s="143">
        <v>669</v>
      </c>
      <c r="AI16" s="143">
        <v>664</v>
      </c>
      <c r="AJ16" s="143">
        <v>669</v>
      </c>
    </row>
    <row r="17" spans="26:36" ht="15.75" thickBot="1">
      <c r="Z17" s="142" t="s">
        <v>9</v>
      </c>
      <c r="AA17" s="143">
        <v>336</v>
      </c>
      <c r="AB17" s="143">
        <v>364</v>
      </c>
      <c r="AC17" s="143">
        <v>491</v>
      </c>
      <c r="AD17" s="143">
        <v>448</v>
      </c>
      <c r="AE17" s="143">
        <v>560</v>
      </c>
      <c r="AF17" s="143">
        <v>594</v>
      </c>
      <c r="AG17" s="143">
        <v>610</v>
      </c>
      <c r="AH17" s="143">
        <v>580</v>
      </c>
      <c r="AI17" s="143">
        <v>600</v>
      </c>
      <c r="AJ17" s="143">
        <v>546</v>
      </c>
    </row>
    <row r="18" spans="26:36" ht="15.75" thickBot="1">
      <c r="Z18" s="142" t="s">
        <v>22</v>
      </c>
      <c r="AA18" s="144">
        <v>0.9</v>
      </c>
      <c r="AB18" s="144">
        <v>0.94099999999999995</v>
      </c>
      <c r="AC18" s="144">
        <v>0.92</v>
      </c>
      <c r="AD18" s="144">
        <v>0.77</v>
      </c>
      <c r="AE18" s="144">
        <v>0.83</v>
      </c>
      <c r="AF18" s="144">
        <v>0.84</v>
      </c>
      <c r="AG18" s="144">
        <v>0.86</v>
      </c>
      <c r="AH18" s="144">
        <v>0.87</v>
      </c>
      <c r="AI18" s="144">
        <v>0.90361445783132532</v>
      </c>
      <c r="AJ18" s="144">
        <v>0.81614349775784756</v>
      </c>
    </row>
    <row r="19" spans="26:36" ht="29.25" thickBot="1">
      <c r="Z19" s="142" t="s">
        <v>362</v>
      </c>
      <c r="AA19" s="145">
        <v>1.6400000000000001E-2</v>
      </c>
      <c r="AB19" s="145">
        <v>1.2500000000000001E-2</v>
      </c>
      <c r="AC19" s="145">
        <v>1.23E-2</v>
      </c>
      <c r="AD19" s="145">
        <v>2.2200000000000001E-2</v>
      </c>
      <c r="AE19" s="145">
        <v>1.72E-2</v>
      </c>
      <c r="AF19" s="145">
        <v>1.5900000000000001E-2</v>
      </c>
      <c r="AG19" s="145">
        <v>1.4999999999999999E-2</v>
      </c>
      <c r="AH19" s="145">
        <v>1.4800000000000001E-2</v>
      </c>
      <c r="AI19" s="145">
        <v>1.24E-2</v>
      </c>
      <c r="AJ19" s="145">
        <v>0</v>
      </c>
    </row>
    <row r="20" spans="26:36" ht="15.75" thickBot="1">
      <c r="Z20" s="142" t="s">
        <v>23</v>
      </c>
      <c r="AA20" s="146">
        <v>41081</v>
      </c>
      <c r="AB20" s="146">
        <v>41078</v>
      </c>
      <c r="AC20" s="146">
        <v>41076</v>
      </c>
      <c r="AD20" s="146">
        <v>41088</v>
      </c>
      <c r="AE20" s="146">
        <v>41112</v>
      </c>
      <c r="AF20" s="146">
        <v>41117</v>
      </c>
      <c r="AG20" s="146">
        <v>41484</v>
      </c>
      <c r="AH20" s="146">
        <v>41827</v>
      </c>
      <c r="AI20" s="146">
        <v>42193</v>
      </c>
      <c r="AJ20" s="146">
        <v>42559</v>
      </c>
    </row>
    <row r="21" spans="26:36" ht="15.75" thickBot="1">
      <c r="Z21" s="142" t="s">
        <v>24</v>
      </c>
      <c r="AA21" s="143" t="s">
        <v>25</v>
      </c>
      <c r="AB21" s="143" t="s">
        <v>25</v>
      </c>
      <c r="AC21" s="143" t="s">
        <v>25</v>
      </c>
      <c r="AD21" s="143" t="s">
        <v>25</v>
      </c>
      <c r="AE21" s="143" t="s">
        <v>25</v>
      </c>
      <c r="AF21" s="143" t="s">
        <v>25</v>
      </c>
      <c r="AG21" s="143" t="s">
        <v>25</v>
      </c>
      <c r="AH21" s="143" t="s">
        <v>25</v>
      </c>
      <c r="AI21" s="143" t="s">
        <v>25</v>
      </c>
      <c r="AJ21" s="143" t="s">
        <v>25</v>
      </c>
    </row>
    <row r="267" spans="2:9">
      <c r="B267" s="213" t="s">
        <v>32</v>
      </c>
      <c r="C267" s="215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13"/>
      <c r="C268" s="216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13"/>
      <c r="C269" s="215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14"/>
      <c r="C270" s="216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13" t="s">
        <v>39</v>
      </c>
      <c r="C271" s="215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13"/>
      <c r="C272" s="215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13"/>
      <c r="C273" s="216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13"/>
      <c r="C274" s="215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13"/>
      <c r="C275" s="216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14"/>
      <c r="C276" s="180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13" t="s">
        <v>49</v>
      </c>
      <c r="C277" s="215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13"/>
      <c r="C278" s="215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13"/>
      <c r="C279" s="216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14"/>
      <c r="C280" s="180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42" t="s">
        <v>56</v>
      </c>
      <c r="C293" s="245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43"/>
      <c r="C294" s="246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43"/>
      <c r="C295" s="247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44"/>
      <c r="C296" s="246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42" t="s">
        <v>63</v>
      </c>
      <c r="C297" s="247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44"/>
      <c r="C298" s="246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42" t="s">
        <v>67</v>
      </c>
      <c r="C299" s="247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43"/>
      <c r="C300" s="247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43"/>
      <c r="C301" s="246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43"/>
      <c r="C302" s="247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43"/>
      <c r="C303" s="247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43"/>
      <c r="C304" s="247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44"/>
      <c r="C305" s="246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50" t="s">
        <v>77</v>
      </c>
      <c r="C320" s="252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50"/>
      <c r="C321" s="253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50"/>
      <c r="C322" s="254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51"/>
      <c r="C323" s="255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62" t="s">
        <v>84</v>
      </c>
      <c r="C324" s="262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63"/>
      <c r="C325" s="263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64"/>
      <c r="C326" s="264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70" t="s">
        <v>88</v>
      </c>
      <c r="C327" s="254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50"/>
      <c r="C328" s="253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50"/>
      <c r="C329" s="253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50"/>
      <c r="C330" s="253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51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77" t="s">
        <v>96</v>
      </c>
      <c r="C347" s="278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79"/>
      <c r="C348" s="280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77" t="s">
        <v>99</v>
      </c>
      <c r="C349" s="278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79"/>
      <c r="C350" s="280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77" t="s">
        <v>102</v>
      </c>
      <c r="C351" s="278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84"/>
      <c r="C352" s="285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84"/>
      <c r="C353" s="285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79"/>
      <c r="C354" s="280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93" t="s">
        <v>107</v>
      </c>
      <c r="C373" s="293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93"/>
      <c r="C374" s="293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94"/>
      <c r="C375" s="294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95" t="s">
        <v>111</v>
      </c>
      <c r="C376" s="298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96"/>
      <c r="C377" s="299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96"/>
      <c r="C378" s="298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97"/>
      <c r="C379" s="300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303" t="s">
        <v>118</v>
      </c>
      <c r="C380" s="303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93"/>
      <c r="C381" s="293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94"/>
      <c r="C382" s="294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88">
        <v>2016</v>
      </c>
      <c r="O400" s="88">
        <v>2015</v>
      </c>
      <c r="P400" s="88" t="s">
        <v>28</v>
      </c>
      <c r="Q400" s="88" t="s">
        <v>29</v>
      </c>
      <c r="R400" s="88" t="s">
        <v>30</v>
      </c>
      <c r="S400" s="88" t="s">
        <v>31</v>
      </c>
    </row>
    <row r="401" spans="12:19" ht="20.100000000000001" customHeight="1">
      <c r="L401" s="322">
        <v>86</v>
      </c>
      <c r="M401" s="76" t="s">
        <v>32</v>
      </c>
      <c r="N401" s="88">
        <v>87</v>
      </c>
      <c r="O401" s="88">
        <v>84</v>
      </c>
      <c r="P401" s="88">
        <v>89</v>
      </c>
      <c r="Q401" s="88">
        <v>78</v>
      </c>
      <c r="R401" s="88">
        <v>-2</v>
      </c>
      <c r="S401" s="88">
        <v>9</v>
      </c>
    </row>
    <row r="402" spans="12:19" ht="20.100000000000001" customHeight="1">
      <c r="L402" s="322"/>
      <c r="M402" s="76" t="s">
        <v>39</v>
      </c>
      <c r="N402" s="88">
        <v>86</v>
      </c>
      <c r="O402" s="88">
        <v>82</v>
      </c>
      <c r="P402" s="88">
        <v>89</v>
      </c>
      <c r="Q402" s="88">
        <v>80</v>
      </c>
      <c r="R402" s="88">
        <v>-3</v>
      </c>
      <c r="S402" s="88">
        <v>6</v>
      </c>
    </row>
    <row r="403" spans="12:19" ht="20.100000000000001" customHeight="1" thickBot="1">
      <c r="L403" s="322"/>
      <c r="M403" s="89" t="s">
        <v>49</v>
      </c>
      <c r="N403" s="90">
        <v>86</v>
      </c>
      <c r="O403" s="90">
        <v>82</v>
      </c>
      <c r="P403" s="90">
        <v>90</v>
      </c>
      <c r="Q403" s="90">
        <v>79</v>
      </c>
      <c r="R403" s="90">
        <v>-4</v>
      </c>
      <c r="S403" s="90">
        <v>7</v>
      </c>
    </row>
    <row r="404" spans="12:19" ht="20.100000000000001" customHeight="1">
      <c r="L404" s="322">
        <v>82</v>
      </c>
      <c r="M404" s="76" t="s">
        <v>56</v>
      </c>
      <c r="N404" s="88">
        <v>82</v>
      </c>
      <c r="O404" s="88">
        <v>79</v>
      </c>
      <c r="P404" s="88">
        <v>89</v>
      </c>
      <c r="Q404" s="88">
        <v>77</v>
      </c>
      <c r="R404" s="88">
        <v>-7</v>
      </c>
      <c r="S404" s="88">
        <v>5</v>
      </c>
    </row>
    <row r="405" spans="12:19" ht="20.100000000000001" customHeight="1">
      <c r="L405" s="322"/>
      <c r="M405" s="76" t="s">
        <v>63</v>
      </c>
      <c r="N405" s="88">
        <v>81</v>
      </c>
      <c r="O405" s="88">
        <v>77</v>
      </c>
      <c r="P405" s="88">
        <v>87</v>
      </c>
      <c r="Q405" s="88">
        <v>73</v>
      </c>
      <c r="R405" s="88">
        <v>-6</v>
      </c>
      <c r="S405" s="88">
        <v>8</v>
      </c>
    </row>
    <row r="406" spans="12:19" ht="20.100000000000001" customHeight="1" thickBot="1">
      <c r="L406" s="322"/>
      <c r="M406" s="91" t="s">
        <v>67</v>
      </c>
      <c r="N406" s="92">
        <v>81</v>
      </c>
      <c r="O406" s="92">
        <v>77</v>
      </c>
      <c r="P406" s="92">
        <v>89</v>
      </c>
      <c r="Q406" s="92">
        <v>78</v>
      </c>
      <c r="R406" s="92">
        <v>-8</v>
      </c>
      <c r="S406" s="92">
        <v>3</v>
      </c>
    </row>
    <row r="407" spans="12:19" ht="20.100000000000001" customHeight="1">
      <c r="L407" s="322">
        <v>78</v>
      </c>
      <c r="M407" s="76" t="s">
        <v>77</v>
      </c>
      <c r="N407" s="88">
        <v>69</v>
      </c>
      <c r="O407" s="88">
        <v>63</v>
      </c>
      <c r="P407" s="88">
        <v>77</v>
      </c>
      <c r="Q407" s="88">
        <v>65</v>
      </c>
      <c r="R407" s="88">
        <v>-8</v>
      </c>
      <c r="S407" s="88">
        <v>4</v>
      </c>
    </row>
    <row r="408" spans="12:19" ht="20.100000000000001" customHeight="1">
      <c r="L408" s="322"/>
      <c r="M408" s="76" t="s">
        <v>84</v>
      </c>
      <c r="N408" s="88">
        <v>68</v>
      </c>
      <c r="O408" s="88">
        <v>62</v>
      </c>
      <c r="P408" s="88">
        <v>78</v>
      </c>
      <c r="Q408" s="88">
        <v>64</v>
      </c>
      <c r="R408" s="88">
        <v>-10</v>
      </c>
      <c r="S408" s="88">
        <v>4</v>
      </c>
    </row>
    <row r="409" spans="12:19" ht="20.100000000000001" customHeight="1" thickBot="1">
      <c r="L409" s="322"/>
      <c r="M409" s="93" t="s">
        <v>88</v>
      </c>
      <c r="N409" s="94">
        <v>91</v>
      </c>
      <c r="O409" s="94">
        <v>89</v>
      </c>
      <c r="P409" s="94">
        <v>96</v>
      </c>
      <c r="Q409" s="94">
        <v>91</v>
      </c>
      <c r="R409" s="94">
        <v>-5</v>
      </c>
      <c r="S409" s="94">
        <v>0</v>
      </c>
    </row>
    <row r="410" spans="12:19" ht="20.100000000000001" customHeight="1">
      <c r="L410" s="322">
        <v>83</v>
      </c>
      <c r="M410" s="76" t="s">
        <v>96</v>
      </c>
      <c r="N410" s="88">
        <v>81</v>
      </c>
      <c r="O410" s="88">
        <v>76</v>
      </c>
      <c r="P410" s="88">
        <v>88</v>
      </c>
      <c r="Q410" s="88">
        <v>77</v>
      </c>
      <c r="R410" s="88">
        <v>-7</v>
      </c>
      <c r="S410" s="88">
        <v>4</v>
      </c>
    </row>
    <row r="411" spans="12:19" ht="20.100000000000001" customHeight="1">
      <c r="L411" s="322"/>
      <c r="M411" s="76" t="s">
        <v>99</v>
      </c>
      <c r="N411" s="88">
        <v>84</v>
      </c>
      <c r="O411" s="88">
        <v>79</v>
      </c>
      <c r="P411" s="88">
        <v>91</v>
      </c>
      <c r="Q411" s="88">
        <v>80</v>
      </c>
      <c r="R411" s="88">
        <v>-7</v>
      </c>
      <c r="S411" s="88">
        <v>4</v>
      </c>
    </row>
    <row r="412" spans="12:19" ht="20.100000000000001" customHeight="1" thickBot="1">
      <c r="L412" s="322"/>
      <c r="M412" s="95" t="s">
        <v>102</v>
      </c>
      <c r="N412" s="96">
        <v>84</v>
      </c>
      <c r="O412" s="96">
        <v>79</v>
      </c>
      <c r="P412" s="96">
        <v>91</v>
      </c>
      <c r="Q412" s="96">
        <v>82</v>
      </c>
      <c r="R412" s="96">
        <v>-7</v>
      </c>
      <c r="S412" s="96">
        <v>2</v>
      </c>
    </row>
    <row r="413" spans="12:19" ht="20.100000000000001" customHeight="1">
      <c r="L413" s="322">
        <v>86</v>
      </c>
      <c r="M413" s="76" t="s">
        <v>107</v>
      </c>
      <c r="N413" s="88">
        <v>87</v>
      </c>
      <c r="O413" s="88">
        <v>83</v>
      </c>
      <c r="P413" s="88">
        <v>93</v>
      </c>
      <c r="Q413" s="88">
        <v>84</v>
      </c>
      <c r="R413" s="88">
        <v>-6</v>
      </c>
      <c r="S413" s="88">
        <v>3</v>
      </c>
    </row>
    <row r="414" spans="12:19" ht="20.100000000000001" customHeight="1">
      <c r="L414" s="322"/>
      <c r="M414" s="76" t="s">
        <v>111</v>
      </c>
      <c r="N414" s="88">
        <v>88</v>
      </c>
      <c r="O414" s="88">
        <v>84</v>
      </c>
      <c r="P414" s="88">
        <v>94</v>
      </c>
      <c r="Q414" s="88">
        <v>86</v>
      </c>
      <c r="R414" s="88">
        <v>-6</v>
      </c>
      <c r="S414" s="88">
        <v>2</v>
      </c>
    </row>
    <row r="415" spans="12:19" ht="20.100000000000001" customHeight="1" thickBot="1">
      <c r="L415" s="322"/>
      <c r="M415" s="97" t="s">
        <v>118</v>
      </c>
      <c r="N415" s="98">
        <v>82</v>
      </c>
      <c r="O415" s="98">
        <v>78</v>
      </c>
      <c r="P415" s="98">
        <v>90</v>
      </c>
      <c r="Q415" s="98">
        <v>78</v>
      </c>
      <c r="R415" s="98">
        <v>-8</v>
      </c>
      <c r="S415" s="98">
        <v>4</v>
      </c>
    </row>
    <row r="442" spans="4:7">
      <c r="D442" s="33">
        <v>59</v>
      </c>
      <c r="E442" s="34" t="s">
        <v>122</v>
      </c>
      <c r="F442" s="25">
        <v>85.1</v>
      </c>
      <c r="G442" s="25">
        <v>87.45</v>
      </c>
    </row>
    <row r="443" spans="4:7" ht="28.5">
      <c r="D443" s="33">
        <v>60</v>
      </c>
      <c r="E443" s="34" t="s">
        <v>123</v>
      </c>
      <c r="F443" s="25">
        <v>85.09</v>
      </c>
      <c r="G443" s="25">
        <v>79.87</v>
      </c>
    </row>
    <row r="444" spans="4:7" ht="28.5">
      <c r="D444" s="33">
        <v>61</v>
      </c>
      <c r="E444" s="34" t="s">
        <v>124</v>
      </c>
      <c r="F444" s="25">
        <v>54.8</v>
      </c>
      <c r="G444" s="25">
        <v>51.23</v>
      </c>
    </row>
    <row r="445" spans="4:7" ht="28.5">
      <c r="D445" s="33">
        <v>62</v>
      </c>
      <c r="E445" s="34" t="s">
        <v>125</v>
      </c>
      <c r="F445" s="25">
        <v>92.57</v>
      </c>
      <c r="G445" s="25">
        <v>89.81</v>
      </c>
    </row>
    <row r="446" spans="4:7">
      <c r="D446" s="33">
        <v>63</v>
      </c>
      <c r="E446" s="34" t="s">
        <v>126</v>
      </c>
      <c r="F446" s="25">
        <v>93.13</v>
      </c>
      <c r="G446" s="25">
        <v>90.92</v>
      </c>
    </row>
    <row r="447" spans="4:7" ht="28.5">
      <c r="D447" s="33">
        <v>64</v>
      </c>
      <c r="E447" s="34" t="s">
        <v>127</v>
      </c>
      <c r="F447" s="25">
        <v>85.46</v>
      </c>
      <c r="G447" s="25" t="s">
        <v>10</v>
      </c>
    </row>
    <row r="448" spans="4:7" ht="29.25" thickBot="1">
      <c r="D448" s="35">
        <v>65</v>
      </c>
      <c r="E448" s="36" t="s">
        <v>128</v>
      </c>
      <c r="F448" s="23">
        <v>80.86</v>
      </c>
      <c r="G448" s="25" t="s">
        <v>10</v>
      </c>
    </row>
    <row r="468" spans="1:7">
      <c r="A468" s="39" t="s">
        <v>130</v>
      </c>
      <c r="B468" s="40"/>
      <c r="C468" s="40" t="s">
        <v>88</v>
      </c>
      <c r="D468" s="41">
        <v>36</v>
      </c>
      <c r="E468" s="41" t="s">
        <v>91</v>
      </c>
      <c r="F468" s="42">
        <v>96.52</v>
      </c>
      <c r="G468" s="43">
        <v>13.61</v>
      </c>
    </row>
    <row r="469" spans="1:7">
      <c r="A469" s="44" t="s">
        <v>130</v>
      </c>
      <c r="B469" s="45"/>
      <c r="C469" s="45" t="s">
        <v>88</v>
      </c>
      <c r="D469" s="46">
        <v>37</v>
      </c>
      <c r="E469" s="46" t="s">
        <v>92</v>
      </c>
      <c r="F469" s="47">
        <v>94.97</v>
      </c>
      <c r="G469" s="48">
        <v>12.060000000000002</v>
      </c>
    </row>
    <row r="470" spans="1:7">
      <c r="A470" s="44" t="s">
        <v>130</v>
      </c>
      <c r="B470" s="45"/>
      <c r="C470" s="45" t="s">
        <v>88</v>
      </c>
      <c r="D470" s="46">
        <v>38</v>
      </c>
      <c r="E470" s="46" t="s">
        <v>93</v>
      </c>
      <c r="F470" s="47">
        <v>93.83</v>
      </c>
      <c r="G470" s="48">
        <v>10.920000000000002</v>
      </c>
    </row>
    <row r="471" spans="1:7">
      <c r="A471" s="44" t="s">
        <v>131</v>
      </c>
      <c r="B471" s="45"/>
      <c r="C471" s="45" t="s">
        <v>49</v>
      </c>
      <c r="D471" s="46">
        <v>14</v>
      </c>
      <c r="E471" s="46" t="s">
        <v>55</v>
      </c>
      <c r="F471" s="47">
        <v>92.33</v>
      </c>
      <c r="G471" s="48">
        <v>9.4200000000000017</v>
      </c>
    </row>
    <row r="472" spans="1:7">
      <c r="A472" s="44" t="s">
        <v>130</v>
      </c>
      <c r="B472" s="45"/>
      <c r="C472" s="45" t="s">
        <v>77</v>
      </c>
      <c r="D472" s="46">
        <v>31</v>
      </c>
      <c r="E472" s="46" t="s">
        <v>83</v>
      </c>
      <c r="F472" s="47">
        <v>92.08</v>
      </c>
      <c r="G472" s="48">
        <v>9.1700000000000017</v>
      </c>
    </row>
    <row r="473" spans="1:7" ht="24">
      <c r="A473" s="44" t="s">
        <v>132</v>
      </c>
      <c r="B473" s="45"/>
      <c r="C473" s="45" t="s">
        <v>67</v>
      </c>
      <c r="D473" s="46">
        <v>21</v>
      </c>
      <c r="E473" s="46" t="s">
        <v>69</v>
      </c>
      <c r="F473" s="47">
        <v>91.17</v>
      </c>
      <c r="G473" s="48">
        <v>8.2600000000000051</v>
      </c>
    </row>
    <row r="474" spans="1:7">
      <c r="A474" s="44" t="s">
        <v>131</v>
      </c>
      <c r="B474" s="45"/>
      <c r="C474" s="45" t="s">
        <v>32</v>
      </c>
      <c r="D474" s="46">
        <v>4</v>
      </c>
      <c r="E474" s="46" t="s">
        <v>38</v>
      </c>
      <c r="F474" s="47">
        <v>89.51</v>
      </c>
      <c r="G474" s="48">
        <v>6.6000000000000085</v>
      </c>
    </row>
    <row r="475" spans="1:7">
      <c r="A475" s="44" t="s">
        <v>131</v>
      </c>
      <c r="B475" s="45"/>
      <c r="C475" s="45" t="s">
        <v>39</v>
      </c>
      <c r="D475" s="46">
        <v>9</v>
      </c>
      <c r="E475" s="46" t="s">
        <v>46</v>
      </c>
      <c r="F475" s="47">
        <v>89.17</v>
      </c>
      <c r="G475" s="48">
        <v>6.2600000000000051</v>
      </c>
    </row>
    <row r="476" spans="1:7">
      <c r="A476" s="44" t="s">
        <v>131</v>
      </c>
      <c r="B476" s="45"/>
      <c r="C476" s="45" t="s">
        <v>39</v>
      </c>
      <c r="D476" s="46">
        <v>5</v>
      </c>
      <c r="E476" s="46" t="s">
        <v>41</v>
      </c>
      <c r="F476" s="47">
        <v>89.01</v>
      </c>
      <c r="G476" s="48">
        <v>6.1000000000000085</v>
      </c>
    </row>
    <row r="477" spans="1:7">
      <c r="A477" s="44" t="s">
        <v>131</v>
      </c>
      <c r="B477" s="45"/>
      <c r="C477" s="45" t="s">
        <v>39</v>
      </c>
      <c r="D477" s="46">
        <v>10</v>
      </c>
      <c r="E477" s="46" t="s">
        <v>48</v>
      </c>
      <c r="F477" s="47">
        <v>88.56</v>
      </c>
      <c r="G477" s="48">
        <v>5.6500000000000057</v>
      </c>
    </row>
    <row r="495" spans="1:7">
      <c r="A495" s="39" t="s">
        <v>130</v>
      </c>
      <c r="B495" s="40"/>
      <c r="C495" s="40" t="s">
        <v>77</v>
      </c>
      <c r="D495" s="41">
        <v>29</v>
      </c>
      <c r="E495" s="41" t="s">
        <v>80</v>
      </c>
      <c r="F495" s="42">
        <v>45.85</v>
      </c>
      <c r="G495" s="43">
        <v>-37.059999999999995</v>
      </c>
    </row>
    <row r="496" spans="1:7" ht="24">
      <c r="A496" s="39" t="s">
        <v>130</v>
      </c>
      <c r="B496" s="40"/>
      <c r="C496" s="40" t="s">
        <v>84</v>
      </c>
      <c r="D496" s="41">
        <v>32</v>
      </c>
      <c r="E496" s="41" t="s">
        <v>85</v>
      </c>
      <c r="F496" s="42">
        <v>58.81</v>
      </c>
      <c r="G496" s="43">
        <v>-24.099999999999994</v>
      </c>
    </row>
    <row r="497" spans="1:7">
      <c r="A497" s="39" t="s">
        <v>130</v>
      </c>
      <c r="B497" s="40"/>
      <c r="C497" s="40" t="s">
        <v>77</v>
      </c>
      <c r="D497" s="41">
        <v>28</v>
      </c>
      <c r="E497" s="41" t="s">
        <v>79</v>
      </c>
      <c r="F497" s="42">
        <v>63.94</v>
      </c>
      <c r="G497" s="43">
        <v>-18.97</v>
      </c>
    </row>
    <row r="498" spans="1:7" ht="24">
      <c r="A498" s="39" t="s">
        <v>132</v>
      </c>
      <c r="B498" s="40"/>
      <c r="C498" s="40" t="s">
        <v>67</v>
      </c>
      <c r="D498" s="41">
        <v>22</v>
      </c>
      <c r="E498" s="41" t="s">
        <v>70</v>
      </c>
      <c r="F498" s="42">
        <v>69.52</v>
      </c>
      <c r="G498" s="43">
        <v>-13.39</v>
      </c>
    </row>
    <row r="499" spans="1:7" ht="24">
      <c r="A499" s="39" t="s">
        <v>130</v>
      </c>
      <c r="B499" s="40"/>
      <c r="C499" s="40" t="s">
        <v>84</v>
      </c>
      <c r="D499" s="41">
        <v>34</v>
      </c>
      <c r="E499" s="41" t="s">
        <v>87</v>
      </c>
      <c r="F499" s="42">
        <v>71.930000000000007</v>
      </c>
      <c r="G499" s="43">
        <v>-10.97999999999999</v>
      </c>
    </row>
    <row r="500" spans="1:7">
      <c r="A500" s="39" t="s">
        <v>130</v>
      </c>
      <c r="B500" s="40"/>
      <c r="C500" s="40" t="s">
        <v>77</v>
      </c>
      <c r="D500" s="41">
        <v>30</v>
      </c>
      <c r="E500" s="41" t="s">
        <v>82</v>
      </c>
      <c r="F500" s="42">
        <v>72.17</v>
      </c>
      <c r="G500" s="43">
        <v>-10.739999999999995</v>
      </c>
    </row>
    <row r="501" spans="1:7" ht="24">
      <c r="A501" s="39" t="s">
        <v>130</v>
      </c>
      <c r="B501" s="40"/>
      <c r="C501" s="40" t="s">
        <v>84</v>
      </c>
      <c r="D501" s="41">
        <v>33</v>
      </c>
      <c r="E501" s="41" t="s">
        <v>86</v>
      </c>
      <c r="F501" s="42">
        <v>73.19</v>
      </c>
      <c r="G501" s="43">
        <v>-9.7199999999999989</v>
      </c>
    </row>
    <row r="502" spans="1:7" ht="24">
      <c r="A502" s="39" t="s">
        <v>132</v>
      </c>
      <c r="B502" s="40"/>
      <c r="C502" s="40" t="s">
        <v>67</v>
      </c>
      <c r="D502" s="41">
        <v>25</v>
      </c>
      <c r="E502" s="41" t="s">
        <v>74</v>
      </c>
      <c r="F502" s="42">
        <v>75.88</v>
      </c>
      <c r="G502" s="43">
        <v>-7.0300000000000011</v>
      </c>
    </row>
    <row r="503" spans="1:7">
      <c r="A503" s="39" t="s">
        <v>131</v>
      </c>
      <c r="B503" s="40"/>
      <c r="C503" s="40" t="s">
        <v>39</v>
      </c>
      <c r="D503" s="41">
        <v>7</v>
      </c>
      <c r="E503" s="41" t="s">
        <v>43</v>
      </c>
      <c r="F503" s="42">
        <v>76.25</v>
      </c>
      <c r="G503" s="43">
        <v>-6.6599999999999966</v>
      </c>
    </row>
    <row r="504" spans="1:7">
      <c r="A504" s="39" t="s">
        <v>133</v>
      </c>
      <c r="B504" s="40"/>
      <c r="C504" s="40" t="s">
        <v>133</v>
      </c>
      <c r="D504" s="41" t="s">
        <v>133</v>
      </c>
      <c r="E504" s="41" t="s">
        <v>133</v>
      </c>
      <c r="F504" s="42" t="s">
        <v>133</v>
      </c>
      <c r="G504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97" priority="94">
      <formula>F267=""</formula>
    </cfRule>
    <cfRule type="expression" dxfId="96" priority="95">
      <formula>F267&lt;44.5</formula>
    </cfRule>
    <cfRule type="expression" dxfId="95" priority="96">
      <formula>F267&lt;60.5</formula>
    </cfRule>
    <cfRule type="expression" dxfId="94" priority="97">
      <formula>F267&lt;85.5</formula>
    </cfRule>
    <cfRule type="expression" dxfId="93" priority="98">
      <formula>F267&gt;85.5</formula>
    </cfRule>
  </conditionalFormatting>
  <conditionalFormatting sqref="H267:I280 F267:F280">
    <cfRule type="expression" dxfId="92" priority="89">
      <formula>F267=""</formula>
    </cfRule>
    <cfRule type="expression" dxfId="91" priority="90">
      <formula>F267&lt;44.5</formula>
    </cfRule>
    <cfRule type="expression" dxfId="90" priority="91">
      <formula>F267&lt;60.5</formula>
    </cfRule>
    <cfRule type="expression" dxfId="89" priority="92">
      <formula>F267&lt;85.5</formula>
    </cfRule>
    <cfRule type="expression" dxfId="88" priority="93">
      <formula>F267&gt;85.5</formula>
    </cfRule>
  </conditionalFormatting>
  <conditionalFormatting sqref="G267:G280">
    <cfRule type="expression" dxfId="87" priority="84">
      <formula>G267=""</formula>
    </cfRule>
    <cfRule type="expression" dxfId="86" priority="85">
      <formula>G267&lt;44.5</formula>
    </cfRule>
    <cfRule type="expression" dxfId="85" priority="86">
      <formula>G267&lt;60.5</formula>
    </cfRule>
    <cfRule type="expression" dxfId="84" priority="87">
      <formula>G267&lt;85.5</formula>
    </cfRule>
    <cfRule type="expression" dxfId="83" priority="88">
      <formula>G267&gt;85.5</formula>
    </cfRule>
  </conditionalFormatting>
  <conditionalFormatting sqref="G267:G280">
    <cfRule type="expression" dxfId="82" priority="79">
      <formula>G267=""</formula>
    </cfRule>
    <cfRule type="expression" dxfId="81" priority="80">
      <formula>G267&lt;44.5</formula>
    </cfRule>
    <cfRule type="expression" dxfId="80" priority="81">
      <formula>G267&lt;60.5</formula>
    </cfRule>
    <cfRule type="expression" dxfId="79" priority="82">
      <formula>G267&lt;85.5</formula>
    </cfRule>
    <cfRule type="expression" dxfId="78" priority="83">
      <formula>G267&gt;85.5</formula>
    </cfRule>
  </conditionalFormatting>
  <conditionalFormatting sqref="F293:F305">
    <cfRule type="expression" dxfId="77" priority="74">
      <formula>F293=""</formula>
    </cfRule>
    <cfRule type="expression" dxfId="76" priority="75">
      <formula>F293&lt;44.5</formula>
    </cfRule>
    <cfRule type="expression" dxfId="75" priority="76">
      <formula>F293&lt;60.5</formula>
    </cfRule>
    <cfRule type="expression" dxfId="74" priority="77">
      <formula>F293&lt;85.5</formula>
    </cfRule>
    <cfRule type="expression" dxfId="73" priority="78">
      <formula>F293&gt;85.5</formula>
    </cfRule>
  </conditionalFormatting>
  <conditionalFormatting sqref="H293:I305">
    <cfRule type="expression" dxfId="72" priority="69">
      <formula>H293=""</formula>
    </cfRule>
    <cfRule type="expression" dxfId="71" priority="70">
      <formula>H293&lt;44.5</formula>
    </cfRule>
    <cfRule type="expression" dxfId="70" priority="71">
      <formula>H293&lt;60.5</formula>
    </cfRule>
    <cfRule type="expression" dxfId="69" priority="72">
      <formula>H293&lt;85.5</formula>
    </cfRule>
    <cfRule type="expression" dxfId="68" priority="73">
      <formula>H293&gt;85.5</formula>
    </cfRule>
  </conditionalFormatting>
  <conditionalFormatting sqref="G293:G305">
    <cfRule type="expression" dxfId="67" priority="64">
      <formula>G293=""</formula>
    </cfRule>
    <cfRule type="expression" dxfId="66" priority="65">
      <formula>G293&lt;44.5</formula>
    </cfRule>
    <cfRule type="expression" dxfId="65" priority="66">
      <formula>G293&lt;60.5</formula>
    </cfRule>
    <cfRule type="expression" dxfId="64" priority="67">
      <formula>G293&lt;85.5</formula>
    </cfRule>
    <cfRule type="expression" dxfId="63" priority="68">
      <formula>G293&gt;85.5</formula>
    </cfRule>
  </conditionalFormatting>
  <conditionalFormatting sqref="F320:F331">
    <cfRule type="expression" dxfId="62" priority="59">
      <formula>F320=""</formula>
    </cfRule>
    <cfRule type="expression" dxfId="61" priority="60">
      <formula>F320&lt;44.5</formula>
    </cfRule>
    <cfRule type="expression" dxfId="60" priority="61">
      <formula>F320&lt;60.5</formula>
    </cfRule>
    <cfRule type="expression" dxfId="59" priority="62">
      <formula>F320&lt;85.5</formula>
    </cfRule>
    <cfRule type="expression" dxfId="58" priority="63">
      <formula>F320&gt;85.5</formula>
    </cfRule>
  </conditionalFormatting>
  <conditionalFormatting sqref="H320:I331">
    <cfRule type="expression" dxfId="57" priority="54">
      <formula>H320=""</formula>
    </cfRule>
    <cfRule type="expression" dxfId="56" priority="55">
      <formula>H320&lt;44.5</formula>
    </cfRule>
    <cfRule type="expression" dxfId="55" priority="56">
      <formula>H320&lt;60.5</formula>
    </cfRule>
    <cfRule type="expression" dxfId="54" priority="57">
      <formula>H320&lt;85.5</formula>
    </cfRule>
    <cfRule type="expression" dxfId="53" priority="58">
      <formula>H320&gt;85.5</formula>
    </cfRule>
  </conditionalFormatting>
  <conditionalFormatting sqref="G320:G331">
    <cfRule type="expression" dxfId="52" priority="49">
      <formula>G320=""</formula>
    </cfRule>
    <cfRule type="expression" dxfId="51" priority="50">
      <formula>G320&lt;44.5</formula>
    </cfRule>
    <cfRule type="expression" dxfId="50" priority="51">
      <formula>G320&lt;60.5</formula>
    </cfRule>
    <cfRule type="expression" dxfId="49" priority="52">
      <formula>G320&lt;85.5</formula>
    </cfRule>
    <cfRule type="expression" dxfId="48" priority="53">
      <formula>G320&gt;85.5</formula>
    </cfRule>
  </conditionalFormatting>
  <conditionalFormatting sqref="F347:F354">
    <cfRule type="expression" dxfId="47" priority="44">
      <formula>F347=""</formula>
    </cfRule>
    <cfRule type="expression" dxfId="46" priority="45">
      <formula>F347&lt;44.5</formula>
    </cfRule>
    <cfRule type="expression" dxfId="45" priority="46">
      <formula>F347&lt;60.5</formula>
    </cfRule>
    <cfRule type="expression" dxfId="44" priority="47">
      <formula>F347&lt;85.5</formula>
    </cfRule>
    <cfRule type="expression" dxfId="43" priority="48">
      <formula>F347&gt;85.5</formula>
    </cfRule>
  </conditionalFormatting>
  <conditionalFormatting sqref="H347:I354">
    <cfRule type="expression" dxfId="42" priority="39">
      <formula>H347=""</formula>
    </cfRule>
    <cfRule type="expression" dxfId="41" priority="40">
      <formula>H347&lt;44.5</formula>
    </cfRule>
    <cfRule type="expression" dxfId="40" priority="41">
      <formula>H347&lt;60.5</formula>
    </cfRule>
    <cfRule type="expression" dxfId="39" priority="42">
      <formula>H347&lt;85.5</formula>
    </cfRule>
    <cfRule type="expression" dxfId="38" priority="43">
      <formula>H347&gt;85.5</formula>
    </cfRule>
  </conditionalFormatting>
  <conditionalFormatting sqref="G347:G354">
    <cfRule type="expression" dxfId="37" priority="34">
      <formula>G347=""</formula>
    </cfRule>
    <cfRule type="expression" dxfId="36" priority="35">
      <formula>G347&lt;44.5</formula>
    </cfRule>
    <cfRule type="expression" dxfId="35" priority="36">
      <formula>G347&lt;60.5</formula>
    </cfRule>
    <cfRule type="expression" dxfId="34" priority="37">
      <formula>G347&lt;85.5</formula>
    </cfRule>
    <cfRule type="expression" dxfId="33" priority="38">
      <formula>G347&gt;85.5</formula>
    </cfRule>
  </conditionalFormatting>
  <conditionalFormatting sqref="F373:F382">
    <cfRule type="expression" dxfId="32" priority="29">
      <formula>F373=""</formula>
    </cfRule>
    <cfRule type="expression" dxfId="31" priority="30">
      <formula>F373&lt;44.5</formula>
    </cfRule>
    <cfRule type="expression" dxfId="30" priority="31">
      <formula>F373&lt;60.5</formula>
    </cfRule>
    <cfRule type="expression" dxfId="29" priority="32">
      <formula>F373&lt;85.5</formula>
    </cfRule>
    <cfRule type="expression" dxfId="28" priority="33">
      <formula>F373&gt;85.5</formula>
    </cfRule>
  </conditionalFormatting>
  <conditionalFormatting sqref="H373:I382">
    <cfRule type="expression" dxfId="27" priority="24">
      <formula>H373=""</formula>
    </cfRule>
    <cfRule type="expression" dxfId="26" priority="25">
      <formula>H373&lt;44.5</formula>
    </cfRule>
    <cfRule type="expression" dxfId="25" priority="26">
      <formula>H373&lt;60.5</formula>
    </cfRule>
    <cfRule type="expression" dxfId="24" priority="27">
      <formula>H373&lt;85.5</formula>
    </cfRule>
    <cfRule type="expression" dxfId="23" priority="28">
      <formula>H373&gt;85.5</formula>
    </cfRule>
  </conditionalFormatting>
  <conditionalFormatting sqref="G373:G382">
    <cfRule type="expression" dxfId="22" priority="19">
      <formula>G373=""</formula>
    </cfRule>
    <cfRule type="expression" dxfId="21" priority="20">
      <formula>G373&lt;44.5</formula>
    </cfRule>
    <cfRule type="expression" dxfId="20" priority="21">
      <formula>G373&lt;60.5</formula>
    </cfRule>
    <cfRule type="expression" dxfId="19" priority="22">
      <formula>G373&lt;85.5</formula>
    </cfRule>
    <cfRule type="expression" dxfId="18" priority="23">
      <formula>G373&gt;85.5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20</vt:i4>
      </vt:variant>
    </vt:vector>
  </HeadingPairs>
  <TitlesOfParts>
    <vt:vector size="27" baseType="lpstr">
      <vt:lpstr>Referencia Datos</vt:lpstr>
      <vt:lpstr>Demografia</vt:lpstr>
      <vt:lpstr>Indicadores</vt:lpstr>
      <vt:lpstr>Cuadro de Mando Indicadores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2017-04-06T02:19:53Z</dcterms:modified>
</cp:coreProperties>
</file>