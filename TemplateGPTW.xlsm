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5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6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7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8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9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kXyVffgif3S0TwHb90zgOoD4xYohtpHb3tPUq9mN5hfIwAYcTeTJm3qjwzVTAytPpdzawnIu0l5f5nrbuzI0TQ==" workbookSaltValue="qoUvClJAkXPAXrfme1aSQA==" workbookSpinCount="100000" lockStructure="1"/>
  <bookViews>
    <workbookView xWindow="0" yWindow="0" windowWidth="24000" windowHeight="973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927" r:id="rId7"/>
    <sheet name="Gráficos Indicadores" sheetId="1925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datos">'Gráficos Demografías'!$C$866:$G$871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Demografías'!$C$136:$H$141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Demografías'!$C$227:$E$232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Demografías'!$C$318:$H$323</definedName>
    <definedName name="GrafDemo_Bis5_0_datos">'Gráficos Demografías'!$C$379:$H$384</definedName>
    <definedName name="GrafDemo_Bis5_1_datos">'Gráficos Demografías'!$C$410:$H$415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Demografías'!$C$501:$I$506</definedName>
    <definedName name="GrafDemo_Bis7_0_datos">'Gráficos Demografías'!$C$562:$J$567</definedName>
    <definedName name="GrafDemo_Bis7_1_datos">'Gráficos Demografías'!$C$593:$J$598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Demografías'!$C$684:$G$689</definedName>
    <definedName name="GrafDemo_Bis9_datos">'Gráficos Demografías'!$C$775:$H$780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  <fileRecoveryPr repairLoad="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<sst xmlns="http://schemas.openxmlformats.org/spreadsheetml/2006/main" count="1646" uniqueCount="505">
  <si>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</si>
  <si>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</si>
  <si>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</si>
  <si>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</si>
  <si>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</si>
  <si>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</si>
  <si>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</si>
  <si>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</si>
  <si>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</si>
  <si>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</si>
  <si>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</si>
  <si>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</si>
  <si>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</si>
  <si>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</si>
  <si>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</si>
  <si>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</si>
  <si>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</si>
  <si>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</si>
  <si>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</si>
  <si>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</si>
  <si>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</si>
  <si>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</si>
  <si>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</si>
  <si>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</si>
  <si>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</si>
  <si>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</si>
  <si>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</si>
  <si>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</si>
  <si>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</si>
  <si>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</si>
  <si>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</si>
  <si>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</si>
  <si>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</si>
  <si>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</si>
  <si>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</si>
  <si>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</si>
  <si>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</si>
  <si>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</si>
  <si>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</si>
  <si>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</si>
  <si>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</si>
  <si>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</si>
  <si>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</si>
  <si>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</si>
  <si>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</si>
  <si>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</si>
  <si>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</si>
  <si>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</si>
  <si>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</si>
  <si>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</si>
  <si>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</si>
  <si>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</si>
  <si>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</si>
  <si>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</si>
  <si>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</si>
  <si>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</si>
  <si>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</si>
  <si>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</si>
  <si>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</si>
  <si>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</si>
  <si>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</si>
  <si>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</si>
  <si>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</si>
  <si>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</si>
  <si>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</si>
  <si>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</si>
  <si>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</si>
  <si>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</si>
  <si>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</si>
  <si>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</si>
  <si>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</si>
  <si>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</si>
  <si>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</si>
  <si>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</si>
  <si>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</si>
  <si>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</si>
  <si>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</si>
  <si>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</si>
  <si>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</si>
  <si>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</si>
  <si>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</si>
  <si>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</si>
  <si>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</si>
  <si>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</si>
  <si>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</si>
  <si>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</si>
  <si>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</si>
  <si>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</si>
  <si>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</si>
  <si>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</si>
  <si>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</si>
  <si>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</si>
  <si>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</si>
  <si>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</si>
  <si>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</si>
  <si>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</si>
  <si>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</si>
  <si>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</si>
  <si>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</si>
  <si>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</si>
  <si>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</si>
  <si>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</si>
  <si>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</si>
  <si>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</si>
  <si>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</si>
  <si>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</si>
  <si>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</si>
  <si>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</si>
  <si>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</si>
  <si>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</si>
  <si>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</si>
  <si>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</si>
  <si>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</si>
  <si>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</si>
  <si>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</si>
  <si>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</si>
  <si>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</si>
  <si>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</si>
  <si>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</si>
  <si>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</si>
  <si>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</si>
  <si>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</si>
  <si>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</si>
  <si>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</si>
  <si>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</si>
  <si>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</si>
  <si>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</si>
  <si>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</si>
  <si>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</si>
  <si>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</si>
  <si>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</si>
  <si>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</si>
  <si>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</si>
  <si>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</si>
  <si>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</si>
  <si>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</si>
  <si>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</si>
  <si>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</si>
  <si>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</si>
  <si>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</si>
  <si>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</si>
  <si>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</si>
  <si>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</si>
  <si>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</si>
  <si>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</si>
  <si>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</si>
  <si>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</si>
  <si>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</si>
  <si>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</si>
  <si>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</si>
  <si>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</si>
  <si>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</si>
  <si>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</si>
  <si>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</si>
  <si>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</si>
  <si>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</si>
  <si>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</si>
  <si>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</si>
  <si>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</si>
  <si>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</si>
  <si>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</si>
  <si>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</si>
  <si>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</si>
  <si>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</si>
  <si>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</si>
  <si>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</si>
  <si>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</si>
  <si>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</si>
  <si>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</si>
  <si>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</si>
  <si>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</si>
  <si>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</si>
  <si>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</si>
  <si>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</si>
  <si>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</si>
  <si>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</si>
  <si>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</si>
  <si>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</si>
  <si>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</si>
  <si>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</si>
  <si>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</si>
  <si>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</si>
  <si>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</si>
  <si>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</si>
  <si>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</si>
  <si>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</si>
  <si>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</si>
  <si>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</si>
  <si>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</si>
  <si>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</si>
  <si>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</si>
  <si>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</si>
  <si>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</si>
  <si>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</si>
  <si>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</si>
  <si>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</si>
  <si>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</si>
  <si>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</si>
  <si>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</si>
  <si>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</si>
  <si>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</si>
  <si>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</si>
  <si>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</si>
  <si>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</si>
  <si>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</si>
  <si>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</si>
  <si>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</si>
  <si>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</si>
  <si>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</si>
  <si>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</si>
  <si>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</si>
  <si>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</si>
  <si>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</si>
  <si>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</si>
  <si>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</si>
  <si>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</si>
  <si>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</si>
  <si>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</si>
  <si>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</si>
  <si>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</si>
  <si>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</si>
  <si>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</si>
  <si>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</si>
  <si>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</si>
  <si>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</si>
  <si>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</si>
  <si>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</si>
  <si>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</si>
  <si>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</si>
  <si>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</si>
  <si>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</si>
  <si>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</si>
  <si>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</si>
  <si>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</si>
  <si>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</si>
  <si>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</si>
  <si>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</si>
  <si>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</si>
  <si>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</si>
  <si>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</si>
  <si>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</si>
  <si>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</si>
  <si>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</si>
  <si>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</si>
  <si>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</si>
  <si>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</si>
  <si>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</si>
  <si>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</si>
  <si>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</si>
  <si>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</si>
  <si>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</si>
  <si>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</si>
  <si>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</si>
  <si>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</si>
  <si>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</si>
  <si>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</si>
  <si>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</si>
  <si>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</si>
  <si>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</si>
  <si>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</si>
  <si>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</si>
  <si>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</si>
  <si>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</si>
  <si>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</si>
  <si>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</si>
  <si>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</si>
  <si>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</si>
  <si>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</si>
  <si>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</si>
  <si>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</si>
  <si>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</si>
  <si>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</si>
  <si>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</si>
  <si>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</si>
  <si>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</si>
  <si>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</si>
  <si>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</si>
  <si>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</si>
  <si>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</si>
  <si>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</si>
  <si>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</si>
  <si>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</si>
  <si>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</si>
  <si>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</si>
  <si>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</si>
  <si>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</si>
  <si>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</si>
  <si>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</si>
  <si>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</si>
  <si>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</si>
  <si>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</si>
  <si>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</si>
  <si>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</si>
  <si>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</si>
  <si>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</si>
  <si>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</si>
  <si>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</si>
  <si>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</si>
  <si>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</si>
  <si>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</si>
  <si>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</si>
  <si>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</si>
  <si>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</si>
  <si>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</si>
  <si>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</si>
  <si>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</si>
  <si>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</si>
  <si>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</si>
  <si>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</si>
  <si>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</si>
  <si>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</si>
  <si>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</si>
  <si>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</si>
  <si>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</si>
  <si>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</si>
  <si>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</si>
  <si>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</si>
  <si>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</si>
  <si>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</si>
  <si>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</si>
  <si>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</si>
  <si>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</si>
  <si>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</si>
  <si>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</si>
  <si>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</si>
  <si>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</si>
  <si>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</si>
  <si>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</si>
  <si>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</si>
  <si>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</si>
  <si>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</si>
  <si>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</si>
  <si>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</si>
  <si>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</si>
  <si>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</si>
  <si>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</si>
  <si>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</si>
  <si>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</si>
  <si>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</si>
  <si>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</si>
  <si>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</si>
  <si>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</si>
  <si>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</si>
  <si>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</si>
  <si>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</si>
  <si>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</si>
  <si>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</si>
  <si>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</si>
  <si>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</si>
  <si>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</si>
  <si>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</si>
  <si>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</si>
  <si>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</si>
  <si>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</si>
  <si>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</si>
  <si>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</si>
  <si>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</si>
  <si>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</si>
  <si>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</si>
  <si>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</si>
  <si>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</si>
  <si>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</si>
  <si>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</si>
  <si>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</si>
  <si>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</si>
  <si>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</si>
  <si>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</si>
  <si>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</si>
  <si>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</si>
  <si>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</si>
  <si>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</si>
  <si>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</si>
  <si>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</si>
  <si>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</si>
  <si>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</si>
  <si>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</si>
  <si>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</si>
  <si>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</si>
  <si>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</si>
  <si>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</si>
  <si>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</si>
  <si>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</si>
  <si>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</si>
  <si>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</si>
  <si>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</si>
  <si>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</si>
  <si>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</si>
  <si>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</si>
  <si>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</si>
  <si>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</si>
  <si>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</si>
  <si>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</si>
  <si>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</si>
  <si>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</si>
  <si>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</si>
  <si>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</si>
  <si>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</si>
  <si>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</si>
  <si>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</si>
  <si>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</si>
  <si>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</si>
  <si>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</si>
  <si>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</si>
  <si>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</si>
  <si>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</si>
  <si>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</si>
  <si>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</si>
  <si>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</si>
  <si>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</si>
  <si>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</si>
  <si>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</si>
  <si>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</si>
  <si>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</si>
  <si>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</si>
  <si>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</si>
  <si>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</si>
  <si>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</si>
  <si>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</si>
  <si>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</si>
  <si>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</si>
  <si>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</si>
  <si>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</si>
  <si>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</si>
  <si>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</si>
  <si>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</si>
  <si>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</si>
  <si>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</si>
  <si>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</si>
  <si>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</si>
  <si>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</si>
  <si>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</si>
  <si>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</si>
  <si>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</si>
  <si>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</si>
  <si>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</si>
  <si>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</si>
  <si>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</si>
  <si>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</si>
  <si>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</si>
  <si>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</si>
  <si>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</si>
  <si>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</si>
  <si>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</si>
  <si>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</si>
  <si>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</si>
  <si>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</si>
  <si>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</si>
  <si>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</si>
  <si>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</si>
  <si>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</si>
  <si>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</si>
  <si>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</si>
  <si>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</si>
  <si>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</si>
  <si>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</si>
  <si>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</si>
  <si>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</si>
  <si>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</si>
  <si>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</si>
  <si>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</si>
  <si>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</si>
  <si>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</si>
  <si>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</si>
  <si>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</si>
  <si>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</si>
  <si>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</si>
  <si>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</si>
  <si>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</si>
  <si>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</si>
  <si>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</si>
  <si>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</si>
  <si>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</si>
  <si>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</si>
  <si>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</si>
  <si>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</si>
  <si>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</si>
  <si>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</si>
  <si>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</si>
  <si>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</si>
  <si>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</si>
  <si>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</si>
  <si>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</si>
  <si>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</si>
  <si>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</si>
  <si>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</si>
  <si>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</si>
  <si>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</si>
  <si>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</si>
  <si>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</si>
  <si>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204,5</t>
  </si>
  <si>
    <t>234,5</t>
  </si>
  <si>
    <t>236,5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</si>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</sst>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612141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9" fillId="9" borderId="10" xfId="0" applyFont="1" applyFill="1" applyBorder="1" applyAlignment="1">
      <alignment horizontal="center" vertical="center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60" fillId="0" borderId="0" xfId="0" applyFont="1" applyAlignment="1">
      <alignment vertical="center" wrapText="1"/>
    </xf>
    <xf numFmtId="0" fontId="64" fillId="0" borderId="0" xfId="0" applyFont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64" fillId="0" borderId="82" xfId="0" applyFont="1" applyBorder="1" applyAlignment="1">
      <alignment vertical="center" wrapText="1"/>
    </xf>
    <xf numFmtId="0" fontId="56" fillId="0" borderId="79" xfId="0" applyFont="1" applyBorder="1" applyAlignment="1">
      <alignment vertical="center" wrapText="1"/>
    </xf>
    <xf numFmtId="0" fontId="60" fillId="0" borderId="81" xfId="0" applyFont="1" applyBorder="1" applyAlignment="1">
      <alignment vertical="center" wrapText="1"/>
    </xf>
    <xf numFmtId="0" fontId="0" fillId="29" borderId="77" xfId="0" applyFill="1" applyBorder="1" applyAlignment="1">
      <alignment vertical="center" wrapText="1"/>
    </xf>
    <xf numFmtId="0" fontId="0" fillId="29" borderId="77" xfId="0" applyFill="1" applyBorder="1" applyAlignment="1">
      <alignment horizontal="center" vertical="center" wrapText="1"/>
    </xf>
    <xf numFmtId="0" fontId="58" fillId="29" borderId="0" xfId="0" applyFont="1" applyFill="1" applyAlignment="1">
      <alignment vertical="center" wrapText="1"/>
    </xf>
    <xf numFmtId="0" fontId="0" fillId="29" borderId="0" xfId="0" applyFill="1" applyAlignment="1">
      <alignment horizontal="center" vertical="center" wrapText="1"/>
    </xf>
    <xf numFmtId="0" fontId="58" fillId="29" borderId="80" xfId="0" applyFont="1" applyFill="1" applyBorder="1" applyAlignment="1">
      <alignment vertical="center" wrapText="1"/>
    </xf>
    <xf numFmtId="0" fontId="0" fillId="29" borderId="80" xfId="0" applyFill="1" applyBorder="1" applyAlignment="1">
      <alignment horizontal="center" vertical="center" wrapText="1"/>
    </xf>
    <xf numFmtId="0" fontId="62" fillId="29" borderId="0" xfId="0" applyFont="1" applyFill="1" applyAlignment="1">
      <alignment vertical="center" wrapText="1"/>
    </xf>
    <xf numFmtId="0" fontId="62" fillId="29" borderId="82" xfId="0" applyFont="1" applyFill="1" applyBorder="1" applyAlignment="1">
      <alignment vertical="center" wrapText="1"/>
    </xf>
    <xf numFmtId="0" fontId="0" fillId="29" borderId="82" xfId="0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1" fontId="23" fillId="25" borderId="28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0" fontId="23" fillId="25" borderId="33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63" fillId="29" borderId="86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82" xfId="0" applyFont="1" applyBorder="1" applyAlignment="1">
      <alignment horizontal="center" vertical="center" wrapText="1"/>
    </xf>
    <xf numFmtId="0" fontId="69" fillId="29" borderId="86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82" xfId="0" applyFont="1" applyBorder="1" applyAlignment="1">
      <alignment horizontal="left" vertical="center" wrapText="1"/>
    </xf>
    <xf numFmtId="0" fontId="65" fillId="0" borderId="85" xfId="0" applyFont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82" xfId="0" applyFont="1" applyBorder="1" applyAlignment="1">
      <alignment horizontal="center" vertical="center" wrapText="1"/>
    </xf>
    <xf numFmtId="0" fontId="70" fillId="0" borderId="85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  <xf numFmtId="0" fontId="57" fillId="0" borderId="78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79" xfId="0" applyFont="1" applyBorder="1" applyAlignment="1">
      <alignment horizontal="center" vertical="center" wrapText="1"/>
    </xf>
    <xf numFmtId="0" fontId="66" fillId="0" borderId="78" xfId="0" applyFont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79" xfId="0" applyFont="1" applyBorder="1" applyAlignment="1">
      <alignment horizontal="left" vertical="center" wrapText="1"/>
    </xf>
    <xf numFmtId="0" fontId="59" fillId="29" borderId="8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80" xfId="0" applyFont="1" applyBorder="1" applyAlignment="1">
      <alignment horizontal="center" vertical="center" wrapText="1"/>
    </xf>
    <xf numFmtId="0" fontId="67" fillId="29" borderId="83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0" xfId="0" applyFont="1" applyBorder="1" applyAlignment="1">
      <alignment horizontal="left" vertical="center" wrapText="1"/>
    </xf>
    <xf numFmtId="0" fontId="61" fillId="0" borderId="84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81" xfId="0" applyFont="1" applyBorder="1" applyAlignment="1">
      <alignment horizontal="center" vertical="center" wrapText="1"/>
    </xf>
    <xf numFmtId="0" fontId="68" fillId="0" borderId="84" xfId="0" applyFont="1" applyBorder="1" applyAlignment="1">
      <alignment horizontal="left" vertical="center" wrapText="1"/>
    </xf>
    <xf numFmtId="0" fontId="68" fillId="0" borderId="0" xfId="0" applyFont="1" applyAlignment="1">
      <alignment horizontal="left" vertical="center" wrapText="1"/>
    </xf>
    <xf numFmtId="0" fontId="68" fillId="0" borderId="81" xfId="0" applyFont="1" applyBorder="1" applyAlignment="1">
      <alignment horizontal="left" vertical="center" wrapText="1"/>
    </xf>
    <xf numFmtId="0" fontId="0" fillId="29" borderId="77" xfId="0" applyFill="1" applyBorder="1" applyAlignment="1">
      <alignment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49776"/>
        <c:axId val="245775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49776"/>
        <c:axId val="245775568"/>
      </c:lineChart>
      <c:catAx>
        <c:axId val="8594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775568"/>
        <c:crosses val="autoZero"/>
        <c:auto val="1"/>
        <c:lblAlgn val="ctr"/>
        <c:lblOffset val="100"/>
        <c:noMultiLvlLbl val="0"/>
      </c:catAx>
      <c:valAx>
        <c:axId val="245775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4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5955696"/>
        <c:axId val="245770704"/>
      </c:barChart>
      <c:catAx>
        <c:axId val="85955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5770704"/>
        <c:crosses val="autoZero"/>
        <c:auto val="1"/>
        <c:lblAlgn val="ctr"/>
        <c:lblOffset val="100"/>
        <c:noMultiLvlLbl val="0"/>
      </c:catAx>
      <c:valAx>
        <c:axId val="24577070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595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Demografías'!$D$144:$K$144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50368"/>
        <c:axId val="245771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Demografías'!$D$147:$K$147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Demografías'!$D$148:$K$148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50368"/>
        <c:axId val="245771312"/>
      </c:lineChart>
      <c:catAx>
        <c:axId val="85950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771312"/>
        <c:crosses val="autoZero"/>
        <c:auto val="1"/>
        <c:lblAlgn val="ctr"/>
        <c:lblOffset val="100"/>
        <c:noMultiLvlLbl val="0"/>
      </c:catAx>
      <c:valAx>
        <c:axId val="245771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5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Demografías'!$D$233:$K$233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51552"/>
        <c:axId val="242463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Demografías'!$D$238:$K$238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Demografías'!$D$239:$K$239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51552"/>
        <c:axId val="242463360"/>
      </c:lineChart>
      <c:catAx>
        <c:axId val="85951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463360"/>
        <c:crosses val="autoZero"/>
        <c:auto val="1"/>
        <c:lblAlgn val="ctr"/>
        <c:lblOffset val="100"/>
        <c:noMultiLvlLbl val="0"/>
      </c:catAx>
      <c:valAx>
        <c:axId val="242463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5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Demografías'!$D$324:$K$324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52144"/>
        <c:axId val="242468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Demografías'!$D$329:$K$329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Demografías'!$D$330:$K$330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52144"/>
        <c:axId val="242468224"/>
      </c:lineChart>
      <c:catAx>
        <c:axId val="85952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468224"/>
        <c:crosses val="autoZero"/>
        <c:auto val="1"/>
        <c:lblAlgn val="ctr"/>
        <c:lblOffset val="100"/>
        <c:noMultiLvlLbl val="0"/>
      </c:catAx>
      <c:valAx>
        <c:axId val="242468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5953920"/>
        <c:axId val="242457888"/>
      </c:barChart>
      <c:catAx>
        <c:axId val="85953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457888"/>
        <c:crosses val="autoZero"/>
        <c:auto val="1"/>
        <c:lblAlgn val="ctr"/>
        <c:lblOffset val="100"/>
        <c:noMultiLvlLbl val="0"/>
      </c:catAx>
      <c:valAx>
        <c:axId val="24245788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595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Demografías'!$D$387:$K$387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52736"/>
        <c:axId val="242459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Demografías'!$D$390:$K$390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Demografías'!$D$391:$K$391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52736"/>
        <c:axId val="242459712"/>
      </c:lineChart>
      <c:catAx>
        <c:axId val="85952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459712"/>
        <c:crosses val="autoZero"/>
        <c:auto val="1"/>
        <c:lblAlgn val="ctr"/>
        <c:lblOffset val="100"/>
        <c:noMultiLvlLbl val="0"/>
      </c:catAx>
      <c:valAx>
        <c:axId val="242459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Demografías'!$D$416:$K$416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Demografías'!$D$418:$K$418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53328"/>
        <c:axId val="242462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Demografías'!$D$421:$K$421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Demografías'!$D$422:$K$422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53328"/>
        <c:axId val="242462752"/>
      </c:lineChart>
      <c:catAx>
        <c:axId val="8595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462752"/>
        <c:crosses val="autoZero"/>
        <c:auto val="1"/>
        <c:lblAlgn val="ctr"/>
        <c:lblOffset val="100"/>
        <c:noMultiLvlLbl val="0"/>
      </c:catAx>
      <c:valAx>
        <c:axId val="242462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5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Demografías'!$D$507:$K$507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Demografías'!$D$509:$K$509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56288"/>
        <c:axId val="242465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Demografías'!$D$512:$K$512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Demografías'!$D$513:$K$513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56288"/>
        <c:axId val="242465792"/>
      </c:lineChart>
      <c:catAx>
        <c:axId val="8595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465792"/>
        <c:crosses val="autoZero"/>
        <c:auto val="1"/>
        <c:lblAlgn val="ctr"/>
        <c:lblOffset val="100"/>
        <c:noMultiLvlLbl val="0"/>
      </c:catAx>
      <c:valAx>
        <c:axId val="242465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5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85956880"/>
        <c:axId val="86252000"/>
      </c:barChart>
      <c:catAx>
        <c:axId val="85956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252000"/>
        <c:crosses val="autoZero"/>
        <c:auto val="1"/>
        <c:lblAlgn val="ctr"/>
        <c:lblOffset val="100"/>
        <c:noMultiLvlLbl val="0"/>
      </c:catAx>
      <c:valAx>
        <c:axId val="8625200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8595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Demografías'!$D$568:$K$568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Demografías'!$D$570:$K$570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41488"/>
        <c:axId val="862507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Demografías'!$D$573:$K$573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Demografías'!$D$574:$K$574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41488"/>
        <c:axId val="86250784"/>
      </c:lineChart>
      <c:catAx>
        <c:axId val="85941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86250784"/>
        <c:crosses val="autoZero"/>
        <c:auto val="1"/>
        <c:lblAlgn val="ctr"/>
        <c:lblOffset val="100"/>
        <c:noMultiLvlLbl val="0"/>
      </c:catAx>
      <c:valAx>
        <c:axId val="8625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4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Demografías'!$D$599:$K$599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Demografías'!$D$601:$K$601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42080"/>
        <c:axId val="245765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Demografías'!$D$604:$K$604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Demografías'!$D$605:$K$605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42080"/>
        <c:axId val="245765232"/>
      </c:lineChart>
      <c:catAx>
        <c:axId val="85942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5765232"/>
        <c:crosses val="autoZero"/>
        <c:auto val="1"/>
        <c:lblAlgn val="ctr"/>
        <c:lblOffset val="100"/>
        <c:noMultiLvlLbl val="0"/>
      </c:catAx>
      <c:valAx>
        <c:axId val="245765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4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Demografías'!$D$690:$K$690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Demografías'!$D$692:$K$692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44448"/>
        <c:axId val="288544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Demografías'!$D$695:$K$695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Demografías'!$D$696:$K$696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44448"/>
        <c:axId val="288544976"/>
      </c:lineChart>
      <c:catAx>
        <c:axId val="85944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544976"/>
        <c:crosses val="autoZero"/>
        <c:auto val="1"/>
        <c:lblAlgn val="ctr"/>
        <c:lblOffset val="100"/>
        <c:noMultiLvlLbl val="0"/>
      </c:catAx>
      <c:valAx>
        <c:axId val="288544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4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Demografías'!$D$781:$K$781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Demografías'!$D$783:$K$783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45040"/>
        <c:axId val="288540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Demografías'!$D$786:$K$786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Demografías'!$D$787:$K$787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45040"/>
        <c:axId val="288540112"/>
      </c:lineChart>
      <c:catAx>
        <c:axId val="85945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540112"/>
        <c:crosses val="autoZero"/>
        <c:auto val="1"/>
        <c:lblAlgn val="ctr"/>
        <c:lblOffset val="100"/>
        <c:noMultiLvlLbl val="0"/>
      </c:catAx>
      <c:valAx>
        <c:axId val="288540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Demografías'!$D$872:$K$872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Demografías'!$D$874:$K$874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85946224"/>
        <c:axId val="288536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Demografías'!$D$877:$K$877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Demografías'!$D$878:$K$878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46224"/>
        <c:axId val="288536464"/>
      </c:lineChart>
      <c:catAx>
        <c:axId val="85946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536464"/>
        <c:crosses val="autoZero"/>
        <c:auto val="1"/>
        <c:lblAlgn val="ctr"/>
        <c:lblOffset val="100"/>
        <c:noMultiLvlLbl val="0"/>
      </c:catAx>
      <c:valAx>
        <c:axId val="288536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594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38994048"/>
        <c:axId val="288542544"/>
      </c:barChart>
      <c:catAx>
        <c:axId val="238994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8542544"/>
        <c:crosses val="autoZero"/>
        <c:auto val="1"/>
        <c:lblAlgn val="ctr"/>
        <c:lblOffset val="100"/>
        <c:noMultiLvlLbl val="0"/>
      </c:catAx>
      <c:valAx>
        <c:axId val="28854254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3899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95824"/>
        <c:axId val="2420413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95824"/>
        <c:axId val="242041344"/>
      </c:lineChart>
      <c:catAx>
        <c:axId val="238995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041344"/>
        <c:crosses val="autoZero"/>
        <c:auto val="1"/>
        <c:lblAlgn val="ctr"/>
        <c:lblOffset val="100"/>
        <c:noMultiLvlLbl val="0"/>
      </c:catAx>
      <c:valAx>
        <c:axId val="2420413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89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985168"/>
        <c:axId val="242038304"/>
      </c:lineChart>
      <c:catAx>
        <c:axId val="23898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038304"/>
        <c:crosses val="autoZero"/>
        <c:auto val="1"/>
        <c:lblAlgn val="ctr"/>
        <c:lblOffset val="100"/>
        <c:noMultiLvlLbl val="0"/>
      </c:catAx>
      <c:valAx>
        <c:axId val="24203830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3898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87536"/>
        <c:axId val="2420310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87536"/>
        <c:axId val="242031008"/>
      </c:lineChart>
      <c:catAx>
        <c:axId val="238987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031008"/>
        <c:crosses val="autoZero"/>
        <c:auto val="1"/>
        <c:lblAlgn val="ctr"/>
        <c:lblOffset val="100"/>
        <c:noMultiLvlLbl val="0"/>
      </c:catAx>
      <c:valAx>
        <c:axId val="242031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8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8983984"/>
        <c:axId val="242040128"/>
      </c:lineChart>
      <c:catAx>
        <c:axId val="23898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2040128"/>
        <c:crosses val="autoZero"/>
        <c:auto val="1"/>
        <c:lblAlgn val="ctr"/>
        <c:lblOffset val="100"/>
        <c:noMultiLvlLbl val="0"/>
      </c:catAx>
      <c:valAx>
        <c:axId val="24204012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3898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88128"/>
        <c:axId val="2420273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88128"/>
        <c:axId val="242027360"/>
      </c:lineChart>
      <c:catAx>
        <c:axId val="238988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027360"/>
        <c:crosses val="autoZero"/>
        <c:auto val="1"/>
        <c:lblAlgn val="ctr"/>
        <c:lblOffset val="100"/>
        <c:noMultiLvlLbl val="0"/>
      </c:catAx>
      <c:valAx>
        <c:axId val="242027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8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94640"/>
        <c:axId val="2420340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94640"/>
        <c:axId val="242034048"/>
      </c:lineChart>
      <c:catAx>
        <c:axId val="238994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034048"/>
        <c:crosses val="autoZero"/>
        <c:auto val="1"/>
        <c:lblAlgn val="ctr"/>
        <c:lblOffset val="100"/>
        <c:noMultiLvlLbl val="0"/>
      </c:catAx>
      <c:valAx>
        <c:axId val="242034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9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88720"/>
        <c:axId val="2420291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88720"/>
        <c:axId val="242029184"/>
      </c:lineChart>
      <c:catAx>
        <c:axId val="238988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029184"/>
        <c:crosses val="autoZero"/>
        <c:auto val="1"/>
        <c:lblAlgn val="ctr"/>
        <c:lblOffset val="100"/>
        <c:noMultiLvlLbl val="0"/>
      </c:catAx>
      <c:valAx>
        <c:axId val="242029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8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89312"/>
        <c:axId val="2420370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89312"/>
        <c:axId val="242037088"/>
      </c:lineChart>
      <c:catAx>
        <c:axId val="238989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037088"/>
        <c:crosses val="autoZero"/>
        <c:auto val="1"/>
        <c:lblAlgn val="ctr"/>
        <c:lblOffset val="100"/>
        <c:noMultiLvlLbl val="0"/>
      </c:catAx>
      <c:valAx>
        <c:axId val="242037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85760"/>
        <c:axId val="24204195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85760"/>
        <c:axId val="242041952"/>
      </c:lineChart>
      <c:catAx>
        <c:axId val="238985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42041952"/>
        <c:crosses val="autoZero"/>
        <c:auto val="1"/>
        <c:lblAlgn val="ctr"/>
        <c:lblOffset val="100"/>
        <c:noMultiLvlLbl val="0"/>
      </c:catAx>
      <c:valAx>
        <c:axId val="242041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8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86352"/>
        <c:axId val="291437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86352"/>
        <c:axId val="291437664"/>
      </c:lineChart>
      <c:catAx>
        <c:axId val="238986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437664"/>
        <c:crosses val="autoZero"/>
        <c:auto val="1"/>
        <c:lblAlgn val="ctr"/>
        <c:lblOffset val="100"/>
        <c:noMultiLvlLbl val="0"/>
      </c:catAx>
      <c:valAx>
        <c:axId val="29143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8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84576"/>
        <c:axId val="291440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84576"/>
        <c:axId val="291440096"/>
      </c:lineChart>
      <c:catAx>
        <c:axId val="238984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440096"/>
        <c:crosses val="autoZero"/>
        <c:auto val="1"/>
        <c:lblAlgn val="ctr"/>
        <c:lblOffset val="100"/>
        <c:noMultiLvlLbl val="0"/>
      </c:catAx>
      <c:valAx>
        <c:axId val="291440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8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90496"/>
        <c:axId val="291449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90496"/>
        <c:axId val="291449216"/>
      </c:lineChart>
      <c:catAx>
        <c:axId val="238990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449216"/>
        <c:crosses val="autoZero"/>
        <c:auto val="1"/>
        <c:lblAlgn val="ctr"/>
        <c:lblOffset val="100"/>
        <c:noMultiLvlLbl val="0"/>
      </c:catAx>
      <c:valAx>
        <c:axId val="291449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9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91088"/>
        <c:axId val="2914480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91088"/>
        <c:axId val="291448000"/>
      </c:lineChart>
      <c:catAx>
        <c:axId val="23899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448000"/>
        <c:crosses val="autoZero"/>
        <c:auto val="1"/>
        <c:lblAlgn val="ctr"/>
        <c:lblOffset val="100"/>
        <c:noMultiLvlLbl val="0"/>
      </c:catAx>
      <c:valAx>
        <c:axId val="291448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9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38992864"/>
        <c:axId val="2914431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92864"/>
        <c:axId val="291443136"/>
      </c:lineChart>
      <c:catAx>
        <c:axId val="23899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443136"/>
        <c:crosses val="autoZero"/>
        <c:auto val="1"/>
        <c:lblAlgn val="ctr"/>
        <c:lblOffset val="100"/>
        <c:noMultiLvlLbl val="0"/>
      </c:catAx>
      <c:valAx>
        <c:axId val="291443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899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38991680"/>
        <c:axId val="291435840"/>
      </c:barChart>
      <c:catAx>
        <c:axId val="238991680"/>
        <c:scaling>
          <c:orientation val="minMax"/>
        </c:scaling>
        <c:delete val="1"/>
        <c:axPos val="l"/>
        <c:majorTickMark val="none"/>
        <c:minorTickMark val="none"/>
        <c:tickLblPos val="nextTo"/>
        <c:crossAx val="291435840"/>
        <c:crosses val="autoZero"/>
        <c:auto val="1"/>
        <c:lblAlgn val="ctr"/>
        <c:lblOffset val="100"/>
        <c:noMultiLvlLbl val="0"/>
      </c:catAx>
      <c:valAx>
        <c:axId val="29143584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3899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:a16="http://schemas.microsoft.com/office/drawing/2014/main" xmlns="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:a16="http://schemas.microsoft.com/office/drawing/2014/main" xmlns="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:a16="http://schemas.microsoft.com/office/drawing/2014/main" xmlns="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:a16="http://schemas.microsoft.com/office/drawing/2014/main" xmlns="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:a16="http://schemas.microsoft.com/office/drawing/2014/main" xmlns="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:a16="http://schemas.microsoft.com/office/drawing/2014/main" xmlns="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:a16="http://schemas.microsoft.com/office/drawing/2014/main" xmlns="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:a16="http://schemas.microsoft.com/office/drawing/2014/main" xmlns="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:a16="http://schemas.microsoft.com/office/drawing/2014/main" xmlns="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:a16="http://schemas.microsoft.com/office/drawing/2014/main" xmlns="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:a16="http://schemas.microsoft.com/office/drawing/2014/main" xmlns="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:a16="http://schemas.microsoft.com/office/drawing/2014/main" xmlns="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:a16="http://schemas.microsoft.com/office/drawing/2014/main" xmlns="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:a16="http://schemas.microsoft.com/office/drawing/2014/main" xmlns="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:a16="http://schemas.microsoft.com/office/drawing/2014/main" xmlns="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:a16="http://schemas.microsoft.com/office/drawing/2014/main" xmlns="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:a16="http://schemas.microsoft.com/office/drawing/2014/main" xmlns="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:a16="http://schemas.microsoft.com/office/drawing/2014/main" xmlns="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:a16="http://schemas.microsoft.com/office/drawing/2014/main" xmlns="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:a16="http://schemas.microsoft.com/office/drawing/2014/main" xmlns="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:a16="http://schemas.microsoft.com/office/drawing/2014/main" xmlns="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:a16="http://schemas.microsoft.com/office/drawing/2014/main" xmlns="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:a16="http://schemas.microsoft.com/office/drawing/2014/main" xmlns="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:a16="http://schemas.microsoft.com/office/drawing/2014/main" xmlns="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:a16="http://schemas.microsoft.com/office/drawing/2014/main" xmlns="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:a16="http://schemas.microsoft.com/office/drawing/2014/main" xmlns="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:a16="http://schemas.microsoft.com/office/drawing/2014/main" xmlns="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:a16="http://schemas.microsoft.com/office/drawing/2014/main" xmlns="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:a16="http://schemas.microsoft.com/office/drawing/2014/main" xmlns="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:a16="http://schemas.microsoft.com/office/drawing/2014/main" xmlns="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:a16="http://schemas.microsoft.com/office/drawing/2014/main" xmlns="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:a16="http://schemas.microsoft.com/office/drawing/2014/main" xmlns="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:a16="http://schemas.microsoft.com/office/drawing/2014/main" xmlns="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:a16="http://schemas.microsoft.com/office/drawing/2014/main" xmlns="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:a16="http://schemas.microsoft.com/office/drawing/2014/main" xmlns="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:a16="http://schemas.microsoft.com/office/drawing/2014/main" xmlns="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:a16="http://schemas.microsoft.com/office/drawing/2014/main" xmlns="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:a16="http://schemas.microsoft.com/office/drawing/2014/main" xmlns="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:a16="http://schemas.microsoft.com/office/drawing/2014/main" xmlns="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:a16="http://schemas.microsoft.com/office/drawing/2014/main" xmlns="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:a16="http://schemas.microsoft.com/office/drawing/2014/main" xmlns="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:a16="http://schemas.microsoft.com/office/drawing/2014/main" xmlns="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:a16="http://schemas.microsoft.com/office/drawing/2014/main" xmlns="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111</xdr:row>
          <xdr:rowOff>0</xdr:rowOff>
        </xdr:from>
        <xdr:to>
          <xdr:col>10</xdr:col>
          <xdr:colOff>0</xdr:colOff>
          <xdr:row>113</xdr:row>
          <xdr:rowOff>0</xdr:rowOff>
        </xdr:to>
        <xdr:sp macro="" textlink="">
          <xdr:nvSpPr>
            <xdr:cNvPr id="267277" name="Button 13" hidden="1">
              <a:extLst>
                <a:ext uri="{63B3BB69-23CF-44E3-9099-C40C66FF867C}">
                  <a14:compatExt spid="_x0000_s26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aphicFrame macro="">
      <xdr:nvGraphicFramePr>
        <xdr:cNvPr id="6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121</xdr:row>
      <xdr:rowOff>0</xdr:rowOff>
    </xdr:from>
    <xdr:to>
      <xdr:col>10</xdr:col>
      <xdr:colOff>901700</xdr:colOff>
      <xdr:row>132</xdr:row>
      <xdr:rowOff>0</xdr:rowOff>
    </xdr:to>
    <xdr:graphicFrame macro="">
      <xdr:nvGraphicFramePr>
        <xdr:cNvPr id="7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10</xdr:col>
      <xdr:colOff>254000</xdr:colOff>
      <xdr:row>178</xdr:row>
      <xdr:rowOff>0</xdr:rowOff>
    </xdr:to>
    <xdr:grpSp>
      <xdr:nvGrpSpPr>
        <xdr:cNvPr id="10" name="GrafDemo3"/>
        <xdr:cNvGrpSpPr/>
      </xdr:nvGrpSpPr>
      <xdr:grpSpPr>
        <a:xfrm>
          <a:off x="2276475" y="29575125"/>
          <a:ext cx="9036050" cy="4953000"/>
          <a:chOff x="1524000" y="29975175"/>
          <a:chExt cx="6350000" cy="4953000"/>
        </a:xfrm>
      </xdr:grpSpPr>
      <xdr:graphicFrame macro="">
        <xdr:nvGraphicFramePr>
          <xdr:cNvPr id="8" name="GrafDemo3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GrafDemo3_fondo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3</xdr:col>
      <xdr:colOff>0</xdr:colOff>
      <xdr:row>212</xdr:row>
      <xdr:rowOff>0</xdr:rowOff>
    </xdr:from>
    <xdr:to>
      <xdr:col>10</xdr:col>
      <xdr:colOff>901700</xdr:colOff>
      <xdr:row>223</xdr:row>
      <xdr:rowOff>0</xdr:rowOff>
    </xdr:to>
    <xdr:graphicFrame macro="">
      <xdr:nvGraphicFramePr>
        <xdr:cNvPr id="11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243</xdr:row>
      <xdr:rowOff>0</xdr:rowOff>
    </xdr:from>
    <xdr:to>
      <xdr:col>10</xdr:col>
      <xdr:colOff>254000</xdr:colOff>
      <xdr:row>269</xdr:row>
      <xdr:rowOff>0</xdr:rowOff>
    </xdr:to>
    <xdr:grpSp>
      <xdr:nvGrpSpPr>
        <xdr:cNvPr id="14" name="GrafDemo4"/>
        <xdr:cNvGrpSpPr/>
      </xdr:nvGrpSpPr>
      <xdr:grpSpPr>
        <a:xfrm>
          <a:off x="2276475" y="46958250"/>
          <a:ext cx="9036050" cy="4953000"/>
          <a:chOff x="1524000" y="47358300"/>
          <a:chExt cx="6350000" cy="4953000"/>
        </a:xfrm>
      </xdr:grpSpPr>
      <xdr:graphicFrame macro="">
        <xdr:nvGraphicFramePr>
          <xdr:cNvPr id="12" name="GrafDemo4"/>
          <xdr:cNvGraphicFramePr/>
        </xdr:nvGraphicFramePr>
        <xdr:xfrm>
          <a:off x="1524000" y="473583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GrafDemo4_fondo"/>
          <xdr:cNvGraphicFramePr/>
        </xdr:nvGraphicFramePr>
        <xdr:xfrm>
          <a:off x="1524000" y="473583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10</xdr:col>
      <xdr:colOff>901700</xdr:colOff>
      <xdr:row>314</xdr:row>
      <xdr:rowOff>0</xdr:rowOff>
    </xdr:to>
    <xdr:graphicFrame macro="">
      <xdr:nvGraphicFramePr>
        <xdr:cNvPr id="15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334</xdr:row>
      <xdr:rowOff>0</xdr:rowOff>
    </xdr:from>
    <xdr:to>
      <xdr:col>10</xdr:col>
      <xdr:colOff>254000</xdr:colOff>
      <xdr:row>360</xdr:row>
      <xdr:rowOff>0</xdr:rowOff>
    </xdr:to>
    <xdr:graphicFrame macro="">
      <xdr:nvGraphicFramePr>
        <xdr:cNvPr id="16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364</xdr:row>
      <xdr:rowOff>0</xdr:rowOff>
    </xdr:from>
    <xdr:to>
      <xdr:col>10</xdr:col>
      <xdr:colOff>901700</xdr:colOff>
      <xdr:row>375</xdr:row>
      <xdr:rowOff>0</xdr:rowOff>
    </xdr:to>
    <xdr:graphicFrame macro="">
      <xdr:nvGraphicFramePr>
        <xdr:cNvPr id="17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3</xdr:col>
      <xdr:colOff>0</xdr:colOff>
      <xdr:row>395</xdr:row>
      <xdr:rowOff>0</xdr:rowOff>
    </xdr:from>
    <xdr:to>
      <xdr:col>10</xdr:col>
      <xdr:colOff>901700</xdr:colOff>
      <xdr:row>406</xdr:row>
      <xdr:rowOff>0</xdr:rowOff>
    </xdr:to>
    <xdr:graphicFrame macro="">
      <xdr:nvGraphicFramePr>
        <xdr:cNvPr id="18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426</xdr:row>
      <xdr:rowOff>0</xdr:rowOff>
    </xdr:from>
    <xdr:to>
      <xdr:col>10</xdr:col>
      <xdr:colOff>254000</xdr:colOff>
      <xdr:row>452</xdr:row>
      <xdr:rowOff>0</xdr:rowOff>
    </xdr:to>
    <xdr:grpSp>
      <xdr:nvGrpSpPr>
        <xdr:cNvPr id="21" name="GrafDemo6"/>
        <xdr:cNvGrpSpPr/>
      </xdr:nvGrpSpPr>
      <xdr:grpSpPr>
        <a:xfrm>
          <a:off x="2276475" y="86953725"/>
          <a:ext cx="9036050" cy="4953000"/>
          <a:chOff x="1524000" y="88572975"/>
          <a:chExt cx="6350000" cy="4953000"/>
        </a:xfrm>
      </xdr:grpSpPr>
      <xdr:graphicFrame macro="">
        <xdr:nvGraphicFramePr>
          <xdr:cNvPr id="19" name="GrafDemo6"/>
          <xdr:cNvGraphicFramePr/>
        </xdr:nvGraphicFramePr>
        <xdr:xfrm>
          <a:off x="1524000" y="88572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20" name="GrafDemo6_fondo"/>
          <xdr:cNvGraphicFramePr/>
        </xdr:nvGraphicFramePr>
        <xdr:xfrm>
          <a:off x="1524000" y="88572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10</xdr:col>
      <xdr:colOff>901700</xdr:colOff>
      <xdr:row>497</xdr:row>
      <xdr:rowOff>0</xdr:rowOff>
    </xdr:to>
    <xdr:graphicFrame macro="">
      <xdr:nvGraphicFramePr>
        <xdr:cNvPr id="2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517</xdr:row>
      <xdr:rowOff>0</xdr:rowOff>
    </xdr:from>
    <xdr:to>
      <xdr:col>10</xdr:col>
      <xdr:colOff>254000</xdr:colOff>
      <xdr:row>543</xdr:row>
      <xdr:rowOff>0</xdr:rowOff>
    </xdr:to>
    <xdr:graphicFrame macro="">
      <xdr:nvGraphicFramePr>
        <xdr:cNvPr id="23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</xdr:col>
      <xdr:colOff>0</xdr:colOff>
      <xdr:row>547</xdr:row>
      <xdr:rowOff>0</xdr:rowOff>
    </xdr:from>
    <xdr:to>
      <xdr:col>10</xdr:col>
      <xdr:colOff>901700</xdr:colOff>
      <xdr:row>558</xdr:row>
      <xdr:rowOff>0</xdr:rowOff>
    </xdr:to>
    <xdr:graphicFrame macro="">
      <xdr:nvGraphicFramePr>
        <xdr:cNvPr id="24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3</xdr:col>
      <xdr:colOff>0</xdr:colOff>
      <xdr:row>578</xdr:row>
      <xdr:rowOff>0</xdr:rowOff>
    </xdr:from>
    <xdr:to>
      <xdr:col>10</xdr:col>
      <xdr:colOff>901700</xdr:colOff>
      <xdr:row>589</xdr:row>
      <xdr:rowOff>0</xdr:rowOff>
    </xdr:to>
    <xdr:graphicFrame macro="">
      <xdr:nvGraphicFramePr>
        <xdr:cNvPr id="25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609</xdr:row>
      <xdr:rowOff>0</xdr:rowOff>
    </xdr:from>
    <xdr:to>
      <xdr:col>10</xdr:col>
      <xdr:colOff>254000</xdr:colOff>
      <xdr:row>635</xdr:row>
      <xdr:rowOff>0</xdr:rowOff>
    </xdr:to>
    <xdr:grpSp>
      <xdr:nvGrpSpPr>
        <xdr:cNvPr id="28" name="GrafDemo8"/>
        <xdr:cNvGrpSpPr/>
      </xdr:nvGrpSpPr>
      <xdr:grpSpPr>
        <a:xfrm>
          <a:off x="2276475" y="123110625"/>
          <a:ext cx="9036050" cy="4953000"/>
          <a:chOff x="1524000" y="125034675"/>
          <a:chExt cx="6350000" cy="4953000"/>
        </a:xfrm>
      </xdr:grpSpPr>
      <xdr:graphicFrame macro="">
        <xdr:nvGraphicFramePr>
          <xdr:cNvPr id="26" name="GrafDemo8"/>
          <xdr:cNvGraphicFramePr/>
        </xdr:nvGraphicFramePr>
        <xdr:xfrm>
          <a:off x="1524000" y="125034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27" name="GrafDemo8_fondo"/>
          <xdr:cNvGraphicFramePr/>
        </xdr:nvGraphicFramePr>
        <xdr:xfrm>
          <a:off x="1524000" y="125034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</xdr:grpSp>
    <xdr:clientData/>
  </xdr:twoCellAnchor>
  <xdr:twoCellAnchor editAs="oneCell">
    <xdr:from>
      <xdr:col>3</xdr:col>
      <xdr:colOff>0</xdr:colOff>
      <xdr:row>669</xdr:row>
      <xdr:rowOff>0</xdr:rowOff>
    </xdr:from>
    <xdr:to>
      <xdr:col>10</xdr:col>
      <xdr:colOff>901700</xdr:colOff>
      <xdr:row>680</xdr:row>
      <xdr:rowOff>0</xdr:rowOff>
    </xdr:to>
    <xdr:graphicFrame macro="">
      <xdr:nvGraphicFramePr>
        <xdr:cNvPr id="2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700</xdr:row>
      <xdr:rowOff>0</xdr:rowOff>
    </xdr:from>
    <xdr:to>
      <xdr:col>10</xdr:col>
      <xdr:colOff>254000</xdr:colOff>
      <xdr:row>726</xdr:row>
      <xdr:rowOff>0</xdr:rowOff>
    </xdr:to>
    <xdr:grpSp>
      <xdr:nvGrpSpPr>
        <xdr:cNvPr id="32" name="GrafDemo9"/>
        <xdr:cNvGrpSpPr/>
      </xdr:nvGrpSpPr>
      <xdr:grpSpPr>
        <a:xfrm>
          <a:off x="2276475" y="140493750"/>
          <a:ext cx="9036050" cy="4953000"/>
          <a:chOff x="1524000" y="142417800"/>
          <a:chExt cx="6350000" cy="4953000"/>
        </a:xfrm>
      </xdr:grpSpPr>
      <xdr:graphicFrame macro="">
        <xdr:nvGraphicFramePr>
          <xdr:cNvPr id="30" name="GrafDemo9"/>
          <xdr:cNvGraphicFramePr/>
        </xdr:nvGraphicFramePr>
        <xdr:xfrm>
          <a:off x="1524000" y="14241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graphicFrame macro="">
        <xdr:nvGraphicFramePr>
          <xdr:cNvPr id="31" name="GrafDemo9_fondo"/>
          <xdr:cNvGraphicFramePr/>
        </xdr:nvGraphicFramePr>
        <xdr:xfrm>
          <a:off x="1524000" y="14241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</xdr:grpSp>
    <xdr:clientData/>
  </xdr:twoCellAnchor>
  <xdr:twoCellAnchor editAs="oneCell">
    <xdr:from>
      <xdr:col>3</xdr:col>
      <xdr:colOff>0</xdr:colOff>
      <xdr:row>760</xdr:row>
      <xdr:rowOff>0</xdr:rowOff>
    </xdr:from>
    <xdr:to>
      <xdr:col>10</xdr:col>
      <xdr:colOff>901700</xdr:colOff>
      <xdr:row>771</xdr:row>
      <xdr:rowOff>0</xdr:rowOff>
    </xdr:to>
    <xdr:graphicFrame macro="">
      <xdr:nvGraphicFramePr>
        <xdr:cNvPr id="33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0</xdr:colOff>
      <xdr:row>791</xdr:row>
      <xdr:rowOff>0</xdr:rowOff>
    </xdr:from>
    <xdr:to>
      <xdr:col>10</xdr:col>
      <xdr:colOff>254000</xdr:colOff>
      <xdr:row>817</xdr:row>
      <xdr:rowOff>0</xdr:rowOff>
    </xdr:to>
    <xdr:grpSp>
      <xdr:nvGrpSpPr>
        <xdr:cNvPr id="36" name="GrafDemo10"/>
        <xdr:cNvGrpSpPr/>
      </xdr:nvGrpSpPr>
      <xdr:grpSpPr>
        <a:xfrm>
          <a:off x="2276475" y="159200850"/>
          <a:ext cx="9036050" cy="4953000"/>
          <a:chOff x="1524000" y="161572575"/>
          <a:chExt cx="6350000" cy="4953000"/>
        </a:xfrm>
      </xdr:grpSpPr>
      <xdr:graphicFrame macro="">
        <xdr:nvGraphicFramePr>
          <xdr:cNvPr id="34" name="GrafDemo10"/>
          <xdr:cNvGraphicFramePr/>
        </xdr:nvGraphicFramePr>
        <xdr:xfrm>
          <a:off x="1524000" y="161572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5" name="GrafDemo10_fondo"/>
          <xdr:cNvGraphicFramePr/>
        </xdr:nvGraphicFramePr>
        <xdr:xfrm>
          <a:off x="1524000" y="161572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</xdr:grpSp>
    <xdr:clientData/>
  </xdr:twoCellAnchor>
  <xdr:twoCellAnchor editAs="oneCell">
    <xdr:from>
      <xdr:col>3</xdr:col>
      <xdr:colOff>0</xdr:colOff>
      <xdr:row>851</xdr:row>
      <xdr:rowOff>0</xdr:rowOff>
    </xdr:from>
    <xdr:to>
      <xdr:col>10</xdr:col>
      <xdr:colOff>901700</xdr:colOff>
      <xdr:row>862</xdr:row>
      <xdr:rowOff>0</xdr:rowOff>
    </xdr:to>
    <xdr:graphicFrame macro="">
      <xdr:nvGraphicFramePr>
        <xdr:cNvPr id="37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0</xdr:colOff>
      <xdr:row>882</xdr:row>
      <xdr:rowOff>0</xdr:rowOff>
    </xdr:from>
    <xdr:to>
      <xdr:col>10</xdr:col>
      <xdr:colOff>254000</xdr:colOff>
      <xdr:row>908</xdr:row>
      <xdr:rowOff>0</xdr:rowOff>
    </xdr:to>
    <xdr:graphicFrame macro="">
      <xdr:nvGraphicFramePr>
        <xdr:cNvPr id="38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9</xdr:col>
      <xdr:colOff>415925</xdr:colOff>
      <xdr:row>416</xdr:row>
      <xdr:rowOff>69000</xdr:rowOff>
    </xdr:to>
    <xdr:grpSp>
      <xdr:nvGrpSpPr>
        <xdr:cNvPr id="55" name="GraficoSintesis1"/>
        <xdr:cNvGrpSpPr/>
      </xdr:nvGrpSpPr>
      <xdr:grpSpPr>
        <a:xfrm>
          <a:off x="1822450" y="76581000"/>
          <a:ext cx="10194925" cy="6069750"/>
          <a:chOff x="1270000" y="76581000"/>
          <a:chExt cx="10414000" cy="50220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0414000" cy="50220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0414000" cy="5022000"/>
            <a:chOff x="1270000" y="76581000"/>
            <a:chExt cx="10414000" cy="51804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350000" y="76581000"/>
            <a:ext cx="5334000" cy="5180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6572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685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701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717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07466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3810000" y="76679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3810000" y="76933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3810000" y="77187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3810000" y="77720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3810000" y="77974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3810000" y="78228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3810000" y="7876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3810000" y="79016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3810000" y="79270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3810000" y="79803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3810000" y="80057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3810000" y="80311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3810000" y="80844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3810000" y="81098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3810000" y="81352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048000" y="766572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048000" y="77685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048000" y="78701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048000" y="79717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048000" y="807466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597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61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629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645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160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8" t="s">
        <v>6</v>
      </c>
      <c r="G2" s="198"/>
      <c r="H2" s="198"/>
      <c r="J2" s="198" t="s">
        <v>7</v>
      </c>
      <c r="K2" s="198"/>
      <c r="L2" s="198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386</v>
      </c>
      <c r="J4" s="9" t="s">
        <v>198</v>
      </c>
      <c r="K4" s="103" t="s">
        <v>8</v>
      </c>
      <c r="L4" s="103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22" t="s">
        <v>387</v>
      </c>
      <c r="B1" s="222"/>
      <c r="C1" s="108"/>
      <c r="D1" s="208" t="s">
        <v>199</v>
      </c>
      <c r="E1" s="209"/>
      <c r="F1" s="209"/>
      <c r="G1" s="209"/>
      <c r="H1" s="209"/>
      <c r="I1" s="209"/>
      <c r="J1" s="209"/>
      <c r="K1" s="136"/>
      <c r="L1" s="208" t="s">
        <v>28</v>
      </c>
      <c r="M1" s="209"/>
      <c r="N1" s="209"/>
      <c r="O1" s="209"/>
      <c r="P1" s="210"/>
      <c r="Q1" s="136"/>
      <c r="R1" s="208" t="s">
        <v>29</v>
      </c>
      <c r="S1" s="210"/>
      <c r="T1" s="136"/>
      <c r="U1" s="208" t="s">
        <v>159</v>
      </c>
      <c r="V1" s="209"/>
      <c r="W1" s="209"/>
      <c r="X1" s="209"/>
      <c r="Y1" s="210"/>
      <c r="Z1" s="136"/>
      <c r="AA1" s="208" t="s">
        <v>388</v>
      </c>
      <c r="AB1" s="209"/>
      <c r="AC1" s="209"/>
      <c r="AD1" s="209"/>
      <c r="AE1" s="209"/>
      <c r="AF1" s="209"/>
      <c r="AG1" s="209"/>
      <c r="AH1" s="209"/>
      <c r="AI1" s="209"/>
      <c r="AJ1" s="210"/>
      <c r="AK1" s="136"/>
      <c r="AL1" s="208" t="s">
        <v>160</v>
      </c>
      <c r="AM1" s="209"/>
      <c r="AN1" s="209"/>
      <c r="AO1" s="209"/>
      <c r="AP1" s="209"/>
      <c r="AQ1" s="210"/>
      <c r="AR1" s="136"/>
      <c r="AS1" s="208" t="s">
        <v>389</v>
      </c>
      <c r="AT1" s="209"/>
      <c r="AU1" s="209"/>
      <c r="AV1" s="209"/>
      <c r="AW1" s="209"/>
      <c r="AX1" s="209"/>
      <c r="AY1" s="209"/>
      <c r="AZ1" s="209"/>
      <c r="BA1" s="209"/>
      <c r="BB1" s="209"/>
      <c r="BC1" s="209"/>
      <c r="BD1" s="209"/>
      <c r="BE1" s="209"/>
      <c r="BF1" s="210"/>
      <c r="BG1" s="136"/>
      <c r="BH1" s="208" t="s">
        <v>161</v>
      </c>
      <c r="BI1" s="209"/>
      <c r="BJ1" s="209"/>
      <c r="BK1" s="210"/>
      <c r="BL1" s="136"/>
      <c r="BM1" s="208" t="s">
        <v>142</v>
      </c>
      <c r="BN1" s="209"/>
      <c r="BO1" s="209"/>
      <c r="BP1" s="209"/>
      <c r="BQ1" s="210"/>
      <c r="BR1" s="136"/>
      <c r="BS1" s="208" t="s">
        <v>162</v>
      </c>
      <c r="BT1" s="209"/>
      <c r="BU1" s="209"/>
      <c r="BV1" s="210"/>
    </row>
    <row r="2" spans="1:74" ht="273.75">
      <c r="A2" s="220" t="s">
        <v>390</v>
      </c>
      <c r="B2" s="220"/>
      <c r="C2" s="221"/>
      <c r="D2" s="109">
        <v>2016</v>
      </c>
      <c r="E2" s="109">
        <v>2015</v>
      </c>
      <c r="F2" s="109" t="s">
        <v>391</v>
      </c>
      <c r="G2" s="109" t="s">
        <v>392</v>
      </c>
      <c r="H2" s="109" t="s">
        <v>393</v>
      </c>
      <c r="I2" s="109" t="s">
        <v>394</v>
      </c>
      <c r="J2" s="109" t="s">
        <v>395</v>
      </c>
      <c r="K2" s="136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36"/>
      <c r="R2" s="109" t="s">
        <v>205</v>
      </c>
      <c r="S2" s="109" t="s">
        <v>206</v>
      </c>
      <c r="T2" s="136"/>
      <c r="U2" s="109" t="s">
        <v>396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36"/>
      <c r="AA2" s="137" t="s">
        <v>397</v>
      </c>
      <c r="AB2" s="137" t="s">
        <v>398</v>
      </c>
      <c r="AC2" s="137" t="s">
        <v>399</v>
      </c>
      <c r="AD2" s="137" t="s">
        <v>400</v>
      </c>
      <c r="AE2" s="137" t="s">
        <v>401</v>
      </c>
      <c r="AF2" s="137" t="s">
        <v>402</v>
      </c>
      <c r="AG2" s="137" t="s">
        <v>403</v>
      </c>
      <c r="AH2" s="137" t="s">
        <v>404</v>
      </c>
      <c r="AI2" s="137" t="s">
        <v>405</v>
      </c>
      <c r="AJ2" s="137" t="s">
        <v>406</v>
      </c>
      <c r="AK2" s="136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36"/>
      <c r="AS2" s="109" t="s">
        <v>407</v>
      </c>
      <c r="AT2" s="109" t="s">
        <v>408</v>
      </c>
      <c r="AU2" s="109" t="s">
        <v>409</v>
      </c>
      <c r="AV2" s="109" t="s">
        <v>410</v>
      </c>
      <c r="AW2" s="109" t="s">
        <v>411</v>
      </c>
      <c r="AX2" s="109" t="s">
        <v>412</v>
      </c>
      <c r="AY2" s="109" t="s">
        <v>413</v>
      </c>
      <c r="AZ2" s="109" t="s">
        <v>342</v>
      </c>
      <c r="BA2" s="109" t="s">
        <v>414</v>
      </c>
      <c r="BB2" s="109" t="s">
        <v>415</v>
      </c>
      <c r="BC2" s="109" t="s">
        <v>416</v>
      </c>
      <c r="BD2" s="109" t="s">
        <v>417</v>
      </c>
      <c r="BE2" s="109" t="s">
        <v>343</v>
      </c>
      <c r="BF2" s="109" t="s">
        <v>418</v>
      </c>
      <c r="BG2" s="136"/>
      <c r="BH2" s="109" t="s">
        <v>419</v>
      </c>
      <c r="BI2" s="109" t="s">
        <v>420</v>
      </c>
      <c r="BJ2" s="109" t="s">
        <v>421</v>
      </c>
      <c r="BK2" s="109" t="s">
        <v>422</v>
      </c>
      <c r="BL2" s="136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36"/>
      <c r="BS2" s="109" t="s">
        <v>423</v>
      </c>
      <c r="BT2" s="109" t="s">
        <v>420</v>
      </c>
      <c r="BU2" s="109" t="s">
        <v>421</v>
      </c>
      <c r="BV2" s="109" t="s">
        <v>422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36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36"/>
      <c r="R3" s="112">
        <v>2476</v>
      </c>
      <c r="S3" s="112">
        <v>2191</v>
      </c>
      <c r="T3" s="136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36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36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36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36"/>
      <c r="BH3" s="112">
        <v>2444</v>
      </c>
      <c r="BI3" s="112">
        <v>1088</v>
      </c>
      <c r="BJ3" s="112">
        <v>501</v>
      </c>
      <c r="BK3" s="112">
        <v>116</v>
      </c>
      <c r="BL3" s="136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36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38"/>
      <c r="B4" s="138"/>
      <c r="C4" s="139" t="s">
        <v>354</v>
      </c>
      <c r="D4" s="140">
        <v>5231</v>
      </c>
      <c r="E4" s="140">
        <v>5159</v>
      </c>
      <c r="F4" s="140"/>
      <c r="G4" s="140"/>
      <c r="H4" s="140"/>
      <c r="I4" s="140"/>
      <c r="J4" s="140"/>
      <c r="K4" s="136"/>
      <c r="L4" s="140"/>
      <c r="M4" s="140"/>
      <c r="N4" s="140"/>
      <c r="O4" s="140"/>
      <c r="P4" s="140"/>
      <c r="Q4" s="136"/>
      <c r="R4" s="140"/>
      <c r="S4" s="140"/>
      <c r="T4" s="136"/>
      <c r="U4" s="140"/>
      <c r="V4" s="140"/>
      <c r="W4" s="140"/>
      <c r="X4" s="140"/>
      <c r="Y4" s="140"/>
      <c r="Z4" s="136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36"/>
      <c r="AL4" s="140"/>
      <c r="AM4" s="140"/>
      <c r="AN4" s="140"/>
      <c r="AO4" s="140"/>
      <c r="AP4" s="140"/>
      <c r="AQ4" s="140"/>
      <c r="AR4" s="136"/>
      <c r="AS4" s="140">
        <v>9</v>
      </c>
      <c r="AT4" s="140">
        <v>22</v>
      </c>
      <c r="AU4" s="140">
        <v>43</v>
      </c>
      <c r="AV4" s="140">
        <v>219</v>
      </c>
      <c r="AW4" s="140">
        <v>2790</v>
      </c>
      <c r="AX4" s="140">
        <v>97</v>
      </c>
      <c r="AY4" s="140">
        <v>21</v>
      </c>
      <c r="AZ4" s="140">
        <v>179</v>
      </c>
      <c r="BA4" s="140">
        <v>109</v>
      </c>
      <c r="BB4" s="140">
        <v>62</v>
      </c>
      <c r="BC4" s="140">
        <v>1587</v>
      </c>
      <c r="BD4" s="140">
        <v>77</v>
      </c>
      <c r="BE4" s="140">
        <v>4</v>
      </c>
      <c r="BF4" s="140">
        <v>12</v>
      </c>
      <c r="BG4" s="136"/>
      <c r="BH4" s="140"/>
      <c r="BI4" s="140"/>
      <c r="BJ4" s="140"/>
      <c r="BK4" s="140"/>
      <c r="BL4" s="136"/>
      <c r="BM4" s="140"/>
      <c r="BN4" s="140"/>
      <c r="BO4" s="140"/>
      <c r="BP4" s="140"/>
      <c r="BQ4" s="140"/>
      <c r="BR4" s="136"/>
      <c r="BS4" s="140"/>
      <c r="BT4" s="140"/>
      <c r="BU4" s="140"/>
      <c r="BV4" s="140"/>
    </row>
    <row r="5" spans="1:74">
      <c r="A5" s="141"/>
      <c r="B5" s="141"/>
      <c r="C5" s="142" t="s">
        <v>355</v>
      </c>
      <c r="D5" s="143">
        <v>4735</v>
      </c>
      <c r="E5" s="143">
        <v>4504</v>
      </c>
      <c r="F5" s="143"/>
      <c r="G5" s="143"/>
      <c r="H5" s="143"/>
      <c r="I5" s="143"/>
      <c r="J5" s="143"/>
      <c r="K5" s="136"/>
      <c r="L5" s="143">
        <v>249</v>
      </c>
      <c r="M5" s="143">
        <v>1965</v>
      </c>
      <c r="N5" s="143">
        <v>1426</v>
      </c>
      <c r="O5" s="143">
        <v>733</v>
      </c>
      <c r="P5" s="143">
        <v>256</v>
      </c>
      <c r="Q5" s="136"/>
      <c r="R5" s="143">
        <v>2382</v>
      </c>
      <c r="S5" s="143">
        <v>2218</v>
      </c>
      <c r="T5" s="136"/>
      <c r="U5" s="143">
        <v>14</v>
      </c>
      <c r="V5" s="143">
        <v>413</v>
      </c>
      <c r="W5" s="143">
        <v>2318</v>
      </c>
      <c r="X5" s="143">
        <v>1467</v>
      </c>
      <c r="Y5" s="143">
        <v>425</v>
      </c>
      <c r="Z5" s="136"/>
      <c r="AA5" s="143">
        <v>65</v>
      </c>
      <c r="AB5" s="143">
        <v>121</v>
      </c>
      <c r="AC5" s="143">
        <v>895</v>
      </c>
      <c r="AD5" s="143">
        <v>768</v>
      </c>
      <c r="AE5" s="143">
        <v>265</v>
      </c>
      <c r="AF5" s="143">
        <v>519</v>
      </c>
      <c r="AG5" s="143">
        <v>572</v>
      </c>
      <c r="AH5" s="143">
        <v>937</v>
      </c>
      <c r="AI5" s="143">
        <v>444</v>
      </c>
      <c r="AJ5" s="143" t="s">
        <v>213</v>
      </c>
      <c r="AK5" s="136"/>
      <c r="AL5" s="143">
        <v>305</v>
      </c>
      <c r="AM5" s="143">
        <v>1135</v>
      </c>
      <c r="AN5" s="143">
        <v>1202</v>
      </c>
      <c r="AO5" s="143">
        <v>481</v>
      </c>
      <c r="AP5" s="143">
        <v>715</v>
      </c>
      <c r="AQ5" s="143">
        <v>773</v>
      </c>
      <c r="AR5" s="136"/>
      <c r="AS5" s="143">
        <v>22</v>
      </c>
      <c r="AT5" s="143">
        <v>10</v>
      </c>
      <c r="AU5" s="143">
        <v>47</v>
      </c>
      <c r="AV5" s="143">
        <v>187</v>
      </c>
      <c r="AW5" s="143">
        <v>2535</v>
      </c>
      <c r="AX5" s="143">
        <v>89</v>
      </c>
      <c r="AY5" s="143" t="s">
        <v>213</v>
      </c>
      <c r="AZ5" s="143">
        <v>159</v>
      </c>
      <c r="BA5" s="143">
        <v>99</v>
      </c>
      <c r="BB5" s="143">
        <v>55</v>
      </c>
      <c r="BC5" s="143">
        <v>1432</v>
      </c>
      <c r="BD5" s="143">
        <v>77</v>
      </c>
      <c r="BE5" s="143">
        <v>5</v>
      </c>
      <c r="BF5" s="143">
        <v>11</v>
      </c>
      <c r="BG5" s="136"/>
      <c r="BH5" s="143">
        <v>2773</v>
      </c>
      <c r="BI5" s="143">
        <v>1087</v>
      </c>
      <c r="BJ5" s="143">
        <v>595</v>
      </c>
      <c r="BK5" s="143">
        <v>110</v>
      </c>
      <c r="BL5" s="136"/>
      <c r="BM5" s="143">
        <v>764</v>
      </c>
      <c r="BN5" s="143">
        <v>1235</v>
      </c>
      <c r="BO5" s="143">
        <v>132</v>
      </c>
      <c r="BP5" s="143">
        <v>2149</v>
      </c>
      <c r="BQ5" s="143">
        <v>297</v>
      </c>
      <c r="BR5" s="136"/>
      <c r="BS5" s="143" t="s">
        <v>213</v>
      </c>
      <c r="BT5" s="143" t="s">
        <v>213</v>
      </c>
      <c r="BU5" s="143" t="s">
        <v>213</v>
      </c>
      <c r="BV5" s="143" t="s">
        <v>213</v>
      </c>
    </row>
    <row r="6" spans="1:74">
      <c r="A6" s="144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23" t="s">
        <v>214</v>
      </c>
      <c r="B7" s="224"/>
      <c r="C7" s="225"/>
      <c r="D7" s="145">
        <v>85.93</v>
      </c>
      <c r="E7" s="145">
        <v>82.67</v>
      </c>
      <c r="F7" s="145">
        <v>89.46</v>
      </c>
      <c r="G7" s="145">
        <v>79.150000000000006</v>
      </c>
      <c r="H7" s="146">
        <v>3.2600000000000051</v>
      </c>
      <c r="I7" s="146">
        <v>-3.5299999999999869</v>
      </c>
      <c r="J7" s="146">
        <v>6.7800000000000011</v>
      </c>
      <c r="K7" s="136"/>
      <c r="L7" s="145">
        <v>90.45</v>
      </c>
      <c r="M7" s="145">
        <v>86.08</v>
      </c>
      <c r="N7" s="145">
        <v>84.35</v>
      </c>
      <c r="O7" s="145">
        <v>87.74</v>
      </c>
      <c r="P7" s="145">
        <v>90.43</v>
      </c>
      <c r="Q7" s="136"/>
      <c r="R7" s="145">
        <v>86.53</v>
      </c>
      <c r="S7" s="145">
        <v>86.24</v>
      </c>
      <c r="T7" s="136"/>
      <c r="U7" s="145">
        <v>76.19</v>
      </c>
      <c r="V7" s="145">
        <v>87.14</v>
      </c>
      <c r="W7" s="145">
        <v>86.86</v>
      </c>
      <c r="X7" s="145">
        <v>85.18</v>
      </c>
      <c r="Y7" s="145">
        <v>87.05</v>
      </c>
      <c r="Z7" s="136"/>
      <c r="AA7" s="145">
        <v>93.53</v>
      </c>
      <c r="AB7" s="145">
        <v>91.83</v>
      </c>
      <c r="AC7" s="145">
        <v>88.97</v>
      </c>
      <c r="AD7" s="145">
        <v>83.86</v>
      </c>
      <c r="AE7" s="145">
        <v>84.1</v>
      </c>
      <c r="AF7" s="145">
        <v>78.73</v>
      </c>
      <c r="AG7" s="145">
        <v>86.35</v>
      </c>
      <c r="AH7" s="145">
        <v>87.52</v>
      </c>
      <c r="AI7" s="145">
        <v>90.4</v>
      </c>
      <c r="AJ7" s="145">
        <v>79.88</v>
      </c>
      <c r="AK7" s="136"/>
      <c r="AL7" s="145">
        <v>91.75</v>
      </c>
      <c r="AM7" s="145">
        <v>87.14</v>
      </c>
      <c r="AN7" s="145">
        <v>84.41</v>
      </c>
      <c r="AO7" s="145">
        <v>79.94</v>
      </c>
      <c r="AP7" s="145">
        <v>87.42</v>
      </c>
      <c r="AQ7" s="145">
        <v>88.24</v>
      </c>
      <c r="AR7" s="136"/>
      <c r="AS7" s="145">
        <v>70.28</v>
      </c>
      <c r="AT7" s="145">
        <v>93.52</v>
      </c>
      <c r="AU7" s="145">
        <v>81.7</v>
      </c>
      <c r="AV7" s="145">
        <v>85.8</v>
      </c>
      <c r="AW7" s="145">
        <v>86.78</v>
      </c>
      <c r="AX7" s="145">
        <v>83.81</v>
      </c>
      <c r="AY7" s="145">
        <v>96.24</v>
      </c>
      <c r="AZ7" s="145">
        <v>90.49</v>
      </c>
      <c r="BA7" s="145">
        <v>78.42</v>
      </c>
      <c r="BB7" s="145">
        <v>89.17</v>
      </c>
      <c r="BC7" s="145">
        <v>84.63</v>
      </c>
      <c r="BD7" s="145">
        <v>81.78</v>
      </c>
      <c r="BE7" s="145" t="s">
        <v>215</v>
      </c>
      <c r="BF7" s="145">
        <v>97.14</v>
      </c>
      <c r="BG7" s="136"/>
      <c r="BH7" s="145">
        <v>92.06</v>
      </c>
      <c r="BI7" s="145">
        <v>82.99</v>
      </c>
      <c r="BJ7" s="145">
        <v>73.010000000000005</v>
      </c>
      <c r="BK7" s="145">
        <v>58.22</v>
      </c>
      <c r="BL7" s="136"/>
      <c r="BM7" s="145">
        <v>88.46</v>
      </c>
      <c r="BN7" s="145">
        <v>81.81</v>
      </c>
      <c r="BO7" s="145">
        <v>69.47</v>
      </c>
      <c r="BP7" s="145">
        <v>90.75</v>
      </c>
      <c r="BQ7" s="145">
        <v>71.900000000000006</v>
      </c>
      <c r="BR7" s="136"/>
      <c r="BS7" s="145">
        <v>93.66</v>
      </c>
      <c r="BT7" s="145">
        <v>88.03</v>
      </c>
      <c r="BU7" s="145">
        <v>82.62</v>
      </c>
      <c r="BV7" s="145">
        <v>65.010000000000005</v>
      </c>
    </row>
    <row r="8" spans="1:74">
      <c r="A8" s="226" t="s">
        <v>216</v>
      </c>
      <c r="B8" s="227"/>
      <c r="C8" s="228"/>
      <c r="D8" s="145">
        <v>81.56</v>
      </c>
      <c r="E8" s="145">
        <v>77.59</v>
      </c>
      <c r="F8" s="145">
        <v>88.6</v>
      </c>
      <c r="G8" s="145">
        <v>77.23</v>
      </c>
      <c r="H8" s="146">
        <v>3.9699999999999989</v>
      </c>
      <c r="I8" s="146">
        <v>-7.039999999999992</v>
      </c>
      <c r="J8" s="146">
        <v>4.3299999999999983</v>
      </c>
      <c r="K8" s="136"/>
      <c r="L8" s="145">
        <v>84.9</v>
      </c>
      <c r="M8" s="145">
        <v>80.59</v>
      </c>
      <c r="N8" s="145">
        <v>81</v>
      </c>
      <c r="O8" s="145">
        <v>84.36</v>
      </c>
      <c r="P8" s="145">
        <v>87.34</v>
      </c>
      <c r="Q8" s="136"/>
      <c r="R8" s="145">
        <v>82.52</v>
      </c>
      <c r="S8" s="145">
        <v>81.34</v>
      </c>
      <c r="T8" s="136"/>
      <c r="U8" s="145">
        <v>78.209999999999994</v>
      </c>
      <c r="V8" s="145">
        <v>80.63</v>
      </c>
      <c r="W8" s="145">
        <v>81.92</v>
      </c>
      <c r="X8" s="145">
        <v>81.260000000000005</v>
      </c>
      <c r="Y8" s="145">
        <v>85.26</v>
      </c>
      <c r="Z8" s="136"/>
      <c r="AA8" s="145">
        <v>93.66</v>
      </c>
      <c r="AB8" s="145">
        <v>89.43</v>
      </c>
      <c r="AC8" s="145">
        <v>85.92</v>
      </c>
      <c r="AD8" s="145">
        <v>81.99</v>
      </c>
      <c r="AE8" s="145">
        <v>79.41</v>
      </c>
      <c r="AF8" s="145">
        <v>74.709999999999994</v>
      </c>
      <c r="AG8" s="145">
        <v>79.209999999999994</v>
      </c>
      <c r="AH8" s="145">
        <v>81.94</v>
      </c>
      <c r="AI8" s="145">
        <v>82.09</v>
      </c>
      <c r="AJ8" s="145">
        <v>80.540000000000006</v>
      </c>
      <c r="AK8" s="136"/>
      <c r="AL8" s="145">
        <v>87.01</v>
      </c>
      <c r="AM8" s="145">
        <v>82.15</v>
      </c>
      <c r="AN8" s="145">
        <v>78.97</v>
      </c>
      <c r="AO8" s="145">
        <v>76.930000000000007</v>
      </c>
      <c r="AP8" s="145">
        <v>83.93</v>
      </c>
      <c r="AQ8" s="145">
        <v>84.79</v>
      </c>
      <c r="AR8" s="136"/>
      <c r="AS8" s="145">
        <v>62.23</v>
      </c>
      <c r="AT8" s="145">
        <v>94.29</v>
      </c>
      <c r="AU8" s="145">
        <v>80.44</v>
      </c>
      <c r="AV8" s="145">
        <v>83.68</v>
      </c>
      <c r="AW8" s="145">
        <v>81.459999999999994</v>
      </c>
      <c r="AX8" s="145">
        <v>84.28</v>
      </c>
      <c r="AY8" s="145">
        <v>91.48</v>
      </c>
      <c r="AZ8" s="145">
        <v>90.16</v>
      </c>
      <c r="BA8" s="145">
        <v>79.81</v>
      </c>
      <c r="BB8" s="145">
        <v>87.3</v>
      </c>
      <c r="BC8" s="145">
        <v>79.87</v>
      </c>
      <c r="BD8" s="145">
        <v>83.85</v>
      </c>
      <c r="BE8" s="145" t="s">
        <v>215</v>
      </c>
      <c r="BF8" s="145">
        <v>95.38</v>
      </c>
      <c r="BG8" s="136"/>
      <c r="BH8" s="145">
        <v>87.65</v>
      </c>
      <c r="BI8" s="145">
        <v>78.34</v>
      </c>
      <c r="BJ8" s="145">
        <v>69.09</v>
      </c>
      <c r="BK8" s="145">
        <v>54.71</v>
      </c>
      <c r="BL8" s="136"/>
      <c r="BM8" s="145">
        <v>84.45</v>
      </c>
      <c r="BN8" s="145">
        <v>75.67</v>
      </c>
      <c r="BO8" s="145">
        <v>62.34</v>
      </c>
      <c r="BP8" s="145">
        <v>87.24</v>
      </c>
      <c r="BQ8" s="145">
        <v>66.099999999999994</v>
      </c>
      <c r="BR8" s="136"/>
      <c r="BS8" s="145">
        <v>89.83</v>
      </c>
      <c r="BT8" s="145">
        <v>83.54</v>
      </c>
      <c r="BU8" s="145">
        <v>77.73</v>
      </c>
      <c r="BV8" s="145">
        <v>61.02</v>
      </c>
    </row>
    <row r="9" spans="1:74">
      <c r="A9" s="211" t="s">
        <v>217</v>
      </c>
      <c r="B9" s="212"/>
      <c r="C9" s="213"/>
      <c r="D9" s="145">
        <v>77.78</v>
      </c>
      <c r="E9" s="145">
        <v>73.56</v>
      </c>
      <c r="F9" s="145">
        <v>84.91</v>
      </c>
      <c r="G9" s="145">
        <v>75.44</v>
      </c>
      <c r="H9" s="146">
        <v>4.2199999999999989</v>
      </c>
      <c r="I9" s="146">
        <v>-7.1299999999999955</v>
      </c>
      <c r="J9" s="146">
        <v>2.3400000000000034</v>
      </c>
      <c r="K9" s="136"/>
      <c r="L9" s="145">
        <v>85.2</v>
      </c>
      <c r="M9" s="145">
        <v>77.400000000000006</v>
      </c>
      <c r="N9" s="145">
        <v>75.959999999999994</v>
      </c>
      <c r="O9" s="145">
        <v>79.81</v>
      </c>
      <c r="P9" s="145">
        <v>83.12</v>
      </c>
      <c r="Q9" s="136"/>
      <c r="R9" s="145">
        <v>78.27</v>
      </c>
      <c r="S9" s="145">
        <v>78.02</v>
      </c>
      <c r="T9" s="136"/>
      <c r="U9" s="145">
        <v>80.489999999999995</v>
      </c>
      <c r="V9" s="145">
        <v>78.47</v>
      </c>
      <c r="W9" s="145">
        <v>78.739999999999995</v>
      </c>
      <c r="X9" s="145">
        <v>76.790000000000006</v>
      </c>
      <c r="Y9" s="145">
        <v>79.03</v>
      </c>
      <c r="Z9" s="136"/>
      <c r="AA9" s="145">
        <v>87.16</v>
      </c>
      <c r="AB9" s="145">
        <v>83.33</v>
      </c>
      <c r="AC9" s="145">
        <v>81.790000000000006</v>
      </c>
      <c r="AD9" s="145">
        <v>75.37</v>
      </c>
      <c r="AE9" s="145">
        <v>74.319999999999993</v>
      </c>
      <c r="AF9" s="145">
        <v>69.97</v>
      </c>
      <c r="AG9" s="145">
        <v>77.64</v>
      </c>
      <c r="AH9" s="145">
        <v>79.180000000000007</v>
      </c>
      <c r="AI9" s="145">
        <v>83.27</v>
      </c>
      <c r="AJ9" s="145">
        <v>72.260000000000005</v>
      </c>
      <c r="AK9" s="136"/>
      <c r="AL9" s="145">
        <v>87.17</v>
      </c>
      <c r="AM9" s="145">
        <v>79.760000000000005</v>
      </c>
      <c r="AN9" s="145">
        <v>74.66</v>
      </c>
      <c r="AO9" s="145">
        <v>72.42</v>
      </c>
      <c r="AP9" s="145">
        <v>77.63</v>
      </c>
      <c r="AQ9" s="145">
        <v>80.38</v>
      </c>
      <c r="AR9" s="136"/>
      <c r="AS9" s="145">
        <v>67.959999999999994</v>
      </c>
      <c r="AT9" s="145">
        <v>91.07</v>
      </c>
      <c r="AU9" s="145">
        <v>74.040000000000006</v>
      </c>
      <c r="AV9" s="145">
        <v>74.45</v>
      </c>
      <c r="AW9" s="145">
        <v>78.72</v>
      </c>
      <c r="AX9" s="145">
        <v>76.58</v>
      </c>
      <c r="AY9" s="145">
        <v>81.349999999999994</v>
      </c>
      <c r="AZ9" s="145">
        <v>80.63</v>
      </c>
      <c r="BA9" s="145">
        <v>70.56</v>
      </c>
      <c r="BB9" s="145">
        <v>81.760000000000005</v>
      </c>
      <c r="BC9" s="145">
        <v>76.849999999999994</v>
      </c>
      <c r="BD9" s="145">
        <v>73.540000000000006</v>
      </c>
      <c r="BE9" s="145" t="s">
        <v>215</v>
      </c>
      <c r="BF9" s="145">
        <v>85</v>
      </c>
      <c r="BG9" s="136"/>
      <c r="BH9" s="145">
        <v>83.2</v>
      </c>
      <c r="BI9" s="145">
        <v>74.31</v>
      </c>
      <c r="BJ9" s="145">
        <v>66.7</v>
      </c>
      <c r="BK9" s="145">
        <v>56.94</v>
      </c>
      <c r="BL9" s="136"/>
      <c r="BM9" s="145">
        <v>79.25</v>
      </c>
      <c r="BN9" s="145">
        <v>73.47</v>
      </c>
      <c r="BO9" s="145">
        <v>59.43</v>
      </c>
      <c r="BP9" s="145">
        <v>82.97</v>
      </c>
      <c r="BQ9" s="145">
        <v>62.41</v>
      </c>
      <c r="BR9" s="136"/>
      <c r="BS9" s="145">
        <v>85.29</v>
      </c>
      <c r="BT9" s="145">
        <v>79.36</v>
      </c>
      <c r="BU9" s="145">
        <v>73.209999999999994</v>
      </c>
      <c r="BV9" s="145">
        <v>61.49</v>
      </c>
    </row>
    <row r="10" spans="1:74">
      <c r="A10" s="214" t="s">
        <v>218</v>
      </c>
      <c r="B10" s="215"/>
      <c r="C10" s="216"/>
      <c r="D10" s="145">
        <v>83.3</v>
      </c>
      <c r="E10" s="145">
        <v>78.540000000000006</v>
      </c>
      <c r="F10" s="145">
        <v>90.36</v>
      </c>
      <c r="G10" s="145">
        <v>80.28</v>
      </c>
      <c r="H10" s="146">
        <v>4.7599999999999909</v>
      </c>
      <c r="I10" s="146">
        <v>-7.0600000000000023</v>
      </c>
      <c r="J10" s="146">
        <v>3.019999999999996</v>
      </c>
      <c r="K10" s="136"/>
      <c r="L10" s="145">
        <v>83.54</v>
      </c>
      <c r="M10" s="145">
        <v>81.03</v>
      </c>
      <c r="N10" s="145">
        <v>83.26</v>
      </c>
      <c r="O10" s="145">
        <v>88.56</v>
      </c>
      <c r="P10" s="145">
        <v>91.07</v>
      </c>
      <c r="Q10" s="136"/>
      <c r="R10" s="145">
        <v>83.68</v>
      </c>
      <c r="S10" s="145">
        <v>83.52</v>
      </c>
      <c r="T10" s="136"/>
      <c r="U10" s="145">
        <v>84.38</v>
      </c>
      <c r="V10" s="145">
        <v>84.66</v>
      </c>
      <c r="W10" s="145">
        <v>83.78</v>
      </c>
      <c r="X10" s="145">
        <v>82.02</v>
      </c>
      <c r="Y10" s="145">
        <v>86.82</v>
      </c>
      <c r="Z10" s="136"/>
      <c r="AA10" s="145">
        <v>94.93</v>
      </c>
      <c r="AB10" s="145">
        <v>92.27</v>
      </c>
      <c r="AC10" s="145">
        <v>89.09</v>
      </c>
      <c r="AD10" s="145">
        <v>82.97</v>
      </c>
      <c r="AE10" s="145">
        <v>81.58</v>
      </c>
      <c r="AF10" s="145">
        <v>76.73</v>
      </c>
      <c r="AG10" s="145">
        <v>80.61</v>
      </c>
      <c r="AH10" s="145">
        <v>83.49</v>
      </c>
      <c r="AI10" s="145">
        <v>80.66</v>
      </c>
      <c r="AJ10" s="145">
        <v>76.23</v>
      </c>
      <c r="AK10" s="136"/>
      <c r="AL10" s="145">
        <v>86.67</v>
      </c>
      <c r="AM10" s="145">
        <v>82.73</v>
      </c>
      <c r="AN10" s="145">
        <v>79.88</v>
      </c>
      <c r="AO10" s="145">
        <v>80.069999999999993</v>
      </c>
      <c r="AP10" s="145">
        <v>86.61</v>
      </c>
      <c r="AQ10" s="145">
        <v>88.62</v>
      </c>
      <c r="AR10" s="136"/>
      <c r="AS10" s="145">
        <v>72.989999999999995</v>
      </c>
      <c r="AT10" s="145">
        <v>99.04</v>
      </c>
      <c r="AU10" s="145">
        <v>80</v>
      </c>
      <c r="AV10" s="145">
        <v>84.75</v>
      </c>
      <c r="AW10" s="145">
        <v>83.95</v>
      </c>
      <c r="AX10" s="145">
        <v>89.61</v>
      </c>
      <c r="AY10" s="145">
        <v>93.45</v>
      </c>
      <c r="AZ10" s="145">
        <v>88.73</v>
      </c>
      <c r="BA10" s="145">
        <v>76.319999999999993</v>
      </c>
      <c r="BB10" s="145">
        <v>90.11</v>
      </c>
      <c r="BC10" s="145">
        <v>80.97</v>
      </c>
      <c r="BD10" s="145">
        <v>81.84</v>
      </c>
      <c r="BE10" s="145" t="s">
        <v>215</v>
      </c>
      <c r="BF10" s="145">
        <v>96.25</v>
      </c>
      <c r="BG10" s="136"/>
      <c r="BH10" s="145">
        <v>87.6</v>
      </c>
      <c r="BI10" s="145">
        <v>81.8</v>
      </c>
      <c r="BJ10" s="145">
        <v>71.7</v>
      </c>
      <c r="BK10" s="145">
        <v>66.19</v>
      </c>
      <c r="BL10" s="136"/>
      <c r="BM10" s="145">
        <v>84.85</v>
      </c>
      <c r="BN10" s="145">
        <v>75.930000000000007</v>
      </c>
      <c r="BO10" s="145">
        <v>67.13</v>
      </c>
      <c r="BP10" s="145">
        <v>89.76</v>
      </c>
      <c r="BQ10" s="145">
        <v>66.989999999999995</v>
      </c>
      <c r="BR10" s="136"/>
      <c r="BS10" s="145">
        <v>89.45</v>
      </c>
      <c r="BT10" s="145">
        <v>84.49</v>
      </c>
      <c r="BU10" s="145">
        <v>80.319999999999993</v>
      </c>
      <c r="BV10" s="145">
        <v>67.36</v>
      </c>
    </row>
    <row r="11" spans="1:74">
      <c r="A11" s="217" t="s">
        <v>219</v>
      </c>
      <c r="B11" s="218"/>
      <c r="C11" s="219"/>
      <c r="D11" s="145">
        <v>86.19</v>
      </c>
      <c r="E11" s="145">
        <v>81.86</v>
      </c>
      <c r="F11" s="145">
        <v>92.63</v>
      </c>
      <c r="G11" s="145">
        <v>83.31</v>
      </c>
      <c r="H11" s="146">
        <v>4.3299999999999983</v>
      </c>
      <c r="I11" s="146">
        <v>-6.4399999999999977</v>
      </c>
      <c r="J11" s="146">
        <v>2.8799999999999955</v>
      </c>
      <c r="K11" s="136"/>
      <c r="L11" s="145">
        <v>90.58</v>
      </c>
      <c r="M11" s="145">
        <v>85.89</v>
      </c>
      <c r="N11" s="145">
        <v>85.08</v>
      </c>
      <c r="O11" s="145">
        <v>88.42</v>
      </c>
      <c r="P11" s="145">
        <v>90.24</v>
      </c>
      <c r="Q11" s="136"/>
      <c r="R11" s="145">
        <v>86.39</v>
      </c>
      <c r="S11" s="145">
        <v>86.83</v>
      </c>
      <c r="T11" s="136"/>
      <c r="U11" s="145">
        <v>78.33</v>
      </c>
      <c r="V11" s="145">
        <v>85.6</v>
      </c>
      <c r="W11" s="145">
        <v>86.75</v>
      </c>
      <c r="X11" s="145">
        <v>85.69</v>
      </c>
      <c r="Y11" s="145">
        <v>89.35</v>
      </c>
      <c r="Z11" s="136"/>
      <c r="AA11" s="145">
        <v>94.86</v>
      </c>
      <c r="AB11" s="145">
        <v>92.88</v>
      </c>
      <c r="AC11" s="145">
        <v>90.23</v>
      </c>
      <c r="AD11" s="145">
        <v>86.42</v>
      </c>
      <c r="AE11" s="145">
        <v>83.34</v>
      </c>
      <c r="AF11" s="145">
        <v>79.400000000000006</v>
      </c>
      <c r="AG11" s="145">
        <v>84.13</v>
      </c>
      <c r="AH11" s="145">
        <v>86.8</v>
      </c>
      <c r="AI11" s="145">
        <v>89.26</v>
      </c>
      <c r="AJ11" s="145">
        <v>80.28</v>
      </c>
      <c r="AK11" s="136"/>
      <c r="AL11" s="145">
        <v>91.77</v>
      </c>
      <c r="AM11" s="145">
        <v>87.67</v>
      </c>
      <c r="AN11" s="145">
        <v>83.75</v>
      </c>
      <c r="AO11" s="145">
        <v>81.36</v>
      </c>
      <c r="AP11" s="145">
        <v>88.32</v>
      </c>
      <c r="AQ11" s="145">
        <v>88.26</v>
      </c>
      <c r="AR11" s="136"/>
      <c r="AS11" s="145">
        <v>60.71</v>
      </c>
      <c r="AT11" s="145">
        <v>98.57</v>
      </c>
      <c r="AU11" s="145">
        <v>79.77</v>
      </c>
      <c r="AV11" s="145">
        <v>87.66</v>
      </c>
      <c r="AW11" s="145">
        <v>86.3</v>
      </c>
      <c r="AX11" s="145">
        <v>90.11</v>
      </c>
      <c r="AY11" s="145">
        <v>93.76</v>
      </c>
      <c r="AZ11" s="145">
        <v>92.57</v>
      </c>
      <c r="BA11" s="145">
        <v>79.37</v>
      </c>
      <c r="BB11" s="145">
        <v>91.39</v>
      </c>
      <c r="BC11" s="145">
        <v>85.14</v>
      </c>
      <c r="BD11" s="145">
        <v>86.85</v>
      </c>
      <c r="BE11" s="145" t="s">
        <v>215</v>
      </c>
      <c r="BF11" s="145">
        <v>91</v>
      </c>
      <c r="BG11" s="136"/>
      <c r="BH11" s="145">
        <v>90.98</v>
      </c>
      <c r="BI11" s="145">
        <v>84.03</v>
      </c>
      <c r="BJ11" s="145">
        <v>75.88</v>
      </c>
      <c r="BK11" s="145">
        <v>65.92</v>
      </c>
      <c r="BL11" s="136"/>
      <c r="BM11" s="145">
        <v>88.44</v>
      </c>
      <c r="BN11" s="145">
        <v>81.05</v>
      </c>
      <c r="BO11" s="145">
        <v>68.94</v>
      </c>
      <c r="BP11" s="145">
        <v>91.63</v>
      </c>
      <c r="BQ11" s="145">
        <v>70.739999999999995</v>
      </c>
      <c r="BR11" s="136"/>
      <c r="BS11" s="145">
        <v>93.27</v>
      </c>
      <c r="BT11" s="145">
        <v>88.22</v>
      </c>
      <c r="BU11" s="145">
        <v>84</v>
      </c>
      <c r="BV11" s="145">
        <v>70.72</v>
      </c>
    </row>
    <row r="12" spans="1:74">
      <c r="A12" s="147" t="s">
        <v>356</v>
      </c>
      <c r="B12" s="114">
        <v>58</v>
      </c>
      <c r="C12" s="115" t="s">
        <v>220</v>
      </c>
      <c r="D12" s="148">
        <v>84.08</v>
      </c>
      <c r="E12" s="148">
        <v>79.319999999999993</v>
      </c>
      <c r="F12" s="148">
        <v>91.62</v>
      </c>
      <c r="G12" s="148">
        <v>82.28</v>
      </c>
      <c r="H12" s="149">
        <v>4.7600000000000051</v>
      </c>
      <c r="I12" s="149">
        <v>-7.5400000000000063</v>
      </c>
      <c r="J12" s="149">
        <v>1.7999999999999972</v>
      </c>
      <c r="K12" s="136"/>
      <c r="L12" s="148">
        <v>87.33</v>
      </c>
      <c r="M12" s="148">
        <v>82.4</v>
      </c>
      <c r="N12" s="148">
        <v>83.7</v>
      </c>
      <c r="O12" s="148">
        <v>87.89</v>
      </c>
      <c r="P12" s="148">
        <v>93.55</v>
      </c>
      <c r="Q12" s="136"/>
      <c r="R12" s="148">
        <v>85.32</v>
      </c>
      <c r="S12" s="148">
        <v>83.78</v>
      </c>
      <c r="T12" s="136"/>
      <c r="U12" s="148">
        <v>75</v>
      </c>
      <c r="V12" s="148">
        <v>86.11</v>
      </c>
      <c r="W12" s="148">
        <v>84.66</v>
      </c>
      <c r="X12" s="148">
        <v>82.38</v>
      </c>
      <c r="Y12" s="148">
        <v>89.58</v>
      </c>
      <c r="Z12" s="136"/>
      <c r="AA12" s="148">
        <v>98.65</v>
      </c>
      <c r="AB12" s="148">
        <v>94.24</v>
      </c>
      <c r="AC12" s="148">
        <v>89.27</v>
      </c>
      <c r="AD12" s="148">
        <v>85.34</v>
      </c>
      <c r="AE12" s="148">
        <v>81.61</v>
      </c>
      <c r="AF12" s="148">
        <v>80</v>
      </c>
      <c r="AG12" s="148">
        <v>81.459999999999994</v>
      </c>
      <c r="AH12" s="148">
        <v>82.78</v>
      </c>
      <c r="AI12" s="148">
        <v>82.83</v>
      </c>
      <c r="AJ12" s="148">
        <v>76.19</v>
      </c>
      <c r="AK12" s="136"/>
      <c r="AL12" s="148">
        <v>90.59</v>
      </c>
      <c r="AM12" s="148">
        <v>84.53</v>
      </c>
      <c r="AN12" s="148">
        <v>80.75</v>
      </c>
      <c r="AO12" s="148">
        <v>79.08</v>
      </c>
      <c r="AP12" s="148">
        <v>86.71</v>
      </c>
      <c r="AQ12" s="148">
        <v>89.28</v>
      </c>
      <c r="AR12" s="136"/>
      <c r="AS12" s="148">
        <v>75</v>
      </c>
      <c r="AT12" s="148">
        <v>100</v>
      </c>
      <c r="AU12" s="148">
        <v>75.61</v>
      </c>
      <c r="AV12" s="148">
        <v>86.36</v>
      </c>
      <c r="AW12" s="148">
        <v>83.41</v>
      </c>
      <c r="AX12" s="148">
        <v>91.58</v>
      </c>
      <c r="AY12" s="148">
        <v>100</v>
      </c>
      <c r="AZ12" s="148">
        <v>91.12</v>
      </c>
      <c r="BA12" s="148">
        <v>81.37</v>
      </c>
      <c r="BB12" s="148">
        <v>91.53</v>
      </c>
      <c r="BC12" s="148">
        <v>83.23</v>
      </c>
      <c r="BD12" s="148">
        <v>87.67</v>
      </c>
      <c r="BE12" s="148" t="s">
        <v>215</v>
      </c>
      <c r="BF12" s="148">
        <v>100</v>
      </c>
      <c r="BG12" s="136"/>
      <c r="BH12" s="148">
        <v>89.51</v>
      </c>
      <c r="BI12" s="148">
        <v>82.26</v>
      </c>
      <c r="BJ12" s="148">
        <v>70.599999999999994</v>
      </c>
      <c r="BK12" s="148">
        <v>68.099999999999994</v>
      </c>
      <c r="BL12" s="136"/>
      <c r="BM12" s="148">
        <v>87.3</v>
      </c>
      <c r="BN12" s="148">
        <v>77.290000000000006</v>
      </c>
      <c r="BO12" s="148">
        <v>65.349999999999994</v>
      </c>
      <c r="BP12" s="148">
        <v>91.62</v>
      </c>
      <c r="BQ12" s="148">
        <v>61.47</v>
      </c>
      <c r="BR12" s="136"/>
      <c r="BS12" s="148">
        <v>93.54</v>
      </c>
      <c r="BT12" s="148">
        <v>87.99</v>
      </c>
      <c r="BU12" s="148">
        <v>81.739999999999995</v>
      </c>
      <c r="BV12" s="148">
        <v>63.29</v>
      </c>
    </row>
    <row r="13" spans="1:74">
      <c r="A13" s="202" t="s">
        <v>221</v>
      </c>
      <c r="B13" s="203"/>
      <c r="C13" s="204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6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6"/>
      <c r="R13" s="26">
        <v>83.48</v>
      </c>
      <c r="S13" s="26">
        <v>83.12</v>
      </c>
      <c r="T13" s="136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6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6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6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6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6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6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41"/>
      <c r="B14" s="141"/>
      <c r="C14" s="142" t="s">
        <v>357</v>
      </c>
      <c r="D14" s="150">
        <v>78.88</v>
      </c>
      <c r="E14" s="150">
        <v>73.930000000000007</v>
      </c>
      <c r="F14" s="150"/>
      <c r="G14" s="150"/>
      <c r="H14" s="150"/>
      <c r="I14" s="150"/>
      <c r="J14" s="150"/>
      <c r="K14" s="151"/>
      <c r="L14" s="150">
        <v>82.41</v>
      </c>
      <c r="M14" s="150">
        <v>77.44</v>
      </c>
      <c r="N14" s="150">
        <v>78.069999999999993</v>
      </c>
      <c r="O14" s="150">
        <v>82.57</v>
      </c>
      <c r="P14" s="150">
        <v>86.36</v>
      </c>
      <c r="Q14" s="151"/>
      <c r="R14" s="150">
        <v>79.62</v>
      </c>
      <c r="S14" s="150">
        <v>78.790000000000006</v>
      </c>
      <c r="T14" s="151"/>
      <c r="U14" s="150">
        <v>68.069999999999993</v>
      </c>
      <c r="V14" s="150">
        <v>79.69</v>
      </c>
      <c r="W14" s="150">
        <v>79.13</v>
      </c>
      <c r="X14" s="150">
        <v>78.17</v>
      </c>
      <c r="Y14" s="150">
        <v>82.9</v>
      </c>
      <c r="Z14" s="151"/>
      <c r="AA14" s="150">
        <v>91.91</v>
      </c>
      <c r="AB14" s="150">
        <v>88.05</v>
      </c>
      <c r="AC14" s="150">
        <v>86.33</v>
      </c>
      <c r="AD14" s="150">
        <v>77.510000000000005</v>
      </c>
      <c r="AE14" s="150">
        <v>73.2</v>
      </c>
      <c r="AF14" s="150">
        <v>71.02</v>
      </c>
      <c r="AG14" s="150">
        <v>74.760000000000005</v>
      </c>
      <c r="AH14" s="150">
        <v>80.2</v>
      </c>
      <c r="AI14" s="150">
        <v>80.39</v>
      </c>
      <c r="AJ14" s="150" t="s">
        <v>215</v>
      </c>
      <c r="AK14" s="151"/>
      <c r="AL14" s="150">
        <v>83.99</v>
      </c>
      <c r="AM14" s="150">
        <v>78.19</v>
      </c>
      <c r="AN14" s="150">
        <v>76.42</v>
      </c>
      <c r="AO14" s="150">
        <v>76.36</v>
      </c>
      <c r="AP14" s="150">
        <v>80.75</v>
      </c>
      <c r="AQ14" s="150">
        <v>84.02</v>
      </c>
      <c r="AR14" s="151"/>
      <c r="AS14" s="150">
        <v>71.709999999999994</v>
      </c>
      <c r="AT14" s="150">
        <v>94.66</v>
      </c>
      <c r="AU14" s="150">
        <v>78.58</v>
      </c>
      <c r="AV14" s="150">
        <v>74.38</v>
      </c>
      <c r="AW14" s="150">
        <v>80.41</v>
      </c>
      <c r="AX14" s="150">
        <v>84.16</v>
      </c>
      <c r="AY14" s="150" t="s">
        <v>215</v>
      </c>
      <c r="AZ14" s="150">
        <v>87.49</v>
      </c>
      <c r="BA14" s="150">
        <v>80.099999999999994</v>
      </c>
      <c r="BB14" s="150">
        <v>77.22</v>
      </c>
      <c r="BC14" s="150">
        <v>75.45</v>
      </c>
      <c r="BD14" s="150">
        <v>82.2</v>
      </c>
      <c r="BE14" s="150" t="s">
        <v>215</v>
      </c>
      <c r="BF14" s="150">
        <v>91.82</v>
      </c>
      <c r="BG14" s="151"/>
      <c r="BH14" s="150">
        <v>84.86</v>
      </c>
      <c r="BI14" s="150">
        <v>74.510000000000005</v>
      </c>
      <c r="BJ14" s="150">
        <v>66.599999999999994</v>
      </c>
      <c r="BK14" s="150">
        <v>55.18</v>
      </c>
      <c r="BL14" s="151"/>
      <c r="BM14" s="150">
        <v>80.739999999999995</v>
      </c>
      <c r="BN14" s="150">
        <v>74.11</v>
      </c>
      <c r="BO14" s="150">
        <v>60.51</v>
      </c>
      <c r="BP14" s="150">
        <v>85.59</v>
      </c>
      <c r="BQ14" s="150">
        <v>59.82</v>
      </c>
      <c r="BR14" s="151"/>
      <c r="BS14" s="150" t="s">
        <v>215</v>
      </c>
      <c r="BT14" s="150" t="s">
        <v>215</v>
      </c>
      <c r="BU14" s="150" t="s">
        <v>215</v>
      </c>
      <c r="BV14" s="150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36"/>
      <c r="L16" s="205">
        <f>+SUM(L3:P3)</f>
        <v>4698</v>
      </c>
      <c r="M16" s="206"/>
      <c r="N16" s="206"/>
      <c r="O16" s="206"/>
      <c r="P16" s="207"/>
      <c r="Q16" s="136"/>
      <c r="R16" s="205">
        <f>+SUM(R3:S3)</f>
        <v>4667</v>
      </c>
      <c r="S16" s="207"/>
      <c r="T16" s="136"/>
      <c r="U16" s="205">
        <f>+SUM(U3:Y3)</f>
        <v>4690</v>
      </c>
      <c r="V16" s="206"/>
      <c r="W16" s="206"/>
      <c r="X16" s="206"/>
      <c r="Y16" s="207"/>
      <c r="Z16" s="136"/>
      <c r="AA16" s="205">
        <f>+SUM(AA3:AJ3)</f>
        <v>4649</v>
      </c>
      <c r="AB16" s="206"/>
      <c r="AC16" s="206"/>
      <c r="AD16" s="206"/>
      <c r="AE16" s="206"/>
      <c r="AF16" s="206"/>
      <c r="AG16" s="206"/>
      <c r="AH16" s="206"/>
      <c r="AI16" s="206"/>
      <c r="AJ16" s="207"/>
      <c r="AK16" s="136"/>
      <c r="AL16" s="205">
        <f>+SUM(AL3:AQ3)</f>
        <v>4670</v>
      </c>
      <c r="AM16" s="206"/>
      <c r="AN16" s="206"/>
      <c r="AO16" s="206"/>
      <c r="AP16" s="206"/>
      <c r="AQ16" s="207"/>
      <c r="AR16" s="136"/>
      <c r="AS16" s="205">
        <f>+SUM(AS3:BF3)</f>
        <v>4886</v>
      </c>
      <c r="AT16" s="206"/>
      <c r="AU16" s="206"/>
      <c r="AV16" s="206"/>
      <c r="AW16" s="206"/>
      <c r="AX16" s="206"/>
      <c r="AY16" s="206"/>
      <c r="AZ16" s="206"/>
      <c r="BA16" s="206"/>
      <c r="BB16" s="206"/>
      <c r="BC16" s="206"/>
      <c r="BD16" s="206"/>
      <c r="BE16" s="206"/>
      <c r="BF16" s="207"/>
      <c r="BG16" s="136"/>
      <c r="BH16" s="205">
        <f>+SUM(BH3:BK3)</f>
        <v>4149</v>
      </c>
      <c r="BI16" s="206"/>
      <c r="BJ16" s="206"/>
      <c r="BK16" s="207"/>
      <c r="BL16" s="136"/>
      <c r="BM16" s="205">
        <f>+SUM(BM3:BQ3)</f>
        <v>3932</v>
      </c>
      <c r="BN16" s="206"/>
      <c r="BO16" s="206"/>
      <c r="BP16" s="206"/>
      <c r="BQ16" s="207"/>
      <c r="BR16" s="136"/>
      <c r="BS16" s="205">
        <f>+SUM(BS3:BV3)</f>
        <v>1839</v>
      </c>
      <c r="BT16" s="206"/>
      <c r="BU16" s="206"/>
      <c r="BV16" s="207"/>
    </row>
    <row r="17" spans="1:74">
      <c r="A17" s="138"/>
      <c r="B17" s="138"/>
      <c r="C17" s="139" t="s">
        <v>359</v>
      </c>
      <c r="D17" s="140"/>
      <c r="E17" s="140"/>
      <c r="F17" s="140"/>
      <c r="G17" s="140"/>
      <c r="H17" s="140"/>
      <c r="I17" s="140"/>
      <c r="J17" s="140"/>
      <c r="K17" s="136"/>
      <c r="L17" s="152">
        <f>+L3/$L$16</f>
        <v>6.2154108131119629E-2</v>
      </c>
      <c r="M17" s="152">
        <f t="shared" ref="M17:P17" si="0">+M3/$L$16</f>
        <v>0.42486164325244785</v>
      </c>
      <c r="N17" s="152">
        <f t="shared" si="0"/>
        <v>0.30353341847594723</v>
      </c>
      <c r="O17" s="152">
        <f t="shared" si="0"/>
        <v>0.15666240953597274</v>
      </c>
      <c r="P17" s="152">
        <f t="shared" si="0"/>
        <v>5.2788420604512561E-2</v>
      </c>
      <c r="Q17" s="136"/>
      <c r="R17" s="152">
        <f>+R3/$R$16</f>
        <v>0.53053353331904862</v>
      </c>
      <c r="S17" s="152">
        <f>+S3/$R$16</f>
        <v>0.46946646668095138</v>
      </c>
      <c r="T17" s="136"/>
      <c r="U17" s="152">
        <f>+U3/$U$16</f>
        <v>2.5586353944562902E-3</v>
      </c>
      <c r="V17" s="152">
        <f t="shared" ref="V17:Y17" si="1">+V3/$U$16</f>
        <v>7.6759061833688705E-2</v>
      </c>
      <c r="W17" s="152">
        <f t="shared" si="1"/>
        <v>0.48528784648187634</v>
      </c>
      <c r="X17" s="152">
        <f t="shared" si="1"/>
        <v>0.32878464818763325</v>
      </c>
      <c r="Y17" s="152">
        <f t="shared" si="1"/>
        <v>0.10660980810234541</v>
      </c>
      <c r="Z17" s="136"/>
      <c r="AA17" s="152">
        <f>+AA3/$AA$16</f>
        <v>1.5917401591740158E-2</v>
      </c>
      <c r="AB17" s="152">
        <f t="shared" ref="AB17:AJ17" si="2">+AB3/$AA$16</f>
        <v>2.98989029898903E-2</v>
      </c>
      <c r="AC17" s="152">
        <f t="shared" si="2"/>
        <v>0.2105829210582921</v>
      </c>
      <c r="AD17" s="152">
        <f t="shared" si="2"/>
        <v>0.17078941707894171</v>
      </c>
      <c r="AE17" s="152">
        <f t="shared" si="2"/>
        <v>8.3028608302860823E-2</v>
      </c>
      <c r="AF17" s="152">
        <f t="shared" si="2"/>
        <v>9.1632609163260922E-2</v>
      </c>
      <c r="AG17" s="152">
        <f t="shared" si="2"/>
        <v>0.11529361152936116</v>
      </c>
      <c r="AH17" s="152">
        <f t="shared" si="2"/>
        <v>0.18864271886427189</v>
      </c>
      <c r="AI17" s="152">
        <f t="shared" si="2"/>
        <v>8.5179608517960859E-2</v>
      </c>
      <c r="AJ17" s="152">
        <f t="shared" si="2"/>
        <v>9.0342009034200896E-3</v>
      </c>
      <c r="AK17" s="136"/>
      <c r="AL17" s="152">
        <f>+AL3/$AL$16</f>
        <v>9.1006423982869372E-2</v>
      </c>
      <c r="AM17" s="152">
        <f t="shared" ref="AM17:AQ17" si="3">+AM3/$AL$16</f>
        <v>0.24089935760171305</v>
      </c>
      <c r="AN17" s="152">
        <f t="shared" si="3"/>
        <v>0.25653104925053533</v>
      </c>
      <c r="AO17" s="152">
        <f t="shared" si="3"/>
        <v>8.8222698072805139E-2</v>
      </c>
      <c r="AP17" s="152">
        <f t="shared" si="3"/>
        <v>0.16937901498929336</v>
      </c>
      <c r="AQ17" s="152">
        <f t="shared" si="3"/>
        <v>0.15396145610278372</v>
      </c>
      <c r="AR17" s="136"/>
      <c r="AS17" s="152">
        <f>+AS3/$AS$16</f>
        <v>1.637331150225133E-3</v>
      </c>
      <c r="AT17" s="152">
        <f t="shared" ref="AT17:BF17" si="4">+AT3/$AS$16</f>
        <v>2.8653295128939827E-3</v>
      </c>
      <c r="AU17" s="152">
        <f t="shared" si="4"/>
        <v>8.3913221449038074E-3</v>
      </c>
      <c r="AV17" s="152">
        <f t="shared" si="4"/>
        <v>4.0728612361850186E-2</v>
      </c>
      <c r="AW17" s="152">
        <f t="shared" si="4"/>
        <v>0.53458862054850598</v>
      </c>
      <c r="AX17" s="152">
        <f t="shared" si="4"/>
        <v>1.9443307408923454E-2</v>
      </c>
      <c r="AY17" s="152">
        <f t="shared" si="4"/>
        <v>4.2979942693409743E-3</v>
      </c>
      <c r="AZ17" s="152">
        <f t="shared" si="4"/>
        <v>3.4793286942284077E-2</v>
      </c>
      <c r="BA17" s="152">
        <f t="shared" si="4"/>
        <v>2.0875972165370446E-2</v>
      </c>
      <c r="BB17" s="152">
        <f t="shared" si="4"/>
        <v>1.2279983626688497E-2</v>
      </c>
      <c r="BC17" s="152">
        <f t="shared" si="4"/>
        <v>0.30249693000409333</v>
      </c>
      <c r="BD17" s="152">
        <f t="shared" si="4"/>
        <v>1.4940646745804339E-2</v>
      </c>
      <c r="BE17" s="152">
        <f t="shared" si="4"/>
        <v>6.1399918133442485E-4</v>
      </c>
      <c r="BF17" s="152">
        <f t="shared" si="4"/>
        <v>2.0466639377814161E-3</v>
      </c>
      <c r="BG17" s="136"/>
      <c r="BH17" s="152">
        <f>+BH3/$BH$16</f>
        <v>0.58905760424198605</v>
      </c>
      <c r="BI17" s="152">
        <f t="shared" ref="BI17:BJ17" si="5">+BI3/$BH$16</f>
        <v>0.26223186309954205</v>
      </c>
      <c r="BJ17" s="152">
        <f t="shared" si="5"/>
        <v>0.12075198843094721</v>
      </c>
      <c r="BK17" s="152">
        <f>+BK3/$BH$16</f>
        <v>2.7958544227524706E-2</v>
      </c>
      <c r="BL17" s="136"/>
      <c r="BM17" s="152">
        <f>+BM3/$BM$16</f>
        <v>0.17293997965412003</v>
      </c>
      <c r="BN17" s="152">
        <f t="shared" ref="BN17:BP17" si="6">+BN3/$BM$16</f>
        <v>0.23906408952187183</v>
      </c>
      <c r="BO17" s="152">
        <f t="shared" si="6"/>
        <v>2.5686673448626653E-2</v>
      </c>
      <c r="BP17" s="152">
        <f t="shared" si="6"/>
        <v>0.50686673448626651</v>
      </c>
      <c r="BQ17" s="152">
        <f>+BQ3/$BM$16</f>
        <v>5.5442522889114956E-2</v>
      </c>
      <c r="BR17" s="136"/>
      <c r="BS17" s="152">
        <f>+BS3/$BS$16</f>
        <v>0.4290375203915171</v>
      </c>
      <c r="BT17" s="152">
        <f t="shared" ref="BT17:BV17" si="7">+BT3/$BS$16</f>
        <v>0.15388798259923872</v>
      </c>
      <c r="BU17" s="152">
        <f t="shared" si="7"/>
        <v>0.24469820554649266</v>
      </c>
      <c r="BV17" s="152">
        <f t="shared" si="7"/>
        <v>0.17237629146275149</v>
      </c>
    </row>
    <row r="18" spans="1:74">
      <c r="A18" s="138"/>
      <c r="B18" s="138"/>
      <c r="C18" s="139" t="s">
        <v>424</v>
      </c>
      <c r="D18" s="140"/>
      <c r="E18" s="140"/>
      <c r="F18" s="140"/>
      <c r="G18" s="140"/>
      <c r="H18" s="140"/>
      <c r="I18" s="140"/>
      <c r="J18" s="140"/>
      <c r="K18" s="136"/>
      <c r="L18" s="140"/>
      <c r="M18" s="140"/>
      <c r="N18" s="140"/>
      <c r="O18" s="140"/>
      <c r="P18" s="140"/>
      <c r="Q18" s="136"/>
      <c r="R18" s="140"/>
      <c r="S18" s="140"/>
      <c r="T18" s="136"/>
      <c r="U18" s="140"/>
      <c r="V18" s="140"/>
      <c r="W18" s="140"/>
      <c r="X18" s="140"/>
      <c r="Y18" s="140"/>
      <c r="Z18" s="136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36"/>
      <c r="AL18" s="140"/>
      <c r="AM18" s="140"/>
      <c r="AN18" s="140"/>
      <c r="AO18" s="140"/>
      <c r="AP18" s="140"/>
      <c r="AQ18" s="140"/>
      <c r="AR18" s="136"/>
      <c r="AS18" s="153">
        <f>+AS3/AS4</f>
        <v>0.88888888888888884</v>
      </c>
      <c r="AT18" s="153">
        <f t="shared" ref="AT18:BF18" si="8">+AT3/AT4</f>
        <v>0.63636363636363635</v>
      </c>
      <c r="AU18" s="153">
        <f t="shared" si="8"/>
        <v>0.95348837209302328</v>
      </c>
      <c r="AV18" s="153">
        <f t="shared" si="8"/>
        <v>0.908675799086758</v>
      </c>
      <c r="AW18" s="153">
        <f t="shared" si="8"/>
        <v>0.93620071684587813</v>
      </c>
      <c r="AX18" s="153">
        <f t="shared" si="8"/>
        <v>0.97938144329896903</v>
      </c>
      <c r="AY18" s="153">
        <f t="shared" si="8"/>
        <v>1</v>
      </c>
      <c r="AZ18" s="153">
        <f t="shared" si="8"/>
        <v>0.94972067039106145</v>
      </c>
      <c r="BA18" s="153">
        <f t="shared" si="8"/>
        <v>0.93577981651376152</v>
      </c>
      <c r="BB18" s="153">
        <f t="shared" si="8"/>
        <v>0.967741935483871</v>
      </c>
      <c r="BC18" s="153">
        <f t="shared" si="8"/>
        <v>0.93131695022054195</v>
      </c>
      <c r="BD18" s="153">
        <f t="shared" si="8"/>
        <v>0.94805194805194803</v>
      </c>
      <c r="BE18" s="153">
        <f t="shared" si="8"/>
        <v>0.75</v>
      </c>
      <c r="BF18" s="153">
        <f t="shared" si="8"/>
        <v>0.83333333333333337</v>
      </c>
      <c r="BG18" s="136"/>
      <c r="BH18" s="140"/>
      <c r="BI18" s="140"/>
      <c r="BJ18" s="140"/>
      <c r="BK18" s="140"/>
      <c r="BL18" s="136"/>
      <c r="BM18" s="140"/>
      <c r="BN18" s="140"/>
      <c r="BO18" s="140"/>
      <c r="BP18" s="140"/>
      <c r="BQ18" s="140"/>
      <c r="BR18" s="136"/>
      <c r="BS18" s="140"/>
      <c r="BT18" s="140"/>
      <c r="BU18" s="140"/>
      <c r="BV18" s="140"/>
    </row>
    <row r="19" spans="1:74">
      <c r="A19" s="141"/>
      <c r="B19" s="141"/>
      <c r="C19" s="142" t="s">
        <v>425</v>
      </c>
      <c r="D19" s="143"/>
      <c r="E19" s="143"/>
      <c r="F19" s="143"/>
      <c r="G19" s="143"/>
      <c r="H19" s="143"/>
      <c r="I19" s="143"/>
      <c r="J19" s="143"/>
      <c r="K19" s="136"/>
      <c r="L19" s="143"/>
      <c r="M19" s="143"/>
      <c r="N19" s="143"/>
      <c r="O19" s="143"/>
      <c r="P19" s="143"/>
      <c r="Q19" s="136"/>
      <c r="R19" s="143"/>
      <c r="S19" s="143"/>
      <c r="T19" s="136"/>
      <c r="U19" s="143"/>
      <c r="V19" s="143"/>
      <c r="W19" s="143"/>
      <c r="X19" s="143"/>
      <c r="Y19" s="143"/>
      <c r="Z19" s="136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36"/>
      <c r="AL19" s="143"/>
      <c r="AM19" s="143"/>
      <c r="AN19" s="143"/>
      <c r="AO19" s="143"/>
      <c r="AP19" s="143"/>
      <c r="AQ19" s="143"/>
      <c r="AR19" s="136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36"/>
      <c r="BH19" s="143"/>
      <c r="BI19" s="143"/>
      <c r="BJ19" s="143"/>
      <c r="BK19" s="143"/>
      <c r="BL19" s="136"/>
      <c r="BM19" s="199">
        <f>+SUM(BM5:BQ5)</f>
        <v>4577</v>
      </c>
      <c r="BN19" s="200"/>
      <c r="BO19" s="200"/>
      <c r="BP19" s="200"/>
      <c r="BQ19" s="201"/>
      <c r="BR19" s="136"/>
      <c r="BS19" s="143"/>
      <c r="BT19" s="143"/>
      <c r="BU19" s="143"/>
      <c r="BV19" s="143"/>
    </row>
    <row r="20" spans="1:74">
      <c r="A20" s="141"/>
      <c r="B20" s="141"/>
      <c r="C20" s="142" t="s">
        <v>426</v>
      </c>
      <c r="D20" s="143"/>
      <c r="E20" s="143"/>
      <c r="F20" s="143"/>
      <c r="G20" s="143"/>
      <c r="H20" s="143"/>
      <c r="I20" s="143"/>
      <c r="J20" s="143"/>
      <c r="K20" s="136"/>
      <c r="L20" s="143"/>
      <c r="M20" s="143"/>
      <c r="N20" s="143"/>
      <c r="O20" s="143"/>
      <c r="P20" s="143"/>
      <c r="Q20" s="136"/>
      <c r="R20" s="143"/>
      <c r="S20" s="143"/>
      <c r="T20" s="136"/>
      <c r="U20" s="143"/>
      <c r="V20" s="143"/>
      <c r="W20" s="143"/>
      <c r="X20" s="143"/>
      <c r="Y20" s="143"/>
      <c r="Z20" s="136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36"/>
      <c r="AL20" s="143"/>
      <c r="AM20" s="143"/>
      <c r="AN20" s="143"/>
      <c r="AO20" s="143"/>
      <c r="AP20" s="143"/>
      <c r="AQ20" s="143"/>
      <c r="AR20" s="136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36"/>
      <c r="BH20" s="143"/>
      <c r="BI20" s="143"/>
      <c r="BJ20" s="143"/>
      <c r="BK20" s="143"/>
      <c r="BL20" s="136"/>
      <c r="BM20" s="154">
        <f>+BM5/$BM$19</f>
        <v>0.16692156434345642</v>
      </c>
      <c r="BN20" s="154">
        <f t="shared" ref="BN20:BQ20" si="9">+BN5/$BM$19</f>
        <v>0.26982739785885951</v>
      </c>
      <c r="BO20" s="154">
        <f t="shared" si="9"/>
        <v>2.8839851431068386E-2</v>
      </c>
      <c r="BP20" s="154">
        <f t="shared" si="9"/>
        <v>0.46952152064671182</v>
      </c>
      <c r="BQ20" s="154">
        <f t="shared" si="9"/>
        <v>6.4889665719903872E-2</v>
      </c>
      <c r="BR20" s="136"/>
      <c r="BS20" s="143"/>
      <c r="BT20" s="143"/>
      <c r="BU20" s="143"/>
      <c r="BV20" s="143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97" t="s">
        <v>248</v>
      </c>
      <c r="B2" s="288" t="s">
        <v>12</v>
      </c>
      <c r="C2" s="291">
        <f>+ROUND(AVERAGE(M2:M5),0)</f>
        <v>87</v>
      </c>
      <c r="D2" s="291">
        <f>+ROUND(AVERAGE(N2:N5),0)</f>
        <v>84</v>
      </c>
      <c r="E2" s="291">
        <f>+ROUND(AVERAGE(O2:O5),0)</f>
        <v>89</v>
      </c>
      <c r="F2" s="291">
        <f>+ROUND(AVERAGE(P2:P5),0)</f>
        <v>78</v>
      </c>
      <c r="G2" s="283">
        <f>+C2-E2</f>
        <v>-2</v>
      </c>
      <c r="H2" s="285">
        <f>+C2-F2</f>
        <v>9</v>
      </c>
      <c r="I2" s="276" t="s">
        <v>12</v>
      </c>
      <c r="J2" s="274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97"/>
      <c r="B3" s="288"/>
      <c r="C3" s="291"/>
      <c r="D3" s="291"/>
      <c r="E3" s="291"/>
      <c r="F3" s="291"/>
      <c r="G3" s="283"/>
      <c r="H3" s="285"/>
      <c r="I3" s="276"/>
      <c r="J3" s="275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97"/>
      <c r="B4" s="288"/>
      <c r="C4" s="291"/>
      <c r="D4" s="291"/>
      <c r="E4" s="291"/>
      <c r="F4" s="291"/>
      <c r="G4" s="283"/>
      <c r="H4" s="285"/>
      <c r="I4" s="276"/>
      <c r="J4" s="274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97"/>
      <c r="B5" s="289"/>
      <c r="C5" s="292"/>
      <c r="D5" s="292"/>
      <c r="E5" s="292"/>
      <c r="F5" s="292"/>
      <c r="G5" s="284"/>
      <c r="H5" s="286"/>
      <c r="I5" s="277"/>
      <c r="J5" s="275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97"/>
      <c r="B6" s="287" t="s">
        <v>13</v>
      </c>
      <c r="C6" s="290">
        <f>+ROUND(AVERAGE(M6:M11),0)</f>
        <v>86</v>
      </c>
      <c r="D6" s="290">
        <f>+ROUND(AVERAGE(N6:N11),0)</f>
        <v>82</v>
      </c>
      <c r="E6" s="290">
        <f>+ROUND(AVERAGE(O6:O11),0)</f>
        <v>89</v>
      </c>
      <c r="F6" s="290">
        <f>+ROUND(AVERAGE(P6:P11),0)</f>
        <v>80</v>
      </c>
      <c r="G6" s="293">
        <f>+C6-E6</f>
        <v>-3</v>
      </c>
      <c r="H6" s="235">
        <f>+C6-F6</f>
        <v>6</v>
      </c>
      <c r="I6" s="276" t="s">
        <v>13</v>
      </c>
      <c r="J6" s="274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97"/>
      <c r="B7" s="288"/>
      <c r="C7" s="243"/>
      <c r="D7" s="243"/>
      <c r="E7" s="243"/>
      <c r="F7" s="243"/>
      <c r="G7" s="294"/>
      <c r="H7" s="236"/>
      <c r="I7" s="276"/>
      <c r="J7" s="274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97"/>
      <c r="B8" s="288"/>
      <c r="C8" s="243"/>
      <c r="D8" s="243"/>
      <c r="E8" s="243"/>
      <c r="F8" s="243"/>
      <c r="G8" s="294"/>
      <c r="H8" s="236"/>
      <c r="I8" s="276"/>
      <c r="J8" s="275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97"/>
      <c r="B9" s="288"/>
      <c r="C9" s="243"/>
      <c r="D9" s="243"/>
      <c r="E9" s="243"/>
      <c r="F9" s="243"/>
      <c r="G9" s="294"/>
      <c r="H9" s="236"/>
      <c r="I9" s="276"/>
      <c r="J9" s="274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97"/>
      <c r="B10" s="288"/>
      <c r="C10" s="243"/>
      <c r="D10" s="243"/>
      <c r="E10" s="243"/>
      <c r="F10" s="243"/>
      <c r="G10" s="294"/>
      <c r="H10" s="236"/>
      <c r="I10" s="276"/>
      <c r="J10" s="275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97"/>
      <c r="B11" s="289"/>
      <c r="C11" s="244"/>
      <c r="D11" s="244"/>
      <c r="E11" s="244"/>
      <c r="F11" s="244"/>
      <c r="G11" s="295"/>
      <c r="H11" s="248"/>
      <c r="I11" s="277"/>
      <c r="J11" s="135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97"/>
      <c r="B12" s="287" t="s">
        <v>14</v>
      </c>
      <c r="C12" s="290">
        <f>+ROUND(AVERAGE(M12:M15),0)</f>
        <v>86</v>
      </c>
      <c r="D12" s="290">
        <f>+ROUND(AVERAGE(N12:N15),0)</f>
        <v>82</v>
      </c>
      <c r="E12" s="290">
        <f>+ROUND(AVERAGE(O12:O15),0)</f>
        <v>90</v>
      </c>
      <c r="F12" s="290">
        <f>+ROUND(AVERAGE(P12:P15),0)</f>
        <v>79</v>
      </c>
      <c r="G12" s="293">
        <f>+C12-E12</f>
        <v>-4</v>
      </c>
      <c r="H12" s="235">
        <f>+C12-F12</f>
        <v>7</v>
      </c>
      <c r="I12" s="276" t="s">
        <v>14</v>
      </c>
      <c r="J12" s="274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97"/>
      <c r="B13" s="288"/>
      <c r="C13" s="243"/>
      <c r="D13" s="243"/>
      <c r="E13" s="243"/>
      <c r="F13" s="243"/>
      <c r="G13" s="294"/>
      <c r="H13" s="236"/>
      <c r="I13" s="276"/>
      <c r="J13" s="274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97"/>
      <c r="B14" s="288"/>
      <c r="C14" s="243"/>
      <c r="D14" s="243"/>
      <c r="E14" s="243"/>
      <c r="F14" s="243"/>
      <c r="G14" s="294"/>
      <c r="H14" s="236"/>
      <c r="I14" s="276"/>
      <c r="J14" s="275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98"/>
      <c r="B15" s="299"/>
      <c r="C15" s="300"/>
      <c r="D15" s="300"/>
      <c r="E15" s="300"/>
      <c r="F15" s="300"/>
      <c r="G15" s="301"/>
      <c r="H15" s="237"/>
      <c r="I15" s="277"/>
      <c r="J15" s="135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96" t="s">
        <v>270</v>
      </c>
      <c r="B17" s="287" t="s">
        <v>15</v>
      </c>
      <c r="C17" s="290">
        <f>+ROUND(AVERAGE(M17:M20),0)</f>
        <v>82</v>
      </c>
      <c r="D17" s="290">
        <f>+ROUND(AVERAGE(N17:N20),0)</f>
        <v>79</v>
      </c>
      <c r="E17" s="290">
        <f>+ROUND(AVERAGE(O17:O20),0)</f>
        <v>89</v>
      </c>
      <c r="F17" s="290">
        <f>+ROUND(AVERAGE(P17:P20),0)</f>
        <v>77</v>
      </c>
      <c r="G17" s="293">
        <f>+C17-E17</f>
        <v>-7</v>
      </c>
      <c r="H17" s="235">
        <f>+C17-F17</f>
        <v>5</v>
      </c>
      <c r="I17" s="264" t="s">
        <v>15</v>
      </c>
      <c r="J17" s="278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96"/>
      <c r="B18" s="288"/>
      <c r="C18" s="243"/>
      <c r="D18" s="243"/>
      <c r="E18" s="243"/>
      <c r="F18" s="243"/>
      <c r="G18" s="294"/>
      <c r="H18" s="236"/>
      <c r="I18" s="265"/>
      <c r="J18" s="263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96"/>
      <c r="B19" s="288"/>
      <c r="C19" s="243"/>
      <c r="D19" s="243"/>
      <c r="E19" s="243"/>
      <c r="F19" s="243"/>
      <c r="G19" s="294"/>
      <c r="H19" s="236"/>
      <c r="I19" s="265"/>
      <c r="J19" s="262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96"/>
      <c r="B20" s="289"/>
      <c r="C20" s="244"/>
      <c r="D20" s="244"/>
      <c r="E20" s="244"/>
      <c r="F20" s="244"/>
      <c r="G20" s="295"/>
      <c r="H20" s="248"/>
      <c r="I20" s="266"/>
      <c r="J20" s="263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96"/>
      <c r="B21" s="287" t="s">
        <v>16</v>
      </c>
      <c r="C21" s="290">
        <f>+ROUND(AVERAGE(M21:M22),0)</f>
        <v>81</v>
      </c>
      <c r="D21" s="290">
        <f>+ROUND(AVERAGE(N21:N22),0)</f>
        <v>77</v>
      </c>
      <c r="E21" s="290">
        <f>+ROUND(AVERAGE(O21:O22),0)</f>
        <v>87</v>
      </c>
      <c r="F21" s="290">
        <f>+ROUND(AVERAGE(P21:P22),0)</f>
        <v>73</v>
      </c>
      <c r="G21" s="293">
        <f>+C21-E21</f>
        <v>-6</v>
      </c>
      <c r="H21" s="235">
        <f>+C21-F21</f>
        <v>8</v>
      </c>
      <c r="I21" s="264" t="s">
        <v>16</v>
      </c>
      <c r="J21" s="262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96"/>
      <c r="B22" s="289"/>
      <c r="C22" s="244"/>
      <c r="D22" s="244"/>
      <c r="E22" s="244"/>
      <c r="F22" s="244"/>
      <c r="G22" s="295"/>
      <c r="H22" s="248"/>
      <c r="I22" s="266"/>
      <c r="J22" s="263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96"/>
      <c r="B23" s="287" t="s">
        <v>17</v>
      </c>
      <c r="C23" s="290">
        <f>+ROUND(AVERAGE(M23:M29),0)</f>
        <v>81</v>
      </c>
      <c r="D23" s="290">
        <f>+ROUND(AVERAGE(N23:N29),0)</f>
        <v>77</v>
      </c>
      <c r="E23" s="290">
        <f>+ROUND(AVERAGE(O23:O29),0)</f>
        <v>89</v>
      </c>
      <c r="F23" s="290">
        <f>+ROUND(AVERAGE(P23:P29),0)</f>
        <v>78</v>
      </c>
      <c r="G23" s="293">
        <f>+C23-E23</f>
        <v>-8</v>
      </c>
      <c r="H23" s="235">
        <f>+C23-F23</f>
        <v>3</v>
      </c>
      <c r="I23" s="264" t="s">
        <v>17</v>
      </c>
      <c r="J23" s="262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96"/>
      <c r="B24" s="288"/>
      <c r="C24" s="243"/>
      <c r="D24" s="243"/>
      <c r="E24" s="243"/>
      <c r="F24" s="243"/>
      <c r="G24" s="294"/>
      <c r="H24" s="236"/>
      <c r="I24" s="265"/>
      <c r="J24" s="262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96"/>
      <c r="B25" s="288"/>
      <c r="C25" s="243"/>
      <c r="D25" s="243"/>
      <c r="E25" s="243"/>
      <c r="F25" s="243"/>
      <c r="G25" s="294"/>
      <c r="H25" s="236"/>
      <c r="I25" s="265"/>
      <c r="J25" s="263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96"/>
      <c r="B26" s="288"/>
      <c r="C26" s="243"/>
      <c r="D26" s="243"/>
      <c r="E26" s="243"/>
      <c r="F26" s="243"/>
      <c r="G26" s="294"/>
      <c r="H26" s="236"/>
      <c r="I26" s="265"/>
      <c r="J26" s="262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96"/>
      <c r="B27" s="288"/>
      <c r="C27" s="243"/>
      <c r="D27" s="243"/>
      <c r="E27" s="243"/>
      <c r="F27" s="243"/>
      <c r="G27" s="294"/>
      <c r="H27" s="236"/>
      <c r="I27" s="265"/>
      <c r="J27" s="262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96"/>
      <c r="B28" s="288"/>
      <c r="C28" s="243"/>
      <c r="D28" s="243"/>
      <c r="E28" s="243"/>
      <c r="F28" s="243"/>
      <c r="G28" s="294"/>
      <c r="H28" s="236"/>
      <c r="I28" s="265"/>
      <c r="J28" s="262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96"/>
      <c r="B29" s="299"/>
      <c r="C29" s="300"/>
      <c r="D29" s="300"/>
      <c r="E29" s="300"/>
      <c r="F29" s="300"/>
      <c r="G29" s="301"/>
      <c r="H29" s="237"/>
      <c r="I29" s="266"/>
      <c r="J29" s="263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302" t="s">
        <v>289</v>
      </c>
      <c r="B31" s="287" t="s">
        <v>18</v>
      </c>
      <c r="C31" s="290">
        <f>+ROUND(AVERAGE(M31:M34),0)</f>
        <v>69</v>
      </c>
      <c r="D31" s="290">
        <f>+ROUND(AVERAGE(N31:N34),0)</f>
        <v>63</v>
      </c>
      <c r="E31" s="290">
        <f>+ROUND(AVERAGE(O31:O34),0)</f>
        <v>77</v>
      </c>
      <c r="F31" s="290">
        <f>+ROUND(AVERAGE(P31:P34),0)</f>
        <v>65</v>
      </c>
      <c r="G31" s="293">
        <f>+C31-E31</f>
        <v>-8</v>
      </c>
      <c r="H31" s="235">
        <f>+C31-F31</f>
        <v>4</v>
      </c>
      <c r="I31" s="267" t="s">
        <v>18</v>
      </c>
      <c r="J31" s="269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302"/>
      <c r="B32" s="288"/>
      <c r="C32" s="243"/>
      <c r="D32" s="243"/>
      <c r="E32" s="243"/>
      <c r="F32" s="243"/>
      <c r="G32" s="294"/>
      <c r="H32" s="236"/>
      <c r="I32" s="267"/>
      <c r="J32" s="254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302"/>
      <c r="B33" s="288"/>
      <c r="C33" s="243"/>
      <c r="D33" s="243"/>
      <c r="E33" s="243"/>
      <c r="F33" s="243"/>
      <c r="G33" s="294"/>
      <c r="H33" s="236"/>
      <c r="I33" s="267"/>
      <c r="J33" s="253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302"/>
      <c r="B34" s="289"/>
      <c r="C34" s="244"/>
      <c r="D34" s="244"/>
      <c r="E34" s="244"/>
      <c r="F34" s="244"/>
      <c r="G34" s="294"/>
      <c r="H34" s="248"/>
      <c r="I34" s="268"/>
      <c r="J34" s="270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302"/>
      <c r="B35" s="304" t="s">
        <v>19</v>
      </c>
      <c r="C35" s="290">
        <f>+ROUND(AVERAGE(M35:M37),0)</f>
        <v>68</v>
      </c>
      <c r="D35" s="290">
        <f>+ROUND(AVERAGE(N35:N37),0)</f>
        <v>62</v>
      </c>
      <c r="E35" s="290">
        <f>+ROUND(AVERAGE(O35:O37),0)</f>
        <v>78</v>
      </c>
      <c r="F35" s="290">
        <f>+ROUND(AVERAGE(P35:P37),0)</f>
        <v>64</v>
      </c>
      <c r="G35" s="252">
        <f>+C35-E35</f>
        <v>-10</v>
      </c>
      <c r="H35" s="235">
        <f>+C35-F35</f>
        <v>4</v>
      </c>
      <c r="I35" s="271" t="s">
        <v>19</v>
      </c>
      <c r="J35" s="271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302"/>
      <c r="B36" s="305"/>
      <c r="C36" s="243"/>
      <c r="D36" s="243"/>
      <c r="E36" s="243"/>
      <c r="F36" s="243"/>
      <c r="G36" s="246"/>
      <c r="H36" s="236"/>
      <c r="I36" s="272"/>
      <c r="J36" s="272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302"/>
      <c r="B37" s="306"/>
      <c r="C37" s="244"/>
      <c r="D37" s="244"/>
      <c r="E37" s="244"/>
      <c r="F37" s="244"/>
      <c r="G37" s="247"/>
      <c r="H37" s="248"/>
      <c r="I37" s="273"/>
      <c r="J37" s="273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302"/>
      <c r="B38" s="287" t="s">
        <v>20</v>
      </c>
      <c r="C38" s="290">
        <f>+ROUND(AVERAGE(M38:M42),0)</f>
        <v>91</v>
      </c>
      <c r="D38" s="290">
        <f>+ROUND(AVERAGE(N38:N42),0)</f>
        <v>89</v>
      </c>
      <c r="E38" s="290">
        <f>+ROUND(AVERAGE(O38:O42),0)</f>
        <v>96</v>
      </c>
      <c r="F38" s="290">
        <f>+ROUND(AVERAGE(P38:P42),0)</f>
        <v>91</v>
      </c>
      <c r="G38" s="309">
        <f>+C38-E38</f>
        <v>-5</v>
      </c>
      <c r="H38" s="235">
        <f>+C38-F38</f>
        <v>0</v>
      </c>
      <c r="I38" s="279" t="s">
        <v>20</v>
      </c>
      <c r="J38" s="253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302"/>
      <c r="B39" s="288"/>
      <c r="C39" s="243"/>
      <c r="D39" s="243"/>
      <c r="E39" s="243"/>
      <c r="F39" s="243"/>
      <c r="G39" s="294"/>
      <c r="H39" s="236"/>
      <c r="I39" s="267"/>
      <c r="J39" s="254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302"/>
      <c r="B40" s="288"/>
      <c r="C40" s="243"/>
      <c r="D40" s="243"/>
      <c r="E40" s="243"/>
      <c r="F40" s="243"/>
      <c r="G40" s="294"/>
      <c r="H40" s="236"/>
      <c r="I40" s="267"/>
      <c r="J40" s="254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302"/>
      <c r="B41" s="288"/>
      <c r="C41" s="243"/>
      <c r="D41" s="243"/>
      <c r="E41" s="243"/>
      <c r="F41" s="243"/>
      <c r="G41" s="294"/>
      <c r="H41" s="236"/>
      <c r="I41" s="267"/>
      <c r="J41" s="254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303"/>
      <c r="B42" s="307"/>
      <c r="C42" s="308"/>
      <c r="D42" s="308"/>
      <c r="E42" s="308"/>
      <c r="F42" s="308"/>
      <c r="G42" s="310"/>
      <c r="H42" s="311"/>
      <c r="I42" s="268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312" t="s">
        <v>306</v>
      </c>
      <c r="B44" s="314" t="s">
        <v>21</v>
      </c>
      <c r="C44" s="243">
        <f>+ROUND(AVERAGE(M44:M45),0)</f>
        <v>81</v>
      </c>
      <c r="D44" s="243">
        <f>+ROUND(AVERAGE(N44:N45),0)</f>
        <v>76</v>
      </c>
      <c r="E44" s="243">
        <f>+ROUND(AVERAGE(O44:O45),0)</f>
        <v>88</v>
      </c>
      <c r="F44" s="243">
        <f>+ROUND(AVERAGE(P44:P45),0)</f>
        <v>77</v>
      </c>
      <c r="G44" s="245">
        <f>+C44-E44</f>
        <v>-7</v>
      </c>
      <c r="H44" s="236">
        <f>+C44-F44</f>
        <v>4</v>
      </c>
      <c r="I44" s="255" t="s">
        <v>21</v>
      </c>
      <c r="J44" s="256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312"/>
      <c r="B45" s="315"/>
      <c r="C45" s="244"/>
      <c r="D45" s="244"/>
      <c r="E45" s="244"/>
      <c r="F45" s="244"/>
      <c r="G45" s="316"/>
      <c r="H45" s="248"/>
      <c r="I45" s="257"/>
      <c r="J45" s="258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312"/>
      <c r="B46" s="317" t="s">
        <v>22</v>
      </c>
      <c r="C46" s="290">
        <f>+ROUND(AVERAGE(M46:M47),0)</f>
        <v>84</v>
      </c>
      <c r="D46" s="290">
        <f>+ROUND(AVERAGE(N46:N47),0)</f>
        <v>79</v>
      </c>
      <c r="E46" s="290">
        <f>+ROUND(AVERAGE(O46:O47),0)</f>
        <v>91</v>
      </c>
      <c r="F46" s="290">
        <f>+ROUND(AVERAGE(P46:P47),0)</f>
        <v>80</v>
      </c>
      <c r="G46" s="318">
        <f>+C46-E46</f>
        <v>-7</v>
      </c>
      <c r="H46" s="235">
        <f>+C46-F46</f>
        <v>4</v>
      </c>
      <c r="I46" s="255" t="s">
        <v>22</v>
      </c>
      <c r="J46" s="256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312"/>
      <c r="B47" s="315"/>
      <c r="C47" s="244"/>
      <c r="D47" s="244"/>
      <c r="E47" s="244"/>
      <c r="F47" s="244"/>
      <c r="G47" s="316"/>
      <c r="H47" s="248"/>
      <c r="I47" s="257"/>
      <c r="J47" s="258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312"/>
      <c r="B48" s="317" t="s">
        <v>23</v>
      </c>
      <c r="C48" s="290">
        <f>+ROUND(AVERAGE(M48:M51),0)</f>
        <v>84</v>
      </c>
      <c r="D48" s="290">
        <f>+ROUND(AVERAGE(N48:N51),0)</f>
        <v>79</v>
      </c>
      <c r="E48" s="290">
        <f>+ROUND(AVERAGE(O48:O51),0)</f>
        <v>91</v>
      </c>
      <c r="F48" s="290">
        <f>+ROUND(AVERAGE(P48:P51),0)</f>
        <v>82</v>
      </c>
      <c r="G48" s="318">
        <f>+C48-E48</f>
        <v>-7</v>
      </c>
      <c r="H48" s="235">
        <f>+C48-F48</f>
        <v>2</v>
      </c>
      <c r="I48" s="255" t="s">
        <v>23</v>
      </c>
      <c r="J48" s="256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312"/>
      <c r="B49" s="314"/>
      <c r="C49" s="243"/>
      <c r="D49" s="243"/>
      <c r="E49" s="243"/>
      <c r="F49" s="243"/>
      <c r="G49" s="246"/>
      <c r="H49" s="236"/>
      <c r="I49" s="260"/>
      <c r="J49" s="261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312"/>
      <c r="B50" s="314"/>
      <c r="C50" s="243"/>
      <c r="D50" s="243"/>
      <c r="E50" s="243"/>
      <c r="F50" s="243"/>
      <c r="G50" s="246"/>
      <c r="H50" s="236"/>
      <c r="I50" s="260"/>
      <c r="J50" s="261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313"/>
      <c r="B51" s="321"/>
      <c r="C51" s="322"/>
      <c r="D51" s="322"/>
      <c r="E51" s="322"/>
      <c r="F51" s="322"/>
      <c r="G51" s="323"/>
      <c r="H51" s="259"/>
      <c r="I51" s="257"/>
      <c r="J51" s="258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319" t="s">
        <v>315</v>
      </c>
      <c r="B53" s="241" t="s">
        <v>24</v>
      </c>
      <c r="C53" s="243">
        <f>+ROUND(AVERAGE(M53:M55),0)</f>
        <v>87</v>
      </c>
      <c r="D53" s="243">
        <f>+ROUND(AVERAGE(N53:N55),0)</f>
        <v>83</v>
      </c>
      <c r="E53" s="243">
        <f>+ROUND(AVERAGE(O53:O55),0)</f>
        <v>93</v>
      </c>
      <c r="F53" s="243">
        <f>+ROUND(AVERAGE(P53:P55),0)</f>
        <v>84</v>
      </c>
      <c r="G53" s="245">
        <f>+C53-E53</f>
        <v>-6</v>
      </c>
      <c r="H53" s="236">
        <f>+C53-F53</f>
        <v>3</v>
      </c>
      <c r="I53" s="239" t="s">
        <v>24</v>
      </c>
      <c r="J53" s="239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319"/>
      <c r="B54" s="241"/>
      <c r="C54" s="243"/>
      <c r="D54" s="243"/>
      <c r="E54" s="243"/>
      <c r="F54" s="243"/>
      <c r="G54" s="246"/>
      <c r="H54" s="236"/>
      <c r="I54" s="239"/>
      <c r="J54" s="239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319"/>
      <c r="B55" s="242"/>
      <c r="C55" s="244"/>
      <c r="D55" s="244"/>
      <c r="E55" s="244"/>
      <c r="F55" s="244"/>
      <c r="G55" s="247"/>
      <c r="H55" s="248"/>
      <c r="I55" s="240"/>
      <c r="J55" s="240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319"/>
      <c r="B56" s="287" t="s">
        <v>25</v>
      </c>
      <c r="C56" s="290">
        <f>+ROUND(AVERAGE(M56:M59),0)</f>
        <v>88</v>
      </c>
      <c r="D56" s="290">
        <f>+ROUND(AVERAGE(N56:N59),0)</f>
        <v>84</v>
      </c>
      <c r="E56" s="290">
        <f>+ROUND(AVERAGE(O56:O59),0)</f>
        <v>94</v>
      </c>
      <c r="F56" s="290">
        <f>+ROUND(AVERAGE(P56:P59),0)</f>
        <v>86</v>
      </c>
      <c r="G56" s="309">
        <f>+C56-E56</f>
        <v>-6</v>
      </c>
      <c r="H56" s="235">
        <f>+C56-F56</f>
        <v>2</v>
      </c>
      <c r="I56" s="280" t="s">
        <v>25</v>
      </c>
      <c r="J56" s="232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319"/>
      <c r="B57" s="288"/>
      <c r="C57" s="243"/>
      <c r="D57" s="243"/>
      <c r="E57" s="243"/>
      <c r="F57" s="243"/>
      <c r="G57" s="294"/>
      <c r="H57" s="236"/>
      <c r="I57" s="281"/>
      <c r="J57" s="233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319"/>
      <c r="B58" s="288"/>
      <c r="C58" s="243"/>
      <c r="D58" s="243"/>
      <c r="E58" s="243"/>
      <c r="F58" s="243"/>
      <c r="G58" s="294"/>
      <c r="H58" s="236"/>
      <c r="I58" s="281"/>
      <c r="J58" s="232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319"/>
      <c r="B59" s="289"/>
      <c r="C59" s="244"/>
      <c r="D59" s="244"/>
      <c r="E59" s="244"/>
      <c r="F59" s="244"/>
      <c r="G59" s="294"/>
      <c r="H59" s="248"/>
      <c r="I59" s="282"/>
      <c r="J59" s="234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319"/>
      <c r="B60" s="324" t="s">
        <v>26</v>
      </c>
      <c r="C60" s="290">
        <f>+ROUND(AVERAGE(M60:M62),0)</f>
        <v>82</v>
      </c>
      <c r="D60" s="290">
        <f>+ROUND(AVERAGE(N60:N62),0)</f>
        <v>78</v>
      </c>
      <c r="E60" s="290">
        <f>+ROUND(AVERAGE(O60:O62),0)</f>
        <v>90</v>
      </c>
      <c r="F60" s="290">
        <f>+ROUND(AVERAGE(P60:P62),0)</f>
        <v>78</v>
      </c>
      <c r="G60" s="252">
        <f>+C60-E60</f>
        <v>-8</v>
      </c>
      <c r="H60" s="235">
        <f>+C60-F60</f>
        <v>4</v>
      </c>
      <c r="I60" s="238" t="s">
        <v>26</v>
      </c>
      <c r="J60" s="238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319"/>
      <c r="B61" s="241"/>
      <c r="C61" s="243"/>
      <c r="D61" s="243"/>
      <c r="E61" s="243"/>
      <c r="F61" s="243"/>
      <c r="G61" s="246"/>
      <c r="H61" s="236"/>
      <c r="I61" s="239"/>
      <c r="J61" s="239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320"/>
      <c r="B62" s="325"/>
      <c r="C62" s="300"/>
      <c r="D62" s="300"/>
      <c r="E62" s="300"/>
      <c r="F62" s="300"/>
      <c r="G62" s="247"/>
      <c r="H62" s="237"/>
      <c r="I62" s="240"/>
      <c r="J62" s="240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41"/>
      <c r="C64" s="243"/>
      <c r="D64" s="243"/>
      <c r="E64" s="243"/>
      <c r="F64" s="243"/>
      <c r="G64" s="245"/>
      <c r="H64" s="236"/>
      <c r="I64" s="77"/>
      <c r="J64" s="249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41"/>
      <c r="C65" s="243"/>
      <c r="D65" s="243"/>
      <c r="E65" s="243"/>
      <c r="F65" s="243"/>
      <c r="G65" s="245"/>
      <c r="H65" s="236"/>
      <c r="I65" s="77"/>
      <c r="J65" s="250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41"/>
      <c r="C66" s="243"/>
      <c r="D66" s="243"/>
      <c r="E66" s="243"/>
      <c r="F66" s="243"/>
      <c r="G66" s="245"/>
      <c r="H66" s="236"/>
      <c r="I66" s="77"/>
      <c r="J66" s="250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41"/>
      <c r="C67" s="243"/>
      <c r="D67" s="243"/>
      <c r="E67" s="243"/>
      <c r="F67" s="243"/>
      <c r="G67" s="245"/>
      <c r="H67" s="236"/>
      <c r="I67" s="77"/>
      <c r="J67" s="250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41"/>
      <c r="C68" s="243"/>
      <c r="D68" s="243"/>
      <c r="E68" s="243"/>
      <c r="F68" s="243"/>
      <c r="G68" s="245"/>
      <c r="H68" s="236"/>
      <c r="I68" s="77"/>
      <c r="J68" s="250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41"/>
      <c r="C69" s="243"/>
      <c r="D69" s="243"/>
      <c r="E69" s="243"/>
      <c r="F69" s="243"/>
      <c r="G69" s="246"/>
      <c r="H69" s="236"/>
      <c r="I69" s="77"/>
      <c r="J69" s="250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42"/>
      <c r="C70" s="244"/>
      <c r="D70" s="244"/>
      <c r="E70" s="244"/>
      <c r="F70" s="244"/>
      <c r="G70" s="247"/>
      <c r="H70" s="248"/>
      <c r="I70" s="77"/>
      <c r="J70" s="251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29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30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30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30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231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231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231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231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231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workbookViewId="0">
      <selection activeCell="J25" sqref="J25:J26"/>
    </sheetView>
  </sheetViews>
  <sheetFormatPr baseColWidth="10" defaultRowHeight="15"/>
  <cols>
    <col min="2" max="10" width="16.7109375" customWidth="1"/>
  </cols>
  <sheetData>
    <row r="2" spans="2:10" ht="18.75" customHeight="1">
      <c r="B2" s="326" t="s">
        <v>222</v>
      </c>
      <c r="C2" s="326"/>
      <c r="D2" s="326"/>
      <c r="E2" s="326"/>
      <c r="F2" s="326"/>
      <c r="G2" s="326"/>
      <c r="H2" s="326"/>
      <c r="I2" s="326"/>
      <c r="J2" s="326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31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31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31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31"/>
    </row>
    <row r="24" spans="2:10">
      <c r="B24" s="30" t="s">
        <v>478</v>
      </c>
      <c r="C24" s="157"/>
      <c r="D24" s="30" t="s">
        <v>198</v>
      </c>
      <c r="E24" s="30" t="s">
        <v>344</v>
      </c>
      <c r="F24" s="30" t="s">
        <v>433</v>
      </c>
      <c r="G24" s="30" t="s">
        <v>345</v>
      </c>
      <c r="H24" s="29" t="s">
        <v>434</v>
      </c>
      <c r="I24" s="29">
        <v>1</v>
      </c>
      <c r="J24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C40" sqref="C40:C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9" t="s">
        <v>183</v>
      </c>
      <c r="D5" s="337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27" t="s">
        <v>75</v>
      </c>
      <c r="D7" s="334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7" t="s">
        <v>27</v>
      </c>
      <c r="D12" s="334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38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35"/>
      <c r="C14" s="331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35"/>
      <c r="C15" s="331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36"/>
      <c r="C16" s="331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38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35"/>
      <c r="C18" s="332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35"/>
      <c r="C19" s="333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36"/>
      <c r="C20" s="333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38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35"/>
      <c r="C22" s="332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35"/>
      <c r="C23" s="333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36"/>
      <c r="C24" s="333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38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35"/>
      <c r="C26" s="331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35"/>
      <c r="C27" s="331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36"/>
      <c r="C28" s="331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38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35"/>
      <c r="C30" s="331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35"/>
      <c r="C31" s="331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36"/>
      <c r="C32" s="331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7" t="s">
        <v>77</v>
      </c>
      <c r="D33" s="334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27" t="s">
        <v>189</v>
      </c>
      <c r="D39" s="334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38" t="s">
        <v>126</v>
      </c>
      <c r="C40" s="332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35"/>
      <c r="C41" s="335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35"/>
      <c r="C42" s="335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35"/>
      <c r="C43" s="335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35"/>
      <c r="C44" s="335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35"/>
      <c r="C45" s="335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35"/>
      <c r="C46" s="335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35"/>
      <c r="C47" s="335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35"/>
      <c r="C48" s="335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35"/>
      <c r="C49" s="335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35"/>
      <c r="C50" s="335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35"/>
      <c r="C51" s="335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35"/>
      <c r="C52" s="335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35"/>
      <c r="C53" s="335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36"/>
      <c r="C54" s="336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38" t="s">
        <v>100</v>
      </c>
      <c r="C55" s="332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35"/>
      <c r="C56" s="335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35"/>
      <c r="C57" s="335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35"/>
      <c r="C58" s="335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35"/>
      <c r="C59" s="335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35"/>
      <c r="C60" s="335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35"/>
      <c r="C61" s="335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35"/>
      <c r="C62" s="335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35"/>
      <c r="C63" s="335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35"/>
      <c r="C64" s="335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35"/>
      <c r="C65" s="335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35"/>
      <c r="C66" s="335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35"/>
      <c r="C67" s="335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35"/>
      <c r="C68" s="335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35"/>
      <c r="C69" s="335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36"/>
      <c r="C70" s="336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7" t="s">
        <v>70</v>
      </c>
      <c r="D71" s="328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9" t="s">
        <v>11</v>
      </c>
      <c r="D73" s="330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0"/>
  <sheetViews>
    <sheetView tabSelected="1" topLeftCell="E88" workbookViewId="0">
      <selection activeCell="I111" sqref="I111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8" bestFit="1" customWidth="1"/>
    <col min="11" max="16384" width="11.42578125" style="116"/>
  </cols>
  <sheetData>
    <row r="2" spans="2:10">
      <c r="B2" s="339" t="s">
        <v>452</v>
      </c>
      <c r="C2" s="340"/>
      <c r="D2" s="340"/>
      <c r="E2" s="341"/>
      <c r="F2" s="341"/>
    </row>
    <row r="3" spans="2:10" ht="20.100000000000001" customHeight="1">
      <c r="B3" s="156" t="s">
        <v>471</v>
      </c>
      <c r="C3" s="156" t="s">
        <v>459</v>
      </c>
      <c r="D3" s="156" t="s">
        <v>453</v>
      </c>
      <c r="E3" s="156" t="s">
        <v>454</v>
      </c>
      <c r="F3" s="156" t="s">
        <v>455</v>
      </c>
    </row>
    <row r="4" spans="2:10">
      <c r="B4" s="117">
        <v>1</v>
      </c>
      <c r="C4" s="117" t="s">
        <v>460</v>
      </c>
      <c r="D4" s="117" t="s">
        <v>470</v>
      </c>
      <c r="E4" s="117">
        <v>1</v>
      </c>
      <c r="F4" s="117">
        <v>17</v>
      </c>
    </row>
    <row r="5" spans="2:10">
      <c r="B5" s="117">
        <v>2</v>
      </c>
      <c r="C5" s="117" t="s">
        <v>1</v>
      </c>
      <c r="D5" s="117" t="s">
        <v>456</v>
      </c>
      <c r="E5" s="117">
        <v>18</v>
      </c>
      <c r="F5" s="117"/>
    </row>
    <row r="6" spans="2:10" s="120" customFormat="1">
      <c r="B6" s="155">
        <v>3</v>
      </c>
      <c r="C6" s="155" t="s">
        <v>0</v>
      </c>
      <c r="D6" s="155" t="s">
        <v>464</v>
      </c>
      <c r="E6" s="155">
        <v>19</v>
      </c>
      <c r="F6" s="155"/>
      <c r="G6" s="119"/>
      <c r="H6" s="119"/>
      <c r="I6" s="119"/>
      <c r="J6" s="119"/>
    </row>
    <row r="7" spans="2:10" s="120" customFormat="1">
      <c r="B7" s="155">
        <v>4</v>
      </c>
      <c r="C7" s="155" t="s">
        <v>0</v>
      </c>
      <c r="D7" s="155" t="s">
        <v>472</v>
      </c>
      <c r="E7" s="155">
        <v>19</v>
      </c>
      <c r="F7" s="155"/>
      <c r="G7" s="119"/>
      <c r="H7" s="119"/>
      <c r="I7" s="119"/>
      <c r="J7" s="119"/>
    </row>
    <row r="8" spans="2:10" s="120" customFormat="1">
      <c r="B8" s="155">
        <v>5</v>
      </c>
      <c r="C8" s="155" t="s">
        <v>460</v>
      </c>
      <c r="D8" s="155" t="s">
        <v>457</v>
      </c>
      <c r="E8" s="155">
        <v>20</v>
      </c>
      <c r="F8" s="155"/>
      <c r="G8" s="119"/>
      <c r="H8" s="119"/>
      <c r="I8" s="119"/>
      <c r="J8" s="119"/>
    </row>
    <row r="9" spans="2:10" s="120" customFormat="1">
      <c r="B9" s="155">
        <v>6</v>
      </c>
      <c r="C9" s="155" t="s">
        <v>1</v>
      </c>
      <c r="D9" s="155" t="s">
        <v>461</v>
      </c>
      <c r="E9" s="155">
        <v>21</v>
      </c>
      <c r="F9" s="155">
        <v>24</v>
      </c>
      <c r="G9" s="119"/>
      <c r="H9" s="119"/>
      <c r="I9" s="119"/>
      <c r="J9" s="119"/>
    </row>
    <row r="10" spans="2:10" s="120" customFormat="1">
      <c r="B10" s="155">
        <v>7</v>
      </c>
      <c r="C10" s="155" t="s">
        <v>460</v>
      </c>
      <c r="D10" s="155" t="s">
        <v>458</v>
      </c>
      <c r="E10" s="155">
        <v>27</v>
      </c>
      <c r="F10" s="155"/>
      <c r="G10" s="119"/>
      <c r="H10" s="119"/>
      <c r="I10" s="119"/>
      <c r="J10" s="119"/>
    </row>
    <row r="11" spans="2:10" s="120" customFormat="1">
      <c r="B11" s="155">
        <v>8</v>
      </c>
      <c r="C11" s="155" t="s">
        <v>1</v>
      </c>
      <c r="D11" s="155" t="s">
        <v>465</v>
      </c>
      <c r="E11" s="155">
        <v>28</v>
      </c>
      <c r="F11" s="155">
        <v>36</v>
      </c>
      <c r="G11" s="119"/>
      <c r="H11" s="119"/>
      <c r="I11" s="119"/>
      <c r="J11" s="119"/>
    </row>
    <row r="12" spans="2:10" s="120" customFormat="1">
      <c r="B12" s="155">
        <v>9</v>
      </c>
      <c r="C12" s="155" t="s">
        <v>1</v>
      </c>
      <c r="D12" s="155" t="s">
        <v>466</v>
      </c>
      <c r="E12" s="155">
        <v>37</v>
      </c>
      <c r="F12" s="155">
        <v>38</v>
      </c>
      <c r="G12" s="119"/>
      <c r="H12" s="119"/>
      <c r="I12" s="119"/>
      <c r="J12" s="119"/>
    </row>
    <row r="13" spans="2:10" s="120" customFormat="1">
      <c r="B13" s="155">
        <v>10</v>
      </c>
      <c r="C13" s="155" t="s">
        <v>1</v>
      </c>
      <c r="D13" s="155" t="s">
        <v>477</v>
      </c>
      <c r="E13" s="155"/>
      <c r="F13" s="155"/>
      <c r="G13" s="119"/>
      <c r="H13" s="119"/>
      <c r="I13" s="119"/>
      <c r="J13" s="119"/>
    </row>
    <row r="14" spans="2:10" s="120" customFormat="1">
      <c r="B14" s="155">
        <v>11</v>
      </c>
      <c r="C14" s="155" t="s">
        <v>460</v>
      </c>
      <c r="D14" s="155" t="s">
        <v>329</v>
      </c>
      <c r="E14" s="155">
        <v>39</v>
      </c>
      <c r="F14" s="155"/>
      <c r="G14" s="119"/>
      <c r="H14" s="119"/>
      <c r="I14" s="119"/>
      <c r="J14" s="119"/>
    </row>
    <row r="15" spans="2:10" s="120" customFormat="1">
      <c r="B15" s="155">
        <v>12</v>
      </c>
      <c r="C15" s="155" t="s">
        <v>1</v>
      </c>
      <c r="D15" s="155" t="s">
        <v>462</v>
      </c>
      <c r="E15" s="155">
        <v>40</v>
      </c>
      <c r="F15" s="155">
        <v>41</v>
      </c>
      <c r="G15" s="119"/>
      <c r="H15" s="119"/>
      <c r="I15" s="119"/>
      <c r="J15" s="119"/>
    </row>
    <row r="16" spans="2:10" s="120" customFormat="1">
      <c r="B16" s="155">
        <v>13</v>
      </c>
      <c r="C16" s="155" t="s">
        <v>460</v>
      </c>
      <c r="D16" s="155" t="s">
        <v>467</v>
      </c>
      <c r="E16" s="155">
        <v>42</v>
      </c>
      <c r="F16" s="155"/>
      <c r="G16" s="119"/>
      <c r="H16" s="119"/>
      <c r="I16" s="119"/>
      <c r="J16" s="119"/>
    </row>
    <row r="17" spans="2:10" s="120" customFormat="1">
      <c r="B17" s="155">
        <v>14</v>
      </c>
      <c r="C17" s="155" t="s">
        <v>0</v>
      </c>
      <c r="D17" s="155" t="s">
        <v>468</v>
      </c>
      <c r="E17" s="155">
        <v>43</v>
      </c>
      <c r="F17" s="155"/>
      <c r="G17" s="119"/>
      <c r="H17" s="119"/>
      <c r="I17" s="119"/>
      <c r="J17" s="119"/>
    </row>
    <row r="18" spans="2:10" s="120" customFormat="1">
      <c r="B18" s="155">
        <v>15</v>
      </c>
      <c r="C18" s="155" t="s">
        <v>460</v>
      </c>
      <c r="D18" s="155" t="s">
        <v>469</v>
      </c>
      <c r="E18" s="155">
        <v>51</v>
      </c>
      <c r="F18" s="155">
        <v>53</v>
      </c>
      <c r="G18" s="119"/>
      <c r="H18" s="119"/>
      <c r="I18" s="119"/>
      <c r="J18" s="119"/>
    </row>
    <row r="19" spans="2:10" s="120" customFormat="1">
      <c r="B19" s="155">
        <v>16</v>
      </c>
      <c r="C19" s="155" t="s">
        <v>460</v>
      </c>
      <c r="D19" s="155" t="s">
        <v>463</v>
      </c>
      <c r="E19" s="155">
        <v>54</v>
      </c>
      <c r="F19" s="155">
        <v>57</v>
      </c>
      <c r="G19" s="119"/>
      <c r="H19" s="119"/>
      <c r="I19" s="119"/>
      <c r="J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  <c r="J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  <c r="J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  <c r="J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  <c r="J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  <c r="J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  <c r="J25" s="119"/>
    </row>
    <row r="27" spans="2:10" ht="18.75" customHeight="1">
      <c r="B27" s="342" t="s">
        <v>479</v>
      </c>
      <c r="C27" s="343"/>
      <c r="D27" s="343"/>
      <c r="E27" s="343"/>
      <c r="F27" s="343"/>
      <c r="G27" s="343"/>
      <c r="H27" s="343"/>
      <c r="I27" s="343"/>
      <c r="J27" s="343"/>
    </row>
    <row r="28" spans="2:10" ht="18.75">
      <c r="B28" s="158" t="s">
        <v>480</v>
      </c>
      <c r="C28" s="158" t="s">
        <v>481</v>
      </c>
      <c r="D28" s="158" t="s">
        <v>482</v>
      </c>
      <c r="E28" s="158" t="s">
        <v>483</v>
      </c>
      <c r="F28" s="158" t="s">
        <v>484</v>
      </c>
      <c r="G28" s="158" t="s">
        <v>485</v>
      </c>
      <c r="H28" s="158" t="s">
        <v>486</v>
      </c>
      <c r="I28" s="158" t="s">
        <v>487</v>
      </c>
      <c r="J28" s="158" t="s">
        <v>488</v>
      </c>
    </row>
    <row r="29" spans="2:10">
      <c r="B29" s="117">
        <v>1</v>
      </c>
      <c r="C29" s="117">
        <v>1</v>
      </c>
      <c r="D29" s="117"/>
      <c r="E29" s="117" t="s">
        <v>460</v>
      </c>
      <c r="F29" s="117"/>
      <c r="G29" s="117"/>
      <c r="H29" s="117"/>
      <c r="I29" s="117"/>
      <c r="J29" s="117"/>
    </row>
    <row r="30" spans="2:10">
      <c r="B30" s="117">
        <v>2</v>
      </c>
      <c r="C30" s="117">
        <v>2</v>
      </c>
      <c r="D30" s="117"/>
      <c r="E30" s="117" t="s">
        <v>460</v>
      </c>
      <c r="F30" s="117"/>
      <c r="G30" s="117"/>
      <c r="H30" s="117"/>
      <c r="I30" s="117"/>
      <c r="J30" s="117"/>
    </row>
    <row r="31" spans="2:10">
      <c r="B31" s="117">
        <v>3</v>
      </c>
      <c r="C31" s="117">
        <v>3</v>
      </c>
      <c r="D31" s="117"/>
      <c r="E31" s="117" t="s">
        <v>460</v>
      </c>
      <c r="F31" s="117"/>
      <c r="G31" s="117"/>
      <c r="H31" s="117"/>
      <c r="I31" s="117"/>
      <c r="J31" s="117"/>
    </row>
    <row r="32" spans="2:10">
      <c r="B32" s="117">
        <v>4</v>
      </c>
      <c r="C32" s="117">
        <v>4</v>
      </c>
      <c r="D32" s="117"/>
      <c r="E32" s="117" t="s">
        <v>460</v>
      </c>
      <c r="F32" s="117"/>
      <c r="G32" s="117"/>
      <c r="H32" s="117"/>
      <c r="I32" s="117"/>
      <c r="J32" s="117"/>
    </row>
    <row r="33" spans="2:10">
      <c r="B33" s="117">
        <v>5</v>
      </c>
      <c r="C33" s="117">
        <v>5</v>
      </c>
      <c r="D33" s="117"/>
      <c r="E33" s="117" t="s">
        <v>460</v>
      </c>
      <c r="F33" s="117"/>
      <c r="G33" s="117"/>
      <c r="H33" s="117"/>
      <c r="I33" s="117"/>
      <c r="J33" s="117"/>
    </row>
    <row r="34" spans="2:10">
      <c r="B34" s="117">
        <v>6</v>
      </c>
      <c r="C34" s="117">
        <v>6</v>
      </c>
      <c r="D34" s="117"/>
      <c r="E34" s="117" t="s">
        <v>460</v>
      </c>
      <c r="F34" s="117"/>
      <c r="G34" s="117"/>
      <c r="H34" s="117"/>
      <c r="I34" s="117"/>
      <c r="J34" s="117"/>
    </row>
    <row r="35" spans="2:10">
      <c r="B35" s="117">
        <v>7</v>
      </c>
      <c r="C35" s="117">
        <v>7</v>
      </c>
      <c r="D35" s="117"/>
      <c r="E35" s="117" t="s">
        <v>460</v>
      </c>
      <c r="F35" s="117"/>
      <c r="G35" s="117"/>
      <c r="H35" s="117"/>
      <c r="I35" s="117"/>
      <c r="J35" s="117"/>
    </row>
    <row r="36" spans="2:10">
      <c r="B36" s="117">
        <v>8</v>
      </c>
      <c r="C36" s="117">
        <v>8</v>
      </c>
      <c r="D36" s="117"/>
      <c r="E36" s="117" t="s">
        <v>460</v>
      </c>
      <c r="F36" s="117"/>
      <c r="G36" s="117"/>
      <c r="H36" s="117"/>
      <c r="I36" s="117"/>
      <c r="J36" s="117"/>
    </row>
    <row r="37" spans="2:10">
      <c r="B37" s="117">
        <v>9</v>
      </c>
      <c r="C37" s="117">
        <v>9</v>
      </c>
      <c r="D37" s="117"/>
      <c r="E37" s="117" t="s">
        <v>460</v>
      </c>
      <c r="F37" s="117"/>
      <c r="G37" s="117"/>
      <c r="H37" s="117"/>
      <c r="I37" s="117"/>
      <c r="J37" s="117"/>
    </row>
    <row r="38" spans="2:10">
      <c r="B38" s="117">
        <v>10</v>
      </c>
      <c r="C38" s="117">
        <v>10</v>
      </c>
      <c r="D38" s="117"/>
      <c r="E38" s="117" t="s">
        <v>460</v>
      </c>
      <c r="F38" s="117"/>
      <c r="G38" s="117"/>
      <c r="H38" s="117"/>
      <c r="I38" s="117"/>
      <c r="J38" s="117"/>
    </row>
    <row r="39" spans="2:10">
      <c r="B39" s="117">
        <v>11</v>
      </c>
      <c r="C39" s="117">
        <v>11</v>
      </c>
      <c r="D39" s="117"/>
      <c r="E39" s="117" t="s">
        <v>460</v>
      </c>
      <c r="F39" s="117"/>
      <c r="G39" s="117"/>
      <c r="H39" s="117"/>
      <c r="I39" s="117"/>
      <c r="J39" s="117"/>
    </row>
    <row r="40" spans="2:10">
      <c r="B40" s="117">
        <v>12</v>
      </c>
      <c r="C40" s="117">
        <v>12</v>
      </c>
      <c r="D40" s="117"/>
      <c r="E40" s="117" t="s">
        <v>460</v>
      </c>
      <c r="F40" s="117"/>
      <c r="G40" s="117"/>
      <c r="H40" s="117"/>
      <c r="I40" s="117"/>
      <c r="J40" s="117"/>
    </row>
    <row r="41" spans="2:10">
      <c r="B41" s="117">
        <v>13</v>
      </c>
      <c r="C41" s="117">
        <v>13</v>
      </c>
      <c r="D41" s="117"/>
      <c r="E41" s="117" t="s">
        <v>460</v>
      </c>
      <c r="F41" s="117"/>
      <c r="G41" s="117"/>
      <c r="H41" s="117"/>
      <c r="I41" s="117"/>
      <c r="J41" s="117"/>
    </row>
    <row r="42" spans="2:10">
      <c r="B42" s="117">
        <v>14</v>
      </c>
      <c r="C42" s="117">
        <v>14</v>
      </c>
      <c r="D42" s="117"/>
      <c r="E42" s="117" t="s">
        <v>460</v>
      </c>
      <c r="F42" s="117"/>
      <c r="G42" s="117"/>
      <c r="H42" s="117"/>
      <c r="I42" s="117"/>
      <c r="J42" s="117"/>
    </row>
    <row r="43" spans="2:10">
      <c r="B43" s="117">
        <v>15</v>
      </c>
      <c r="C43" s="117">
        <v>15</v>
      </c>
      <c r="D43" s="117"/>
      <c r="E43" s="117" t="s">
        <v>460</v>
      </c>
      <c r="F43" s="117"/>
      <c r="G43" s="117"/>
      <c r="H43" s="117"/>
      <c r="I43" s="117"/>
      <c r="J43" s="117"/>
    </row>
    <row r="44" spans="2:10">
      <c r="B44" s="117">
        <v>16</v>
      </c>
      <c r="C44" s="117">
        <v>16</v>
      </c>
      <c r="D44" s="117"/>
      <c r="E44" s="117" t="s">
        <v>460</v>
      </c>
      <c r="F44" s="117"/>
      <c r="G44" s="117"/>
      <c r="H44" s="117"/>
      <c r="I44" s="117"/>
      <c r="J44" s="117"/>
    </row>
    <row r="45" spans="2:10">
      <c r="B45" s="117">
        <v>17</v>
      </c>
      <c r="C45" s="117">
        <v>17</v>
      </c>
      <c r="D45" s="117"/>
      <c r="E45" s="117" t="s">
        <v>460</v>
      </c>
      <c r="F45" s="117"/>
      <c r="G45" s="117"/>
      <c r="H45" s="117"/>
      <c r="I45" s="117"/>
      <c r="J45" s="117"/>
    </row>
    <row r="46" spans="2:10">
      <c r="B46" s="117">
        <v>18</v>
      </c>
      <c r="C46" s="117">
        <v>18</v>
      </c>
      <c r="D46" s="117" t="s">
        <v>183</v>
      </c>
      <c r="E46" s="117" t="s">
        <v>1</v>
      </c>
      <c r="F46" s="117" t="s">
        <v>163</v>
      </c>
      <c r="G46" s="117">
        <v>300</v>
      </c>
      <c r="H46" s="117"/>
      <c r="I46" s="117"/>
      <c r="J46" s="117"/>
    </row>
    <row r="47" spans="2:10">
      <c r="B47" s="117">
        <v>19</v>
      </c>
      <c r="C47" s="117">
        <v>19</v>
      </c>
      <c r="D47" s="117" t="s">
        <v>199</v>
      </c>
      <c r="E47" s="117" t="s">
        <v>0</v>
      </c>
      <c r="F47" s="117" t="s">
        <v>231</v>
      </c>
      <c r="G47" s="117">
        <v>95</v>
      </c>
      <c r="H47" s="117"/>
      <c r="I47" s="117"/>
      <c r="J47" s="117"/>
    </row>
    <row r="48" spans="2:10">
      <c r="B48" s="117">
        <v>20</v>
      </c>
      <c r="C48" s="117">
        <v>19</v>
      </c>
      <c r="D48" s="117" t="s">
        <v>28</v>
      </c>
      <c r="E48" s="117" t="s">
        <v>0</v>
      </c>
      <c r="F48" s="117" t="s">
        <v>143</v>
      </c>
      <c r="G48" s="117">
        <v>95</v>
      </c>
      <c r="H48" s="117"/>
      <c r="I48" s="117"/>
      <c r="J48" s="117"/>
    </row>
    <row r="49" spans="2:10">
      <c r="B49" s="117">
        <v>21</v>
      </c>
      <c r="C49" s="117">
        <v>19</v>
      </c>
      <c r="D49" s="117" t="s">
        <v>29</v>
      </c>
      <c r="E49" s="117" t="s">
        <v>0</v>
      </c>
      <c r="F49" s="117" t="s">
        <v>145</v>
      </c>
      <c r="G49" s="117">
        <v>95</v>
      </c>
      <c r="H49" s="117"/>
      <c r="I49" s="117"/>
      <c r="J49" s="117"/>
    </row>
    <row r="50" spans="2:10">
      <c r="B50" s="117">
        <v>22</v>
      </c>
      <c r="C50" s="117">
        <v>19</v>
      </c>
      <c r="D50" s="117" t="s">
        <v>159</v>
      </c>
      <c r="E50" s="117" t="s">
        <v>0</v>
      </c>
      <c r="F50" s="117" t="s">
        <v>147</v>
      </c>
      <c r="G50" s="117">
        <v>95</v>
      </c>
      <c r="H50" s="117"/>
      <c r="I50" s="117"/>
      <c r="J50" s="117"/>
    </row>
    <row r="51" spans="2:10">
      <c r="B51" s="117">
        <v>23</v>
      </c>
      <c r="C51" s="117">
        <v>19</v>
      </c>
      <c r="D51" s="117" t="s">
        <v>388</v>
      </c>
      <c r="E51" s="117" t="s">
        <v>0</v>
      </c>
      <c r="F51" s="117" t="s">
        <v>149</v>
      </c>
      <c r="G51" s="117">
        <v>95</v>
      </c>
      <c r="H51" s="117"/>
      <c r="I51" s="117"/>
      <c r="J51" s="117"/>
    </row>
    <row r="52" spans="2:10">
      <c r="B52" s="117">
        <v>24</v>
      </c>
      <c r="C52" s="117">
        <v>19</v>
      </c>
      <c r="D52" s="117" t="s">
        <v>160</v>
      </c>
      <c r="E52" s="117" t="s">
        <v>0</v>
      </c>
      <c r="F52" s="117" t="s">
        <v>150</v>
      </c>
      <c r="G52" s="117">
        <v>95</v>
      </c>
      <c r="H52" s="117"/>
      <c r="I52" s="117"/>
      <c r="J52" s="117"/>
    </row>
    <row r="53" spans="2:10">
      <c r="B53" s="117">
        <v>25</v>
      </c>
      <c r="C53" s="117">
        <v>19</v>
      </c>
      <c r="D53" s="117" t="s">
        <v>389</v>
      </c>
      <c r="E53" s="117" t="s">
        <v>0</v>
      </c>
      <c r="F53" s="117" t="s">
        <v>152</v>
      </c>
      <c r="G53" s="117">
        <v>95</v>
      </c>
      <c r="H53" s="117"/>
      <c r="I53" s="117"/>
      <c r="J53" s="117"/>
    </row>
    <row r="54" spans="2:10">
      <c r="B54" s="117">
        <v>26</v>
      </c>
      <c r="C54" s="117">
        <v>19</v>
      </c>
      <c r="D54" s="117" t="s">
        <v>161</v>
      </c>
      <c r="E54" s="117" t="s">
        <v>0</v>
      </c>
      <c r="F54" s="117" t="s">
        <v>153</v>
      </c>
      <c r="G54" s="117">
        <v>95</v>
      </c>
      <c r="H54" s="117"/>
      <c r="I54" s="117"/>
      <c r="J54" s="117"/>
    </row>
    <row r="55" spans="2:10">
      <c r="B55" s="117">
        <v>27</v>
      </c>
      <c r="C55" s="117">
        <v>19</v>
      </c>
      <c r="D55" s="117" t="s">
        <v>142</v>
      </c>
      <c r="E55" s="117" t="s">
        <v>0</v>
      </c>
      <c r="F55" s="117" t="s">
        <v>155</v>
      </c>
      <c r="G55" s="117">
        <v>95</v>
      </c>
      <c r="H55" s="117"/>
      <c r="I55" s="117"/>
      <c r="J55" s="117"/>
    </row>
    <row r="56" spans="2:10">
      <c r="B56" s="117">
        <v>28</v>
      </c>
      <c r="C56" s="117">
        <v>19</v>
      </c>
      <c r="D56" s="117" t="s">
        <v>162</v>
      </c>
      <c r="E56" s="117" t="s">
        <v>0</v>
      </c>
      <c r="F56" s="117" t="s">
        <v>157</v>
      </c>
      <c r="G56" s="117">
        <v>95</v>
      </c>
      <c r="H56" s="117"/>
      <c r="I56" s="117"/>
      <c r="J56" s="117"/>
    </row>
    <row r="57" spans="2:10">
      <c r="B57" s="117">
        <v>29</v>
      </c>
      <c r="C57" s="117">
        <v>19</v>
      </c>
      <c r="D57" s="117"/>
      <c r="E57" s="117" t="s">
        <v>0</v>
      </c>
      <c r="F57" s="117" t="s">
        <v>478</v>
      </c>
      <c r="G57" s="117">
        <v>95</v>
      </c>
      <c r="H57" s="117"/>
      <c r="I57" s="117"/>
      <c r="J57" s="117"/>
    </row>
    <row r="58" spans="2:10">
      <c r="B58" s="117">
        <v>30</v>
      </c>
      <c r="C58" s="117">
        <v>20</v>
      </c>
      <c r="D58" s="117"/>
      <c r="E58" s="117" t="s">
        <v>460</v>
      </c>
      <c r="F58" s="117"/>
      <c r="G58" s="117"/>
      <c r="H58" s="117"/>
      <c r="I58" s="117"/>
      <c r="J58" s="117"/>
    </row>
    <row r="59" spans="2:10">
      <c r="B59" s="117">
        <v>31</v>
      </c>
      <c r="C59" s="117">
        <v>21</v>
      </c>
      <c r="D59" s="117"/>
      <c r="E59" s="117" t="s">
        <v>1</v>
      </c>
      <c r="F59" s="117" t="s">
        <v>84</v>
      </c>
      <c r="G59" s="117">
        <v>100</v>
      </c>
      <c r="H59" s="117">
        <v>210</v>
      </c>
      <c r="I59" s="117">
        <v>390</v>
      </c>
      <c r="J59" s="117">
        <v>550</v>
      </c>
    </row>
    <row r="60" spans="2:10">
      <c r="B60" s="117">
        <v>32</v>
      </c>
      <c r="C60" s="117">
        <v>22</v>
      </c>
      <c r="D60" s="117"/>
      <c r="E60" s="117" t="s">
        <v>1</v>
      </c>
      <c r="F60" s="117" t="s">
        <v>98</v>
      </c>
      <c r="G60" s="117" t="s">
        <v>489</v>
      </c>
      <c r="H60" s="117">
        <v>130</v>
      </c>
      <c r="I60" s="117">
        <v>275</v>
      </c>
      <c r="J60" s="117">
        <v>700</v>
      </c>
    </row>
    <row r="61" spans="2:10">
      <c r="B61" s="117">
        <v>33</v>
      </c>
      <c r="C61" s="117">
        <v>23</v>
      </c>
      <c r="D61" s="117"/>
      <c r="E61" s="117" t="s">
        <v>1</v>
      </c>
      <c r="F61" s="117" t="s">
        <v>85</v>
      </c>
      <c r="G61" s="117">
        <v>130</v>
      </c>
      <c r="H61" s="117">
        <v>170</v>
      </c>
      <c r="I61" s="117">
        <v>360</v>
      </c>
      <c r="J61" s="117">
        <v>600</v>
      </c>
    </row>
    <row r="62" spans="2:10">
      <c r="B62" s="117">
        <v>34</v>
      </c>
      <c r="C62" s="117">
        <v>24</v>
      </c>
      <c r="D62" s="117"/>
      <c r="E62" s="117" t="s">
        <v>1</v>
      </c>
      <c r="F62" s="117" t="s">
        <v>99</v>
      </c>
      <c r="G62" s="117" t="s">
        <v>489</v>
      </c>
      <c r="H62" s="117">
        <v>125</v>
      </c>
      <c r="I62" s="117">
        <v>270</v>
      </c>
      <c r="J62" s="117">
        <v>700</v>
      </c>
    </row>
    <row r="63" spans="2:10">
      <c r="B63" s="117">
        <v>35</v>
      </c>
      <c r="C63" s="117">
        <v>27</v>
      </c>
      <c r="D63" s="117"/>
      <c r="E63" s="117" t="s">
        <v>460</v>
      </c>
      <c r="F63" s="117"/>
      <c r="G63" s="117"/>
      <c r="H63" s="117"/>
      <c r="I63" s="117"/>
      <c r="J63" s="117"/>
    </row>
    <row r="64" spans="2:10">
      <c r="B64" s="117">
        <v>36</v>
      </c>
      <c r="C64" s="117">
        <v>28</v>
      </c>
      <c r="D64" s="117"/>
      <c r="E64" s="117" t="s">
        <v>1</v>
      </c>
      <c r="F64" s="117" t="s">
        <v>86</v>
      </c>
      <c r="G64" s="117" t="s">
        <v>490</v>
      </c>
      <c r="H64" s="117">
        <v>179</v>
      </c>
      <c r="I64" s="117">
        <v>270</v>
      </c>
      <c r="J64" s="117">
        <v>650</v>
      </c>
    </row>
    <row r="65" spans="2:10">
      <c r="B65" s="117">
        <v>37</v>
      </c>
      <c r="C65" s="117">
        <v>29</v>
      </c>
      <c r="D65" s="117"/>
      <c r="E65" s="117" t="s">
        <v>1</v>
      </c>
      <c r="F65" s="117" t="s">
        <v>91</v>
      </c>
      <c r="G65" s="117"/>
      <c r="H65" s="117"/>
      <c r="I65" s="117"/>
      <c r="J65" s="117"/>
    </row>
    <row r="66" spans="2:10">
      <c r="B66" s="117">
        <v>38</v>
      </c>
      <c r="C66" s="117">
        <v>30</v>
      </c>
      <c r="D66" s="117"/>
      <c r="E66" s="117" t="s">
        <v>1</v>
      </c>
      <c r="F66" s="117" t="s">
        <v>87</v>
      </c>
      <c r="G66" s="117" t="s">
        <v>490</v>
      </c>
      <c r="H66" s="117">
        <v>179</v>
      </c>
      <c r="I66" s="117">
        <v>270</v>
      </c>
      <c r="J66" s="117">
        <v>650</v>
      </c>
    </row>
    <row r="67" spans="2:10">
      <c r="B67" s="117">
        <v>39</v>
      </c>
      <c r="C67" s="117">
        <v>31</v>
      </c>
      <c r="D67" s="117"/>
      <c r="E67" s="117" t="s">
        <v>1</v>
      </c>
      <c r="F67" s="117" t="s">
        <v>92</v>
      </c>
      <c r="G67" s="117"/>
      <c r="H67" s="117"/>
      <c r="I67" s="117"/>
      <c r="J67" s="117"/>
    </row>
    <row r="68" spans="2:10">
      <c r="B68" s="117">
        <v>40</v>
      </c>
      <c r="C68" s="117">
        <v>32</v>
      </c>
      <c r="D68" s="117"/>
      <c r="E68" s="117" t="s">
        <v>1</v>
      </c>
      <c r="F68" s="117" t="s">
        <v>88</v>
      </c>
      <c r="G68" s="117" t="s">
        <v>490</v>
      </c>
      <c r="H68" s="117">
        <v>179</v>
      </c>
      <c r="I68" s="117">
        <v>270</v>
      </c>
      <c r="J68" s="117">
        <v>650</v>
      </c>
    </row>
    <row r="69" spans="2:10">
      <c r="B69" s="117">
        <v>41</v>
      </c>
      <c r="C69" s="117">
        <v>33</v>
      </c>
      <c r="D69" s="117"/>
      <c r="E69" s="117" t="s">
        <v>1</v>
      </c>
      <c r="F69" s="117" t="s">
        <v>95</v>
      </c>
      <c r="G69" s="117"/>
      <c r="H69" s="117"/>
      <c r="I69" s="117"/>
      <c r="J69" s="117"/>
    </row>
    <row r="70" spans="2:10">
      <c r="B70" s="117">
        <v>42</v>
      </c>
      <c r="C70" s="117">
        <v>34</v>
      </c>
      <c r="D70" s="117"/>
      <c r="E70" s="117" t="s">
        <v>1</v>
      </c>
      <c r="F70" s="117" t="s">
        <v>89</v>
      </c>
      <c r="G70" s="117" t="s">
        <v>490</v>
      </c>
      <c r="H70" s="117">
        <v>179</v>
      </c>
      <c r="I70" s="117">
        <v>270</v>
      </c>
      <c r="J70" s="117">
        <v>650</v>
      </c>
    </row>
    <row r="71" spans="2:10">
      <c r="B71" s="117">
        <v>43</v>
      </c>
      <c r="C71" s="117">
        <v>35</v>
      </c>
      <c r="D71" s="117"/>
      <c r="E71" s="117" t="s">
        <v>1</v>
      </c>
      <c r="F71" s="117" t="s">
        <v>93</v>
      </c>
      <c r="G71" s="117"/>
      <c r="H71" s="117"/>
      <c r="I71" s="117"/>
      <c r="J71" s="117"/>
    </row>
    <row r="72" spans="2:10">
      <c r="B72" s="117">
        <v>44</v>
      </c>
      <c r="C72" s="117">
        <v>36</v>
      </c>
      <c r="D72" s="117"/>
      <c r="E72" s="117" t="s">
        <v>1</v>
      </c>
      <c r="F72" s="117" t="s">
        <v>90</v>
      </c>
      <c r="G72" s="117" t="s">
        <v>490</v>
      </c>
      <c r="H72" s="117">
        <v>179</v>
      </c>
      <c r="I72" s="117">
        <v>270</v>
      </c>
      <c r="J72" s="117">
        <v>650</v>
      </c>
    </row>
    <row r="73" spans="2:10">
      <c r="B73" s="117">
        <v>45</v>
      </c>
      <c r="C73" s="117">
        <v>37</v>
      </c>
      <c r="D73" s="117"/>
      <c r="E73" s="117" t="s">
        <v>1</v>
      </c>
      <c r="F73" s="117" t="s">
        <v>94</v>
      </c>
      <c r="G73" s="117"/>
      <c r="H73" s="117"/>
      <c r="I73" s="117"/>
      <c r="J73" s="117"/>
    </row>
    <row r="74" spans="2:10">
      <c r="B74" s="117">
        <v>46</v>
      </c>
      <c r="C74" s="117">
        <v>37</v>
      </c>
      <c r="D74" s="117"/>
      <c r="E74" s="117" t="s">
        <v>1</v>
      </c>
      <c r="F74" s="117" t="s">
        <v>126</v>
      </c>
      <c r="G74" s="117">
        <v>112</v>
      </c>
      <c r="H74" s="117" t="s">
        <v>491</v>
      </c>
      <c r="I74" s="117">
        <v>390</v>
      </c>
      <c r="J74" s="117">
        <v>500</v>
      </c>
    </row>
    <row r="75" spans="2:10">
      <c r="B75" s="117">
        <v>47</v>
      </c>
      <c r="C75" s="117">
        <v>38</v>
      </c>
      <c r="D75" s="117"/>
      <c r="E75" s="117" t="s">
        <v>1</v>
      </c>
      <c r="F75" s="117" t="s">
        <v>100</v>
      </c>
      <c r="G75" s="117">
        <v>58</v>
      </c>
      <c r="H75" s="117">
        <v>180</v>
      </c>
      <c r="I75" s="117">
        <v>450</v>
      </c>
      <c r="J75" s="117">
        <v>530</v>
      </c>
    </row>
    <row r="76" spans="2:10">
      <c r="B76" s="117">
        <v>48</v>
      </c>
      <c r="C76" s="117">
        <v>39</v>
      </c>
      <c r="D76" s="117"/>
      <c r="E76" s="117" t="s">
        <v>460</v>
      </c>
      <c r="F76" s="117"/>
      <c r="G76" s="117"/>
      <c r="H76" s="117"/>
      <c r="I76" s="117"/>
      <c r="J76" s="117"/>
    </row>
    <row r="77" spans="2:10">
      <c r="B77" s="117">
        <v>49</v>
      </c>
      <c r="C77" s="117">
        <v>40</v>
      </c>
      <c r="D77" s="117"/>
      <c r="E77" s="117" t="s">
        <v>1</v>
      </c>
      <c r="F77" s="117" t="s">
        <v>96</v>
      </c>
      <c r="G77" s="117">
        <v>160</v>
      </c>
      <c r="H77" s="117">
        <v>175</v>
      </c>
      <c r="I77" s="117">
        <v>300</v>
      </c>
      <c r="J77" s="117">
        <v>605</v>
      </c>
    </row>
    <row r="78" spans="2:10">
      <c r="B78" s="117">
        <v>50</v>
      </c>
      <c r="C78" s="117">
        <v>41</v>
      </c>
      <c r="D78" s="117"/>
      <c r="E78" s="117" t="s">
        <v>1</v>
      </c>
      <c r="F78" s="117" t="s">
        <v>97</v>
      </c>
      <c r="G78" s="117">
        <v>160</v>
      </c>
      <c r="H78" s="117">
        <v>175</v>
      </c>
      <c r="I78" s="117">
        <v>300</v>
      </c>
      <c r="J78" s="117">
        <v>605</v>
      </c>
    </row>
    <row r="79" spans="2:10">
      <c r="B79" s="117">
        <v>51</v>
      </c>
      <c r="C79" s="117">
        <v>42</v>
      </c>
      <c r="D79" s="117"/>
      <c r="E79" s="117" t="s">
        <v>460</v>
      </c>
      <c r="F79" s="117"/>
      <c r="G79" s="117"/>
      <c r="H79" s="117"/>
      <c r="I79" s="117"/>
      <c r="J79" s="117"/>
    </row>
    <row r="80" spans="2:10">
      <c r="B80" s="117">
        <v>52</v>
      </c>
      <c r="C80" s="117">
        <v>43</v>
      </c>
      <c r="D80" s="117" t="s">
        <v>199</v>
      </c>
      <c r="E80" s="117" t="s">
        <v>0</v>
      </c>
      <c r="F80" s="117" t="s">
        <v>234</v>
      </c>
      <c r="G80" s="117">
        <v>130</v>
      </c>
      <c r="H80" s="117">
        <v>220</v>
      </c>
      <c r="I80" s="117"/>
      <c r="J80" s="117"/>
    </row>
    <row r="81" spans="2:10">
      <c r="B81" s="117">
        <v>52</v>
      </c>
      <c r="C81" s="117">
        <v>43</v>
      </c>
      <c r="D81" s="117" t="s">
        <v>199</v>
      </c>
      <c r="E81" s="117" t="s">
        <v>0</v>
      </c>
      <c r="F81" s="117" t="s">
        <v>451</v>
      </c>
      <c r="G81" s="117">
        <v>360</v>
      </c>
      <c r="H81" s="117">
        <v>228</v>
      </c>
      <c r="I81" s="117"/>
      <c r="J81" s="117"/>
    </row>
    <row r="82" spans="2:10">
      <c r="B82" s="117">
        <v>53</v>
      </c>
      <c r="C82" s="117">
        <v>43</v>
      </c>
      <c r="D82" s="117" t="s">
        <v>28</v>
      </c>
      <c r="E82" s="117" t="s">
        <v>0</v>
      </c>
      <c r="F82" s="117" t="s">
        <v>144</v>
      </c>
      <c r="G82" s="117">
        <v>130</v>
      </c>
      <c r="H82" s="117">
        <v>220</v>
      </c>
      <c r="I82" s="117"/>
      <c r="J82" s="117"/>
    </row>
    <row r="83" spans="2:10">
      <c r="B83" s="117">
        <v>53</v>
      </c>
      <c r="C83" s="117">
        <v>43</v>
      </c>
      <c r="D83" s="117" t="s">
        <v>28</v>
      </c>
      <c r="E83" s="117" t="s">
        <v>0</v>
      </c>
      <c r="F83" s="117" t="s">
        <v>170</v>
      </c>
      <c r="G83" s="117">
        <v>360</v>
      </c>
      <c r="H83" s="117">
        <v>228</v>
      </c>
      <c r="I83" s="117"/>
      <c r="J83" s="117"/>
    </row>
    <row r="84" spans="2:10">
      <c r="B84" s="117">
        <v>54</v>
      </c>
      <c r="C84" s="117">
        <v>43</v>
      </c>
      <c r="D84" s="117" t="s">
        <v>29</v>
      </c>
      <c r="E84" s="117" t="s">
        <v>0</v>
      </c>
      <c r="F84" s="117" t="s">
        <v>146</v>
      </c>
      <c r="G84" s="117">
        <v>130</v>
      </c>
      <c r="H84" s="117">
        <v>220</v>
      </c>
      <c r="I84" s="117"/>
      <c r="J84" s="117"/>
    </row>
    <row r="85" spans="2:10">
      <c r="B85" s="117">
        <v>54</v>
      </c>
      <c r="C85" s="117">
        <v>43</v>
      </c>
      <c r="D85" s="117" t="s">
        <v>29</v>
      </c>
      <c r="E85" s="117" t="s">
        <v>0</v>
      </c>
      <c r="F85" s="117" t="s">
        <v>169</v>
      </c>
      <c r="G85" s="117">
        <v>360</v>
      </c>
      <c r="H85" s="117">
        <v>228</v>
      </c>
      <c r="I85" s="117"/>
      <c r="J85" s="117"/>
    </row>
    <row r="86" spans="2:10">
      <c r="B86" s="117">
        <v>55</v>
      </c>
      <c r="C86" s="117">
        <v>43</v>
      </c>
      <c r="D86" s="117" t="s">
        <v>159</v>
      </c>
      <c r="E86" s="117" t="s">
        <v>0</v>
      </c>
      <c r="F86" s="117" t="s">
        <v>148</v>
      </c>
      <c r="G86" s="117">
        <v>130</v>
      </c>
      <c r="H86" s="117">
        <v>220</v>
      </c>
      <c r="I86" s="117"/>
      <c r="J86" s="117"/>
    </row>
    <row r="87" spans="2:10">
      <c r="B87" s="117">
        <v>55</v>
      </c>
      <c r="C87" s="117">
        <v>43</v>
      </c>
      <c r="D87" s="117" t="s">
        <v>159</v>
      </c>
      <c r="E87" s="117" t="s">
        <v>0</v>
      </c>
      <c r="F87" s="117" t="s">
        <v>168</v>
      </c>
      <c r="G87" s="117">
        <v>360</v>
      </c>
      <c r="H87" s="117">
        <v>228</v>
      </c>
      <c r="I87" s="117"/>
      <c r="J87" s="117"/>
    </row>
    <row r="88" spans="2:10">
      <c r="B88" s="117">
        <v>56</v>
      </c>
      <c r="C88" s="117">
        <v>43</v>
      </c>
      <c r="D88" s="117" t="s">
        <v>388</v>
      </c>
      <c r="E88" s="117" t="s">
        <v>0</v>
      </c>
      <c r="F88" s="117" t="s">
        <v>175</v>
      </c>
      <c r="G88" s="117">
        <v>130</v>
      </c>
      <c r="H88" s="117">
        <v>220</v>
      </c>
      <c r="I88" s="117"/>
      <c r="J88" s="117"/>
    </row>
    <row r="89" spans="2:10">
      <c r="B89" s="117">
        <v>56</v>
      </c>
      <c r="C89" s="117">
        <v>43</v>
      </c>
      <c r="D89" s="117" t="s">
        <v>388</v>
      </c>
      <c r="E89" s="117" t="s">
        <v>0</v>
      </c>
      <c r="F89" s="117" t="s">
        <v>473</v>
      </c>
      <c r="G89" s="117">
        <v>360</v>
      </c>
      <c r="H89" s="117">
        <v>228</v>
      </c>
      <c r="I89" s="117"/>
      <c r="J89" s="117"/>
    </row>
    <row r="90" spans="2:10">
      <c r="B90" s="117">
        <v>57</v>
      </c>
      <c r="C90" s="117">
        <v>43</v>
      </c>
      <c r="D90" s="117" t="s">
        <v>388</v>
      </c>
      <c r="E90" s="117" t="s">
        <v>0</v>
      </c>
      <c r="F90" s="117" t="s">
        <v>176</v>
      </c>
      <c r="G90" s="117">
        <v>130</v>
      </c>
      <c r="H90" s="117">
        <v>220</v>
      </c>
      <c r="I90" s="117"/>
      <c r="J90" s="117"/>
    </row>
    <row r="91" spans="2:10">
      <c r="B91" s="117">
        <v>57</v>
      </c>
      <c r="C91" s="117">
        <v>43</v>
      </c>
      <c r="D91" s="117" t="s">
        <v>388</v>
      </c>
      <c r="E91" s="117" t="s">
        <v>0</v>
      </c>
      <c r="F91" s="117" t="s">
        <v>474</v>
      </c>
      <c r="G91" s="117">
        <v>360</v>
      </c>
      <c r="H91" s="117">
        <v>228</v>
      </c>
      <c r="I91" s="117"/>
      <c r="J91" s="117"/>
    </row>
    <row r="92" spans="2:10">
      <c r="B92" s="117">
        <v>58</v>
      </c>
      <c r="C92" s="117">
        <v>43</v>
      </c>
      <c r="D92" s="117" t="s">
        <v>160</v>
      </c>
      <c r="E92" s="117" t="s">
        <v>0</v>
      </c>
      <c r="F92" s="117" t="s">
        <v>151</v>
      </c>
      <c r="G92" s="117">
        <v>130</v>
      </c>
      <c r="H92" s="117">
        <v>220</v>
      </c>
      <c r="I92" s="117"/>
      <c r="J92" s="117"/>
    </row>
    <row r="93" spans="2:10">
      <c r="B93" s="117">
        <v>58</v>
      </c>
      <c r="C93" s="117">
        <v>43</v>
      </c>
      <c r="D93" s="117" t="s">
        <v>160</v>
      </c>
      <c r="E93" s="117" t="s">
        <v>0</v>
      </c>
      <c r="F93" s="117" t="s">
        <v>171</v>
      </c>
      <c r="G93" s="117">
        <v>360</v>
      </c>
      <c r="H93" s="117">
        <v>228</v>
      </c>
      <c r="I93" s="117"/>
      <c r="J93" s="117"/>
    </row>
    <row r="94" spans="2:10">
      <c r="B94" s="117">
        <v>59</v>
      </c>
      <c r="C94" s="117">
        <v>43</v>
      </c>
      <c r="D94" s="117" t="s">
        <v>389</v>
      </c>
      <c r="E94" s="117" t="s">
        <v>0</v>
      </c>
      <c r="F94" s="117" t="s">
        <v>177</v>
      </c>
      <c r="G94" s="117">
        <v>130</v>
      </c>
      <c r="H94" s="117">
        <v>220</v>
      </c>
      <c r="I94" s="117"/>
      <c r="J94" s="117"/>
    </row>
    <row r="95" spans="2:10">
      <c r="B95" s="117">
        <v>59</v>
      </c>
      <c r="C95" s="117">
        <v>43</v>
      </c>
      <c r="D95" s="117" t="s">
        <v>389</v>
      </c>
      <c r="E95" s="117" t="s">
        <v>0</v>
      </c>
      <c r="F95" s="117" t="s">
        <v>475</v>
      </c>
      <c r="G95" s="117">
        <v>360</v>
      </c>
      <c r="H95" s="117">
        <v>228</v>
      </c>
      <c r="I95" s="117"/>
      <c r="J95" s="117"/>
    </row>
    <row r="96" spans="2:10">
      <c r="B96" s="117">
        <v>60</v>
      </c>
      <c r="C96" s="117">
        <v>43</v>
      </c>
      <c r="D96" s="117" t="s">
        <v>389</v>
      </c>
      <c r="E96" s="117" t="s">
        <v>0</v>
      </c>
      <c r="F96" s="117" t="s">
        <v>178</v>
      </c>
      <c r="G96" s="117">
        <v>130</v>
      </c>
      <c r="H96" s="117">
        <v>220</v>
      </c>
      <c r="I96" s="117"/>
      <c r="J96" s="117"/>
    </row>
    <row r="97" spans="2:10">
      <c r="B97" s="117">
        <v>60</v>
      </c>
      <c r="C97" s="117">
        <v>43</v>
      </c>
      <c r="D97" s="117" t="s">
        <v>389</v>
      </c>
      <c r="E97" s="117" t="s">
        <v>0</v>
      </c>
      <c r="F97" s="117" t="s">
        <v>476</v>
      </c>
      <c r="G97" s="117">
        <v>360</v>
      </c>
      <c r="H97" s="117">
        <v>228</v>
      </c>
      <c r="I97" s="117"/>
      <c r="J97" s="117"/>
    </row>
    <row r="98" spans="2:10">
      <c r="B98" s="117">
        <v>61</v>
      </c>
      <c r="C98" s="117">
        <v>43</v>
      </c>
      <c r="D98" s="117" t="s">
        <v>161</v>
      </c>
      <c r="E98" s="117" t="s">
        <v>0</v>
      </c>
      <c r="F98" s="117" t="s">
        <v>154</v>
      </c>
      <c r="G98" s="117">
        <v>130</v>
      </c>
      <c r="H98" s="117">
        <v>220</v>
      </c>
      <c r="I98" s="117"/>
      <c r="J98" s="117"/>
    </row>
    <row r="99" spans="2:10">
      <c r="B99" s="117">
        <v>61</v>
      </c>
      <c r="C99" s="117">
        <v>43</v>
      </c>
      <c r="D99" s="117" t="s">
        <v>161</v>
      </c>
      <c r="E99" s="117" t="s">
        <v>0</v>
      </c>
      <c r="F99" s="117" t="s">
        <v>172</v>
      </c>
      <c r="G99" s="117">
        <v>360</v>
      </c>
      <c r="H99" s="117">
        <v>228</v>
      </c>
      <c r="I99" s="117"/>
      <c r="J99" s="117"/>
    </row>
    <row r="100" spans="2:10">
      <c r="B100" s="117">
        <v>62</v>
      </c>
      <c r="C100" s="117">
        <v>43</v>
      </c>
      <c r="D100" s="117" t="s">
        <v>142</v>
      </c>
      <c r="E100" s="117" t="s">
        <v>0</v>
      </c>
      <c r="F100" s="117" t="s">
        <v>156</v>
      </c>
      <c r="G100" s="117">
        <v>130</v>
      </c>
      <c r="H100" s="117">
        <v>220</v>
      </c>
      <c r="I100" s="117"/>
      <c r="J100" s="117"/>
    </row>
    <row r="101" spans="2:10">
      <c r="B101" s="117">
        <v>62</v>
      </c>
      <c r="C101" s="117">
        <v>43</v>
      </c>
      <c r="D101" s="117" t="s">
        <v>142</v>
      </c>
      <c r="E101" s="117" t="s">
        <v>0</v>
      </c>
      <c r="F101" s="117" t="s">
        <v>173</v>
      </c>
      <c r="G101" s="117">
        <v>360</v>
      </c>
      <c r="H101" s="117">
        <v>228</v>
      </c>
      <c r="I101" s="117"/>
      <c r="J101" s="117"/>
    </row>
    <row r="102" spans="2:10">
      <c r="B102" s="117">
        <v>63</v>
      </c>
      <c r="C102" s="117">
        <v>43</v>
      </c>
      <c r="D102" s="117" t="s">
        <v>162</v>
      </c>
      <c r="E102" s="117" t="s">
        <v>0</v>
      </c>
      <c r="F102" s="117" t="s">
        <v>158</v>
      </c>
      <c r="G102" s="117">
        <v>130</v>
      </c>
      <c r="H102" s="117">
        <v>220</v>
      </c>
      <c r="I102" s="117"/>
      <c r="J102" s="117"/>
    </row>
    <row r="103" spans="2:10">
      <c r="B103" s="117">
        <v>63</v>
      </c>
      <c r="C103" s="117">
        <v>43</v>
      </c>
      <c r="D103" s="117" t="s">
        <v>162</v>
      </c>
      <c r="E103" s="117" t="s">
        <v>0</v>
      </c>
      <c r="F103" s="117" t="s">
        <v>174</v>
      </c>
      <c r="G103" s="117">
        <v>360</v>
      </c>
      <c r="H103" s="117">
        <v>228</v>
      </c>
      <c r="I103" s="117"/>
      <c r="J103" s="117"/>
    </row>
    <row r="104" spans="2:10">
      <c r="B104" s="117">
        <v>64</v>
      </c>
      <c r="C104" s="117">
        <v>51</v>
      </c>
      <c r="D104" s="117"/>
      <c r="E104" s="117" t="s">
        <v>460</v>
      </c>
      <c r="F104" s="117"/>
      <c r="G104" s="117"/>
      <c r="H104" s="117"/>
      <c r="I104" s="117"/>
      <c r="J104" s="117"/>
    </row>
    <row r="105" spans="2:10">
      <c r="B105" s="117">
        <v>65</v>
      </c>
      <c r="C105" s="117">
        <v>52</v>
      </c>
      <c r="D105" s="117"/>
      <c r="E105" s="117" t="s">
        <v>460</v>
      </c>
      <c r="F105" s="117"/>
      <c r="G105" s="117"/>
      <c r="H105" s="117"/>
      <c r="I105" s="117"/>
      <c r="J105" s="117"/>
    </row>
    <row r="106" spans="2:10">
      <c r="B106" s="117">
        <v>66</v>
      </c>
      <c r="C106" s="117">
        <v>53</v>
      </c>
      <c r="D106" s="117"/>
      <c r="E106" s="117" t="s">
        <v>460</v>
      </c>
      <c r="F106" s="117"/>
      <c r="G106" s="117"/>
      <c r="H106" s="117"/>
      <c r="I106" s="117"/>
      <c r="J106" s="117"/>
    </row>
    <row r="107" spans="2:10">
      <c r="B107" s="117">
        <v>67</v>
      </c>
      <c r="C107" s="117">
        <v>54</v>
      </c>
      <c r="D107" s="117"/>
      <c r="E107" s="117" t="s">
        <v>460</v>
      </c>
      <c r="F107" s="117"/>
      <c r="G107" s="117"/>
      <c r="H107" s="117"/>
      <c r="I107" s="117"/>
      <c r="J107" s="117"/>
    </row>
    <row r="108" spans="2:10">
      <c r="B108" s="117">
        <v>68</v>
      </c>
      <c r="C108" s="117">
        <v>55</v>
      </c>
      <c r="D108" s="117"/>
      <c r="E108" s="117" t="s">
        <v>460</v>
      </c>
      <c r="F108" s="117"/>
      <c r="G108" s="117"/>
      <c r="H108" s="117"/>
      <c r="I108" s="117"/>
      <c r="J108" s="117"/>
    </row>
    <row r="109" spans="2:10">
      <c r="B109" s="117">
        <v>69</v>
      </c>
      <c r="C109" s="117">
        <v>56</v>
      </c>
      <c r="D109" s="117"/>
      <c r="E109" s="117" t="s">
        <v>460</v>
      </c>
      <c r="F109" s="117"/>
      <c r="G109" s="117"/>
      <c r="H109" s="117"/>
      <c r="I109" s="117"/>
      <c r="J109" s="117"/>
    </row>
    <row r="110" spans="2:10">
      <c r="B110" s="117">
        <v>70</v>
      </c>
      <c r="C110" s="117">
        <v>57</v>
      </c>
      <c r="D110" s="117"/>
      <c r="E110" s="117" t="s">
        <v>460</v>
      </c>
      <c r="F110" s="117"/>
      <c r="G110" s="117"/>
      <c r="H110" s="117"/>
      <c r="I110" s="117"/>
      <c r="J110" s="117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7" r:id="rId5" name="Button 13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10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J883"/>
  <sheetViews>
    <sheetView topLeftCell="A848" workbookViewId="0">
      <selection activeCell="C866" sqref="C866:G87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61" spans="1:1">
      <c r="A61" t="s">
        <v>234</v>
      </c>
    </row>
    <row r="75" spans="1:10" ht="38.25">
      <c r="A75" t="s">
        <v>451</v>
      </c>
      <c r="D75" s="173">
        <v>2016</v>
      </c>
      <c r="E75" s="173">
        <v>2015</v>
      </c>
      <c r="F75" s="173" t="s">
        <v>391</v>
      </c>
      <c r="G75" s="173" t="s">
        <v>392</v>
      </c>
      <c r="H75" s="173" t="s">
        <v>393</v>
      </c>
      <c r="I75" s="173" t="s">
        <v>394</v>
      </c>
      <c r="J75" s="173" t="s">
        <v>395</v>
      </c>
    </row>
    <row r="76" spans="1:10" ht="15.75">
      <c r="C76" s="159" t="s">
        <v>181</v>
      </c>
      <c r="D76" s="160">
        <v>85.93</v>
      </c>
      <c r="E76" s="160">
        <v>82.67</v>
      </c>
      <c r="F76" s="160">
        <v>89.46</v>
      </c>
      <c r="G76" s="160">
        <v>79.150000000000006</v>
      </c>
      <c r="H76" s="161">
        <v>3.2600000000000051</v>
      </c>
      <c r="I76" s="161">
        <v>-3.5299999999999869</v>
      </c>
      <c r="J76" s="161">
        <v>6.7800000000000011</v>
      </c>
    </row>
    <row r="77" spans="1:10" ht="15.75">
      <c r="C77" s="164" t="s">
        <v>182</v>
      </c>
      <c r="D77" s="160">
        <v>81.56</v>
      </c>
      <c r="E77" s="160">
        <v>77.59</v>
      </c>
      <c r="F77" s="160">
        <v>88.6</v>
      </c>
      <c r="G77" s="160">
        <v>77.23</v>
      </c>
      <c r="H77" s="161">
        <v>3.9699999999999989</v>
      </c>
      <c r="I77" s="161">
        <v>-7.039999999999992</v>
      </c>
      <c r="J77" s="161">
        <v>4.3299999999999983</v>
      </c>
    </row>
    <row r="78" spans="1:10" ht="15.75">
      <c r="C78" s="165" t="s">
        <v>180</v>
      </c>
      <c r="D78" s="160">
        <v>77.78</v>
      </c>
      <c r="E78" s="160">
        <v>73.56</v>
      </c>
      <c r="F78" s="160">
        <v>84.91</v>
      </c>
      <c r="G78" s="160">
        <v>75.44</v>
      </c>
      <c r="H78" s="161">
        <v>4.2199999999999989</v>
      </c>
      <c r="I78" s="161">
        <v>-7.1299999999999955</v>
      </c>
      <c r="J78" s="161">
        <v>2.3400000000000034</v>
      </c>
    </row>
    <row r="79" spans="1:10" ht="15.75">
      <c r="C79" s="166" t="s">
        <v>196</v>
      </c>
      <c r="D79" s="160">
        <v>83.3</v>
      </c>
      <c r="E79" s="160">
        <v>78.540000000000006</v>
      </c>
      <c r="F79" s="160">
        <v>90.36</v>
      </c>
      <c r="G79" s="160">
        <v>80.28</v>
      </c>
      <c r="H79" s="161">
        <v>4.7599999999999909</v>
      </c>
      <c r="I79" s="161">
        <v>-7.0600000000000023</v>
      </c>
      <c r="J79" s="161">
        <v>3.019999999999996</v>
      </c>
    </row>
    <row r="80" spans="1:10" ht="15.75">
      <c r="C80" s="167" t="s">
        <v>492</v>
      </c>
      <c r="D80" s="162">
        <v>86.19</v>
      </c>
      <c r="E80" s="162">
        <v>81.86</v>
      </c>
      <c r="F80" s="162">
        <v>92.63</v>
      </c>
      <c r="G80" s="162">
        <v>83.31</v>
      </c>
      <c r="H80" s="163">
        <v>4.3299999999999983</v>
      </c>
      <c r="I80" s="163">
        <v>-6.4399999999999977</v>
      </c>
      <c r="J80" s="163">
        <v>2.8799999999999955</v>
      </c>
    </row>
    <row r="81" spans="1:10">
      <c r="C81" t="s">
        <v>493</v>
      </c>
      <c r="D81" s="168">
        <v>82.91</v>
      </c>
      <c r="E81" s="168">
        <v>78.88</v>
      </c>
      <c r="F81" s="168">
        <v>89.03</v>
      </c>
      <c r="G81" s="168">
        <v>78.88</v>
      </c>
      <c r="H81" s="168">
        <v>4.0300000000000011</v>
      </c>
      <c r="I81" s="168">
        <v>-6.1200000000000045</v>
      </c>
      <c r="J81" s="168">
        <v>4.0300000000000011</v>
      </c>
    </row>
    <row r="82" spans="1:10">
      <c r="C82" t="s">
        <v>494</v>
      </c>
      <c r="D82" s="169">
        <v>4886</v>
      </c>
      <c r="E82" s="169">
        <v>4735</v>
      </c>
      <c r="F82" s="169"/>
      <c r="G82" s="169"/>
      <c r="H82" s="169"/>
      <c r="I82" s="169"/>
      <c r="J82" s="169"/>
    </row>
    <row r="83" spans="1:10">
      <c r="C83" t="s">
        <v>495</v>
      </c>
      <c r="D83" s="170">
        <v>78.88</v>
      </c>
      <c r="E83" s="170">
        <v>73.930000000000007</v>
      </c>
      <c r="F83" s="170"/>
      <c r="G83" s="170"/>
      <c r="H83" s="170"/>
      <c r="I83" s="170"/>
      <c r="J83" s="170"/>
    </row>
    <row r="84" spans="1:10">
      <c r="C84" t="s">
        <v>496</v>
      </c>
      <c r="D84" s="171">
        <v>4735</v>
      </c>
      <c r="E84" s="171">
        <v>4504</v>
      </c>
      <c r="F84" s="171"/>
      <c r="G84" s="171"/>
      <c r="H84" s="171"/>
      <c r="I84" s="171"/>
      <c r="J84" s="171"/>
    </row>
    <row r="85" spans="1:10" ht="22.5">
      <c r="C85" t="s">
        <v>179</v>
      </c>
      <c r="D85" s="172">
        <v>2016</v>
      </c>
      <c r="E85" s="172">
        <v>2015</v>
      </c>
      <c r="F85" s="172" t="s">
        <v>391</v>
      </c>
      <c r="G85" s="172" t="s">
        <v>392</v>
      </c>
      <c r="H85" s="172" t="s">
        <v>393</v>
      </c>
      <c r="I85" s="172" t="s">
        <v>394</v>
      </c>
      <c r="J85" s="172" t="s">
        <v>395</v>
      </c>
    </row>
    <row r="86" spans="1:10">
      <c r="C86" t="s">
        <v>497</v>
      </c>
      <c r="D86" s="168">
        <v>82.91</v>
      </c>
      <c r="E86" s="168">
        <v>82.91</v>
      </c>
      <c r="F86" s="168">
        <v>82.91</v>
      </c>
      <c r="G86" s="168">
        <v>82.91</v>
      </c>
      <c r="H86" s="168">
        <v>82.91</v>
      </c>
      <c r="I86" s="168">
        <v>82.91</v>
      </c>
      <c r="J86" s="168">
        <v>82.91</v>
      </c>
    </row>
    <row r="87" spans="1:10">
      <c r="C87" t="s">
        <v>498</v>
      </c>
      <c r="D87" s="174">
        <v>84.08</v>
      </c>
      <c r="E87" s="174">
        <v>79.319999999999993</v>
      </c>
      <c r="F87" s="174">
        <v>91.62</v>
      </c>
      <c r="G87" s="174">
        <v>82.28</v>
      </c>
      <c r="H87" s="175">
        <v>4.7600000000000051</v>
      </c>
      <c r="I87" s="175">
        <v>-7.5400000000000063</v>
      </c>
      <c r="J87" s="175">
        <v>1.7999999999999972</v>
      </c>
    </row>
    <row r="92" spans="1:10">
      <c r="A92" t="s">
        <v>143</v>
      </c>
    </row>
    <row r="122" spans="1:1">
      <c r="A122" t="s">
        <v>144</v>
      </c>
    </row>
    <row r="136" spans="1:8" ht="25.5">
      <c r="A136" t="s">
        <v>170</v>
      </c>
      <c r="D136" s="173" t="s">
        <v>200</v>
      </c>
      <c r="E136" s="173" t="s">
        <v>201</v>
      </c>
      <c r="F136" s="173" t="s">
        <v>202</v>
      </c>
      <c r="G136" s="173" t="s">
        <v>203</v>
      </c>
      <c r="H136" s="173" t="s">
        <v>204</v>
      </c>
    </row>
    <row r="137" spans="1:8" ht="15.75">
      <c r="C137" s="159" t="s">
        <v>181</v>
      </c>
      <c r="D137" s="160">
        <v>90.45</v>
      </c>
      <c r="E137" s="160">
        <v>86.08</v>
      </c>
      <c r="F137" s="160">
        <v>84.35</v>
      </c>
      <c r="G137" s="160">
        <v>87.74</v>
      </c>
      <c r="H137" s="160">
        <v>90.43</v>
      </c>
    </row>
    <row r="138" spans="1:8" ht="15.75">
      <c r="C138" s="164" t="s">
        <v>182</v>
      </c>
      <c r="D138" s="160">
        <v>84.9</v>
      </c>
      <c r="E138" s="160">
        <v>80.59</v>
      </c>
      <c r="F138" s="160">
        <v>81</v>
      </c>
      <c r="G138" s="160">
        <v>84.36</v>
      </c>
      <c r="H138" s="160">
        <v>87.34</v>
      </c>
    </row>
    <row r="139" spans="1:8" ht="15.75">
      <c r="C139" s="165" t="s">
        <v>180</v>
      </c>
      <c r="D139" s="160">
        <v>85.2</v>
      </c>
      <c r="E139" s="160">
        <v>77.400000000000006</v>
      </c>
      <c r="F139" s="160">
        <v>75.959999999999994</v>
      </c>
      <c r="G139" s="160">
        <v>79.81</v>
      </c>
      <c r="H139" s="160">
        <v>83.12</v>
      </c>
    </row>
    <row r="140" spans="1:8" ht="15.75">
      <c r="C140" s="166" t="s">
        <v>196</v>
      </c>
      <c r="D140" s="160">
        <v>83.54</v>
      </c>
      <c r="E140" s="160">
        <v>81.03</v>
      </c>
      <c r="F140" s="160">
        <v>83.26</v>
      </c>
      <c r="G140" s="160">
        <v>88.56</v>
      </c>
      <c r="H140" s="160">
        <v>91.07</v>
      </c>
    </row>
    <row r="141" spans="1:8" ht="15.75">
      <c r="C141" s="167" t="s">
        <v>492</v>
      </c>
      <c r="D141" s="162">
        <v>90.58</v>
      </c>
      <c r="E141" s="162">
        <v>85.89</v>
      </c>
      <c r="F141" s="162">
        <v>85.08</v>
      </c>
      <c r="G141" s="162">
        <v>88.42</v>
      </c>
      <c r="H141" s="162">
        <v>90.24</v>
      </c>
    </row>
    <row r="142" spans="1:8">
      <c r="C142" t="s">
        <v>493</v>
      </c>
      <c r="D142" s="168">
        <v>87.13</v>
      </c>
      <c r="E142" s="168">
        <v>82.26</v>
      </c>
      <c r="F142" s="168">
        <v>81.83</v>
      </c>
      <c r="G142" s="168">
        <v>85.57</v>
      </c>
      <c r="H142" s="168">
        <v>88.33</v>
      </c>
    </row>
    <row r="143" spans="1:8">
      <c r="C143" t="s">
        <v>494</v>
      </c>
      <c r="D143" s="169">
        <v>292</v>
      </c>
      <c r="E143" s="169">
        <v>1996</v>
      </c>
      <c r="F143" s="169">
        <v>1426</v>
      </c>
      <c r="G143" s="169">
        <v>736</v>
      </c>
      <c r="H143" s="169">
        <v>248</v>
      </c>
    </row>
    <row r="144" spans="1:8">
      <c r="C144" t="s">
        <v>495</v>
      </c>
      <c r="D144" s="170">
        <v>82.41</v>
      </c>
      <c r="E144" s="170">
        <v>77.44</v>
      </c>
      <c r="F144" s="170">
        <v>78.069999999999993</v>
      </c>
      <c r="G144" s="170">
        <v>82.57</v>
      </c>
      <c r="H144" s="170">
        <v>86.36</v>
      </c>
    </row>
    <row r="145" spans="1:8">
      <c r="C145" t="s">
        <v>496</v>
      </c>
      <c r="D145" s="171">
        <v>249</v>
      </c>
      <c r="E145" s="171">
        <v>1965</v>
      </c>
      <c r="F145" s="171">
        <v>1426</v>
      </c>
      <c r="G145" s="171">
        <v>733</v>
      </c>
      <c r="H145" s="171">
        <v>256</v>
      </c>
    </row>
    <row r="146" spans="1:8">
      <c r="C146" t="s">
        <v>179</v>
      </c>
      <c r="D146" s="172" t="s">
        <v>200</v>
      </c>
      <c r="E146" s="172" t="s">
        <v>201</v>
      </c>
      <c r="F146" s="172" t="s">
        <v>202</v>
      </c>
      <c r="G146" s="172" t="s">
        <v>203</v>
      </c>
      <c r="H146" s="172" t="s">
        <v>204</v>
      </c>
    </row>
    <row r="147" spans="1:8">
      <c r="C147" t="s">
        <v>497</v>
      </c>
      <c r="D147" s="168">
        <v>82.91</v>
      </c>
      <c r="E147" s="168">
        <v>82.91</v>
      </c>
      <c r="F147" s="168">
        <v>82.91</v>
      </c>
      <c r="G147" s="168">
        <v>82.91</v>
      </c>
      <c r="H147" s="168">
        <v>82.91</v>
      </c>
    </row>
    <row r="148" spans="1:8">
      <c r="C148" t="s">
        <v>498</v>
      </c>
      <c r="D148" s="174">
        <v>87.33</v>
      </c>
      <c r="E148" s="174">
        <v>82.4</v>
      </c>
      <c r="F148" s="174">
        <v>83.7</v>
      </c>
      <c r="G148" s="174">
        <v>87.89</v>
      </c>
      <c r="H148" s="174">
        <v>93.55</v>
      </c>
    </row>
    <row r="153" spans="1:8">
      <c r="A153" t="s">
        <v>145</v>
      </c>
    </row>
    <row r="213" spans="1:1">
      <c r="A213" t="s">
        <v>146</v>
      </c>
    </row>
    <row r="227" spans="1:5">
      <c r="A227" t="s">
        <v>169</v>
      </c>
      <c r="D227" s="173" t="s">
        <v>205</v>
      </c>
      <c r="E227" s="173" t="s">
        <v>206</v>
      </c>
    </row>
    <row r="228" spans="1:5" ht="15.75">
      <c r="C228" s="159" t="s">
        <v>181</v>
      </c>
      <c r="D228" s="160">
        <v>86.53</v>
      </c>
      <c r="E228" s="160">
        <v>86.24</v>
      </c>
    </row>
    <row r="229" spans="1:5" ht="15.75">
      <c r="C229" s="164" t="s">
        <v>182</v>
      </c>
      <c r="D229" s="160">
        <v>82.52</v>
      </c>
      <c r="E229" s="160">
        <v>81.34</v>
      </c>
    </row>
    <row r="230" spans="1:5" ht="15.75">
      <c r="C230" s="165" t="s">
        <v>180</v>
      </c>
      <c r="D230" s="160">
        <v>78.27</v>
      </c>
      <c r="E230" s="160">
        <v>78.02</v>
      </c>
    </row>
    <row r="231" spans="1:5" ht="15.75">
      <c r="C231" s="166" t="s">
        <v>196</v>
      </c>
      <c r="D231" s="160">
        <v>83.68</v>
      </c>
      <c r="E231" s="160">
        <v>83.52</v>
      </c>
    </row>
    <row r="232" spans="1:5" ht="15.75">
      <c r="C232" s="167" t="s">
        <v>492</v>
      </c>
      <c r="D232" s="162">
        <v>86.39</v>
      </c>
      <c r="E232" s="162">
        <v>86.83</v>
      </c>
    </row>
    <row r="233" spans="1:5">
      <c r="C233" t="s">
        <v>493</v>
      </c>
      <c r="D233" s="168">
        <v>83.48</v>
      </c>
      <c r="E233" s="168">
        <v>83.12</v>
      </c>
    </row>
    <row r="234" spans="1:5">
      <c r="C234" t="s">
        <v>494</v>
      </c>
      <c r="D234" s="169">
        <v>2476</v>
      </c>
      <c r="E234" s="169">
        <v>2191</v>
      </c>
    </row>
    <row r="235" spans="1:5">
      <c r="C235" t="s">
        <v>495</v>
      </c>
      <c r="D235" s="170">
        <v>79.62</v>
      </c>
      <c r="E235" s="170">
        <v>78.790000000000006</v>
      </c>
    </row>
    <row r="236" spans="1:5">
      <c r="C236" t="s">
        <v>496</v>
      </c>
      <c r="D236" s="171">
        <v>2382</v>
      </c>
      <c r="E236" s="171">
        <v>2218</v>
      </c>
    </row>
    <row r="237" spans="1:5">
      <c r="C237" t="s">
        <v>179</v>
      </c>
      <c r="D237" s="172" t="s">
        <v>205</v>
      </c>
      <c r="E237" s="172" t="s">
        <v>206</v>
      </c>
    </row>
    <row r="238" spans="1:5">
      <c r="C238" t="s">
        <v>497</v>
      </c>
      <c r="D238" s="168">
        <v>82.91</v>
      </c>
      <c r="E238" s="168">
        <v>82.91</v>
      </c>
    </row>
    <row r="239" spans="1:5">
      <c r="C239" t="s">
        <v>498</v>
      </c>
      <c r="D239" s="174">
        <v>85.32</v>
      </c>
      <c r="E239" s="174">
        <v>83.78</v>
      </c>
    </row>
    <row r="244" spans="1:1">
      <c r="A244" t="s">
        <v>147</v>
      </c>
    </row>
    <row r="304" spans="1:1">
      <c r="A304" t="s">
        <v>148</v>
      </c>
    </row>
    <row r="318" spans="1:8" ht="51">
      <c r="A318" t="s">
        <v>168</v>
      </c>
      <c r="D318" s="173" t="s">
        <v>396</v>
      </c>
      <c r="E318" s="173" t="s">
        <v>332</v>
      </c>
      <c r="F318" s="173" t="s">
        <v>333</v>
      </c>
      <c r="G318" s="173" t="s">
        <v>334</v>
      </c>
      <c r="H318" s="173" t="s">
        <v>335</v>
      </c>
    </row>
    <row r="319" spans="1:8" ht="15.75">
      <c r="C319" s="159" t="s">
        <v>181</v>
      </c>
      <c r="D319" s="160">
        <v>76.19</v>
      </c>
      <c r="E319" s="160">
        <v>87.14</v>
      </c>
      <c r="F319" s="160">
        <v>86.86</v>
      </c>
      <c r="G319" s="160">
        <v>85.18</v>
      </c>
      <c r="H319" s="160">
        <v>87.05</v>
      </c>
    </row>
    <row r="320" spans="1:8" ht="15.75">
      <c r="C320" s="164" t="s">
        <v>182</v>
      </c>
      <c r="D320" s="160">
        <v>78.209999999999994</v>
      </c>
      <c r="E320" s="160">
        <v>80.63</v>
      </c>
      <c r="F320" s="160">
        <v>81.92</v>
      </c>
      <c r="G320" s="160">
        <v>81.260000000000005</v>
      </c>
      <c r="H320" s="160">
        <v>85.26</v>
      </c>
    </row>
    <row r="321" spans="1:8" ht="15.75">
      <c r="C321" s="165" t="s">
        <v>180</v>
      </c>
      <c r="D321" s="160">
        <v>80.489999999999995</v>
      </c>
      <c r="E321" s="160">
        <v>78.47</v>
      </c>
      <c r="F321" s="160">
        <v>78.739999999999995</v>
      </c>
      <c r="G321" s="160">
        <v>76.790000000000006</v>
      </c>
      <c r="H321" s="160">
        <v>79.03</v>
      </c>
    </row>
    <row r="322" spans="1:8" ht="15.75">
      <c r="C322" s="166" t="s">
        <v>196</v>
      </c>
      <c r="D322" s="160">
        <v>84.38</v>
      </c>
      <c r="E322" s="160">
        <v>84.66</v>
      </c>
      <c r="F322" s="160">
        <v>83.78</v>
      </c>
      <c r="G322" s="160">
        <v>82.02</v>
      </c>
      <c r="H322" s="160">
        <v>86.82</v>
      </c>
    </row>
    <row r="323" spans="1:8" ht="15.75">
      <c r="C323" s="167" t="s">
        <v>492</v>
      </c>
      <c r="D323" s="162">
        <v>78.33</v>
      </c>
      <c r="E323" s="162">
        <v>85.6</v>
      </c>
      <c r="F323" s="162">
        <v>86.75</v>
      </c>
      <c r="G323" s="162">
        <v>85.69</v>
      </c>
      <c r="H323" s="162">
        <v>89.35</v>
      </c>
    </row>
    <row r="324" spans="1:8">
      <c r="C324" t="s">
        <v>493</v>
      </c>
      <c r="D324" s="168">
        <v>79.010000000000005</v>
      </c>
      <c r="E324" s="168">
        <v>83.26</v>
      </c>
      <c r="F324" s="168">
        <v>83.59</v>
      </c>
      <c r="G324" s="168">
        <v>82.17</v>
      </c>
      <c r="H324" s="168">
        <v>85.4</v>
      </c>
    </row>
    <row r="325" spans="1:8">
      <c r="C325" t="s">
        <v>494</v>
      </c>
      <c r="D325" s="169">
        <v>12</v>
      </c>
      <c r="E325" s="169">
        <v>360</v>
      </c>
      <c r="F325" s="169">
        <v>2276</v>
      </c>
      <c r="G325" s="169">
        <v>1542</v>
      </c>
      <c r="H325" s="169">
        <v>500</v>
      </c>
    </row>
    <row r="326" spans="1:8">
      <c r="C326" t="s">
        <v>495</v>
      </c>
      <c r="D326" s="170">
        <v>68.069999999999993</v>
      </c>
      <c r="E326" s="170">
        <v>79.69</v>
      </c>
      <c r="F326" s="170">
        <v>79.13</v>
      </c>
      <c r="G326" s="170">
        <v>78.17</v>
      </c>
      <c r="H326" s="170">
        <v>82.9</v>
      </c>
    </row>
    <row r="327" spans="1:8">
      <c r="C327" t="s">
        <v>496</v>
      </c>
      <c r="D327" s="171">
        <v>14</v>
      </c>
      <c r="E327" s="171">
        <v>413</v>
      </c>
      <c r="F327" s="171">
        <v>2318</v>
      </c>
      <c r="G327" s="171">
        <v>1467</v>
      </c>
      <c r="H327" s="171">
        <v>425</v>
      </c>
    </row>
    <row r="328" spans="1:8" ht="33.75">
      <c r="C328" t="s">
        <v>179</v>
      </c>
      <c r="D328" s="172" t="s">
        <v>396</v>
      </c>
      <c r="E328" s="172" t="s">
        <v>332</v>
      </c>
      <c r="F328" s="172" t="s">
        <v>333</v>
      </c>
      <c r="G328" s="172" t="s">
        <v>334</v>
      </c>
      <c r="H328" s="172" t="s">
        <v>335</v>
      </c>
    </row>
    <row r="329" spans="1:8">
      <c r="C329" t="s">
        <v>497</v>
      </c>
      <c r="D329" s="168">
        <v>82.91</v>
      </c>
      <c r="E329" s="168">
        <v>82.91</v>
      </c>
      <c r="F329" s="168">
        <v>82.91</v>
      </c>
      <c r="G329" s="168">
        <v>82.91</v>
      </c>
      <c r="H329" s="168">
        <v>82.91</v>
      </c>
    </row>
    <row r="330" spans="1:8">
      <c r="C330" t="s">
        <v>498</v>
      </c>
      <c r="D330" s="174">
        <v>75</v>
      </c>
      <c r="E330" s="174">
        <v>86.11</v>
      </c>
      <c r="F330" s="174">
        <v>84.66</v>
      </c>
      <c r="G330" s="174">
        <v>82.38</v>
      </c>
      <c r="H330" s="174">
        <v>89.58</v>
      </c>
    </row>
    <row r="335" spans="1:8">
      <c r="A335" t="s">
        <v>149</v>
      </c>
    </row>
    <row r="365" spans="1:1">
      <c r="A365" t="s">
        <v>175</v>
      </c>
    </row>
    <row r="379" spans="1:8" ht="127.5">
      <c r="A379" t="s">
        <v>473</v>
      </c>
      <c r="D379" s="177" t="s">
        <v>397</v>
      </c>
      <c r="E379" s="177" t="s">
        <v>398</v>
      </c>
      <c r="F379" s="177" t="s">
        <v>399</v>
      </c>
      <c r="G379" s="177" t="s">
        <v>400</v>
      </c>
      <c r="H379" s="177" t="s">
        <v>401</v>
      </c>
    </row>
    <row r="380" spans="1:8" ht="15.75">
      <c r="C380" s="159" t="s">
        <v>181</v>
      </c>
      <c r="D380" s="160">
        <v>93.53</v>
      </c>
      <c r="E380" s="160">
        <v>91.83</v>
      </c>
      <c r="F380" s="160">
        <v>88.97</v>
      </c>
      <c r="G380" s="160">
        <v>83.86</v>
      </c>
      <c r="H380" s="160">
        <v>84.1</v>
      </c>
    </row>
    <row r="381" spans="1:8" ht="15.75">
      <c r="C381" s="164" t="s">
        <v>182</v>
      </c>
      <c r="D381" s="160">
        <v>93.66</v>
      </c>
      <c r="E381" s="160">
        <v>89.43</v>
      </c>
      <c r="F381" s="160">
        <v>85.92</v>
      </c>
      <c r="G381" s="160">
        <v>81.99</v>
      </c>
      <c r="H381" s="160">
        <v>79.41</v>
      </c>
    </row>
    <row r="382" spans="1:8" ht="15.75">
      <c r="C382" s="165" t="s">
        <v>180</v>
      </c>
      <c r="D382" s="160">
        <v>87.16</v>
      </c>
      <c r="E382" s="160">
        <v>83.33</v>
      </c>
      <c r="F382" s="160">
        <v>81.790000000000006</v>
      </c>
      <c r="G382" s="160">
        <v>75.37</v>
      </c>
      <c r="H382" s="160">
        <v>74.319999999999993</v>
      </c>
    </row>
    <row r="383" spans="1:8" ht="15.75">
      <c r="C383" s="166" t="s">
        <v>196</v>
      </c>
      <c r="D383" s="160">
        <v>94.93</v>
      </c>
      <c r="E383" s="160">
        <v>92.27</v>
      </c>
      <c r="F383" s="160">
        <v>89.09</v>
      </c>
      <c r="G383" s="160">
        <v>82.97</v>
      </c>
      <c r="H383" s="160">
        <v>81.58</v>
      </c>
    </row>
    <row r="384" spans="1:8" ht="15.75">
      <c r="C384" s="167" t="s">
        <v>492</v>
      </c>
      <c r="D384" s="162">
        <v>94.86</v>
      </c>
      <c r="E384" s="162">
        <v>92.88</v>
      </c>
      <c r="F384" s="162">
        <v>90.23</v>
      </c>
      <c r="G384" s="162">
        <v>86.42</v>
      </c>
      <c r="H384" s="162">
        <v>83.34</v>
      </c>
    </row>
    <row r="385" spans="1:8">
      <c r="C385" t="s">
        <v>493</v>
      </c>
      <c r="D385" s="168">
        <v>92.75</v>
      </c>
      <c r="E385" s="168">
        <v>89.82</v>
      </c>
      <c r="F385" s="168">
        <v>87.04</v>
      </c>
      <c r="G385" s="168">
        <v>82.03</v>
      </c>
      <c r="H385" s="168">
        <v>80.510000000000005</v>
      </c>
    </row>
    <row r="386" spans="1:8">
      <c r="C386" t="s">
        <v>494</v>
      </c>
      <c r="D386" s="169">
        <v>74</v>
      </c>
      <c r="E386" s="169">
        <v>139</v>
      </c>
      <c r="F386" s="169">
        <v>979</v>
      </c>
      <c r="G386" s="169">
        <v>794</v>
      </c>
      <c r="H386" s="169">
        <v>386</v>
      </c>
    </row>
    <row r="387" spans="1:8">
      <c r="C387" t="s">
        <v>495</v>
      </c>
      <c r="D387" s="170">
        <v>91.91</v>
      </c>
      <c r="E387" s="170">
        <v>88.05</v>
      </c>
      <c r="F387" s="170">
        <v>86.33</v>
      </c>
      <c r="G387" s="170">
        <v>77.510000000000005</v>
      </c>
      <c r="H387" s="170">
        <v>73.2</v>
      </c>
    </row>
    <row r="388" spans="1:8">
      <c r="C388" t="s">
        <v>496</v>
      </c>
      <c r="D388" s="171">
        <v>65</v>
      </c>
      <c r="E388" s="171">
        <v>121</v>
      </c>
      <c r="F388" s="171">
        <v>895</v>
      </c>
      <c r="G388" s="171">
        <v>768</v>
      </c>
      <c r="H388" s="171">
        <v>265</v>
      </c>
    </row>
    <row r="389" spans="1:8" ht="90">
      <c r="C389" t="s">
        <v>179</v>
      </c>
      <c r="D389" s="176" t="s">
        <v>397</v>
      </c>
      <c r="E389" s="176" t="s">
        <v>398</v>
      </c>
      <c r="F389" s="176" t="s">
        <v>399</v>
      </c>
      <c r="G389" s="176" t="s">
        <v>400</v>
      </c>
      <c r="H389" s="176" t="s">
        <v>401</v>
      </c>
    </row>
    <row r="390" spans="1:8">
      <c r="C390" t="s">
        <v>497</v>
      </c>
      <c r="D390" s="168">
        <v>82.91</v>
      </c>
      <c r="E390" s="168">
        <v>82.91</v>
      </c>
      <c r="F390" s="168">
        <v>82.91</v>
      </c>
      <c r="G390" s="168">
        <v>82.91</v>
      </c>
      <c r="H390" s="168">
        <v>82.91</v>
      </c>
    </row>
    <row r="391" spans="1:8">
      <c r="C391" t="s">
        <v>498</v>
      </c>
      <c r="D391" s="174">
        <v>98.65</v>
      </c>
      <c r="E391" s="174">
        <v>94.24</v>
      </c>
      <c r="F391" s="174">
        <v>89.27</v>
      </c>
      <c r="G391" s="174">
        <v>85.34</v>
      </c>
      <c r="H391" s="174">
        <v>81.61</v>
      </c>
    </row>
    <row r="396" spans="1:8">
      <c r="A396" t="s">
        <v>176</v>
      </c>
    </row>
    <row r="410" spans="1:8" ht="102">
      <c r="A410" t="s">
        <v>474</v>
      </c>
      <c r="D410" s="177" t="s">
        <v>402</v>
      </c>
      <c r="E410" s="177" t="s">
        <v>403</v>
      </c>
      <c r="F410" s="177" t="s">
        <v>404</v>
      </c>
      <c r="G410" s="177" t="s">
        <v>405</v>
      </c>
      <c r="H410" s="177" t="s">
        <v>406</v>
      </c>
    </row>
    <row r="411" spans="1:8" ht="15.75">
      <c r="C411" s="159" t="s">
        <v>181</v>
      </c>
      <c r="D411" s="160">
        <v>78.73</v>
      </c>
      <c r="E411" s="160">
        <v>86.35</v>
      </c>
      <c r="F411" s="160">
        <v>87.52</v>
      </c>
      <c r="G411" s="160">
        <v>90.4</v>
      </c>
      <c r="H411" s="160">
        <v>79.88</v>
      </c>
    </row>
    <row r="412" spans="1:8" ht="15.75">
      <c r="C412" s="164" t="s">
        <v>182</v>
      </c>
      <c r="D412" s="160">
        <v>74.709999999999994</v>
      </c>
      <c r="E412" s="160">
        <v>79.209999999999994</v>
      </c>
      <c r="F412" s="160">
        <v>81.94</v>
      </c>
      <c r="G412" s="160">
        <v>82.09</v>
      </c>
      <c r="H412" s="160">
        <v>80.540000000000006</v>
      </c>
    </row>
    <row r="413" spans="1:8" ht="15.75">
      <c r="C413" s="165" t="s">
        <v>180</v>
      </c>
      <c r="D413" s="160">
        <v>69.97</v>
      </c>
      <c r="E413" s="160">
        <v>77.64</v>
      </c>
      <c r="F413" s="160">
        <v>79.180000000000007</v>
      </c>
      <c r="G413" s="160">
        <v>83.27</v>
      </c>
      <c r="H413" s="160">
        <v>72.260000000000005</v>
      </c>
    </row>
    <row r="414" spans="1:8" ht="15.75">
      <c r="C414" s="166" t="s">
        <v>196</v>
      </c>
      <c r="D414" s="160">
        <v>76.73</v>
      </c>
      <c r="E414" s="160">
        <v>80.61</v>
      </c>
      <c r="F414" s="160">
        <v>83.49</v>
      </c>
      <c r="G414" s="160">
        <v>80.66</v>
      </c>
      <c r="H414" s="160">
        <v>76.23</v>
      </c>
    </row>
    <row r="415" spans="1:8" ht="15.75">
      <c r="C415" s="167" t="s">
        <v>492</v>
      </c>
      <c r="D415" s="162">
        <v>79.400000000000006</v>
      </c>
      <c r="E415" s="162">
        <v>84.13</v>
      </c>
      <c r="F415" s="162">
        <v>86.8</v>
      </c>
      <c r="G415" s="162">
        <v>89.26</v>
      </c>
      <c r="H415" s="162">
        <v>80.28</v>
      </c>
    </row>
    <row r="416" spans="1:8">
      <c r="C416" t="s">
        <v>493</v>
      </c>
      <c r="D416" s="168">
        <v>75.88</v>
      </c>
      <c r="E416" s="168">
        <v>81.69</v>
      </c>
      <c r="F416" s="168">
        <v>83.78</v>
      </c>
      <c r="G416" s="168">
        <v>85.39</v>
      </c>
      <c r="H416" s="168">
        <v>77.95</v>
      </c>
    </row>
    <row r="417" spans="1:8">
      <c r="C417" t="s">
        <v>494</v>
      </c>
      <c r="D417" s="169">
        <v>426</v>
      </c>
      <c r="E417" s="169">
        <v>536</v>
      </c>
      <c r="F417" s="169">
        <v>877</v>
      </c>
      <c r="G417" s="169">
        <v>396</v>
      </c>
      <c r="H417" s="169">
        <v>42</v>
      </c>
    </row>
    <row r="418" spans="1:8">
      <c r="C418" t="s">
        <v>495</v>
      </c>
      <c r="D418" s="170">
        <v>71.02</v>
      </c>
      <c r="E418" s="170">
        <v>74.760000000000005</v>
      </c>
      <c r="F418" s="170">
        <v>80.2</v>
      </c>
      <c r="G418" s="170">
        <v>80.39</v>
      </c>
      <c r="H418" s="170" t="s">
        <v>215</v>
      </c>
    </row>
    <row r="419" spans="1:8">
      <c r="C419" t="s">
        <v>496</v>
      </c>
      <c r="D419" s="171">
        <v>519</v>
      </c>
      <c r="E419" s="171">
        <v>572</v>
      </c>
      <c r="F419" s="171">
        <v>937</v>
      </c>
      <c r="G419" s="171">
        <v>444</v>
      </c>
      <c r="H419" s="171" t="s">
        <v>213</v>
      </c>
    </row>
    <row r="420" spans="1:8" ht="78.75">
      <c r="C420" t="s">
        <v>179</v>
      </c>
      <c r="D420" s="176" t="s">
        <v>402</v>
      </c>
      <c r="E420" s="176" t="s">
        <v>403</v>
      </c>
      <c r="F420" s="176" t="s">
        <v>404</v>
      </c>
      <c r="G420" s="176" t="s">
        <v>405</v>
      </c>
      <c r="H420" s="176" t="s">
        <v>406</v>
      </c>
    </row>
    <row r="421" spans="1:8">
      <c r="C421" t="s">
        <v>497</v>
      </c>
      <c r="D421" s="168">
        <v>82.91</v>
      </c>
      <c r="E421" s="168">
        <v>82.91</v>
      </c>
      <c r="F421" s="168">
        <v>82.91</v>
      </c>
      <c r="G421" s="168">
        <v>82.91</v>
      </c>
      <c r="H421" s="168">
        <v>82.91</v>
      </c>
    </row>
    <row r="422" spans="1:8">
      <c r="C422" t="s">
        <v>498</v>
      </c>
      <c r="D422" s="174">
        <v>80</v>
      </c>
      <c r="E422" s="174">
        <v>81.459999999999994</v>
      </c>
      <c r="F422" s="174">
        <v>82.78</v>
      </c>
      <c r="G422" s="174">
        <v>82.83</v>
      </c>
      <c r="H422" s="174">
        <v>76.19</v>
      </c>
    </row>
    <row r="427" spans="1:8">
      <c r="A427" t="s">
        <v>150</v>
      </c>
    </row>
    <row r="487" spans="1:1">
      <c r="A487" t="s">
        <v>151</v>
      </c>
    </row>
    <row r="501" spans="1:9" ht="25.5">
      <c r="A501" t="s">
        <v>171</v>
      </c>
      <c r="D501" s="173" t="s">
        <v>336</v>
      </c>
      <c r="E501" s="173" t="s">
        <v>337</v>
      </c>
      <c r="F501" s="173" t="s">
        <v>338</v>
      </c>
      <c r="G501" s="173" t="s">
        <v>339</v>
      </c>
      <c r="H501" s="173" t="s">
        <v>340</v>
      </c>
      <c r="I501" s="173" t="s">
        <v>341</v>
      </c>
    </row>
    <row r="502" spans="1:9" ht="15.75">
      <c r="C502" s="159" t="s">
        <v>181</v>
      </c>
      <c r="D502" s="160">
        <v>91.75</v>
      </c>
      <c r="E502" s="160">
        <v>87.14</v>
      </c>
      <c r="F502" s="160">
        <v>84.41</v>
      </c>
      <c r="G502" s="160">
        <v>79.94</v>
      </c>
      <c r="H502" s="160">
        <v>87.42</v>
      </c>
      <c r="I502" s="160">
        <v>88.24</v>
      </c>
    </row>
    <row r="503" spans="1:9" ht="15.75">
      <c r="C503" s="164" t="s">
        <v>182</v>
      </c>
      <c r="D503" s="160">
        <v>87.01</v>
      </c>
      <c r="E503" s="160">
        <v>82.15</v>
      </c>
      <c r="F503" s="160">
        <v>78.97</v>
      </c>
      <c r="G503" s="160">
        <v>76.930000000000007</v>
      </c>
      <c r="H503" s="160">
        <v>83.93</v>
      </c>
      <c r="I503" s="160">
        <v>84.79</v>
      </c>
    </row>
    <row r="504" spans="1:9" ht="15.75">
      <c r="C504" s="165" t="s">
        <v>180</v>
      </c>
      <c r="D504" s="160">
        <v>87.17</v>
      </c>
      <c r="E504" s="160">
        <v>79.760000000000005</v>
      </c>
      <c r="F504" s="160">
        <v>74.66</v>
      </c>
      <c r="G504" s="160">
        <v>72.42</v>
      </c>
      <c r="H504" s="160">
        <v>77.63</v>
      </c>
      <c r="I504" s="160">
        <v>80.38</v>
      </c>
    </row>
    <row r="505" spans="1:9" ht="15.75">
      <c r="C505" s="166" t="s">
        <v>196</v>
      </c>
      <c r="D505" s="160">
        <v>86.67</v>
      </c>
      <c r="E505" s="160">
        <v>82.73</v>
      </c>
      <c r="F505" s="160">
        <v>79.88</v>
      </c>
      <c r="G505" s="160">
        <v>80.069999999999993</v>
      </c>
      <c r="H505" s="160">
        <v>86.61</v>
      </c>
      <c r="I505" s="160">
        <v>88.62</v>
      </c>
    </row>
    <row r="506" spans="1:9" ht="15.75">
      <c r="C506" s="167" t="s">
        <v>492</v>
      </c>
      <c r="D506" s="162">
        <v>91.77</v>
      </c>
      <c r="E506" s="162">
        <v>87.67</v>
      </c>
      <c r="F506" s="162">
        <v>83.75</v>
      </c>
      <c r="G506" s="162">
        <v>81.36</v>
      </c>
      <c r="H506" s="162">
        <v>88.32</v>
      </c>
      <c r="I506" s="162">
        <v>88.26</v>
      </c>
    </row>
    <row r="507" spans="1:9">
      <c r="C507" t="s">
        <v>493</v>
      </c>
      <c r="D507" s="168">
        <v>89.02</v>
      </c>
      <c r="E507" s="168">
        <v>83.93</v>
      </c>
      <c r="F507" s="168">
        <v>80.37</v>
      </c>
      <c r="G507" s="168">
        <v>77.959999999999994</v>
      </c>
      <c r="H507" s="168">
        <v>84.65</v>
      </c>
      <c r="I507" s="168">
        <v>85.91</v>
      </c>
    </row>
    <row r="508" spans="1:9">
      <c r="C508" t="s">
        <v>494</v>
      </c>
      <c r="D508" s="169">
        <v>425</v>
      </c>
      <c r="E508" s="169">
        <v>1125</v>
      </c>
      <c r="F508" s="169">
        <v>1198</v>
      </c>
      <c r="G508" s="169">
        <v>412</v>
      </c>
      <c r="H508" s="169">
        <v>791</v>
      </c>
      <c r="I508" s="169">
        <v>719</v>
      </c>
    </row>
    <row r="509" spans="1:9">
      <c r="C509" t="s">
        <v>495</v>
      </c>
      <c r="D509" s="170">
        <v>83.99</v>
      </c>
      <c r="E509" s="170">
        <v>78.19</v>
      </c>
      <c r="F509" s="170">
        <v>76.42</v>
      </c>
      <c r="G509" s="170">
        <v>76.36</v>
      </c>
      <c r="H509" s="170">
        <v>80.75</v>
      </c>
      <c r="I509" s="170">
        <v>84.02</v>
      </c>
    </row>
    <row r="510" spans="1:9">
      <c r="C510" t="s">
        <v>496</v>
      </c>
      <c r="D510" s="171">
        <v>305</v>
      </c>
      <c r="E510" s="171">
        <v>1135</v>
      </c>
      <c r="F510" s="171">
        <v>1202</v>
      </c>
      <c r="G510" s="171">
        <v>481</v>
      </c>
      <c r="H510" s="171">
        <v>715</v>
      </c>
      <c r="I510" s="171">
        <v>773</v>
      </c>
    </row>
    <row r="511" spans="1:9" ht="22.5">
      <c r="C511" t="s">
        <v>179</v>
      </c>
      <c r="D511" s="172" t="s">
        <v>336</v>
      </c>
      <c r="E511" s="172" t="s">
        <v>337</v>
      </c>
      <c r="F511" s="172" t="s">
        <v>338</v>
      </c>
      <c r="G511" s="172" t="s">
        <v>339</v>
      </c>
      <c r="H511" s="172" t="s">
        <v>340</v>
      </c>
      <c r="I511" s="172" t="s">
        <v>341</v>
      </c>
    </row>
    <row r="512" spans="1:9">
      <c r="C512" t="s">
        <v>497</v>
      </c>
      <c r="D512" s="168">
        <v>82.91</v>
      </c>
      <c r="E512" s="168">
        <v>82.91</v>
      </c>
      <c r="F512" s="168">
        <v>82.91</v>
      </c>
      <c r="G512" s="168">
        <v>82.91</v>
      </c>
      <c r="H512" s="168">
        <v>82.91</v>
      </c>
      <c r="I512" s="168">
        <v>82.91</v>
      </c>
    </row>
    <row r="513" spans="1:9">
      <c r="C513" t="s">
        <v>498</v>
      </c>
      <c r="D513" s="174">
        <v>90.59</v>
      </c>
      <c r="E513" s="174">
        <v>84.53</v>
      </c>
      <c r="F513" s="174">
        <v>80.75</v>
      </c>
      <c r="G513" s="174">
        <v>79.08</v>
      </c>
      <c r="H513" s="174">
        <v>86.71</v>
      </c>
      <c r="I513" s="174">
        <v>89.28</v>
      </c>
    </row>
    <row r="518" spans="1:9">
      <c r="A518" t="s">
        <v>152</v>
      </c>
    </row>
    <row r="548" spans="1:1">
      <c r="A548" t="s">
        <v>177</v>
      </c>
    </row>
    <row r="562" spans="1:10" ht="38.25">
      <c r="A562" t="s">
        <v>475</v>
      </c>
      <c r="D562" s="173" t="s">
        <v>407</v>
      </c>
      <c r="E562" s="173" t="s">
        <v>408</v>
      </c>
      <c r="F562" s="173" t="s">
        <v>409</v>
      </c>
      <c r="G562" s="173" t="s">
        <v>410</v>
      </c>
      <c r="H562" s="173" t="s">
        <v>411</v>
      </c>
      <c r="I562" s="173" t="s">
        <v>412</v>
      </c>
      <c r="J562" s="173" t="s">
        <v>413</v>
      </c>
    </row>
    <row r="563" spans="1:10" ht="15.75">
      <c r="C563" s="159" t="s">
        <v>181</v>
      </c>
      <c r="D563" s="160">
        <v>70.28</v>
      </c>
      <c r="E563" s="160">
        <v>93.52</v>
      </c>
      <c r="F563" s="160">
        <v>81.7</v>
      </c>
      <c r="G563" s="160">
        <v>85.8</v>
      </c>
      <c r="H563" s="160">
        <v>86.78</v>
      </c>
      <c r="I563" s="160">
        <v>83.81</v>
      </c>
      <c r="J563" s="160">
        <v>96.24</v>
      </c>
    </row>
    <row r="564" spans="1:10" ht="15.75">
      <c r="C564" s="164" t="s">
        <v>182</v>
      </c>
      <c r="D564" s="160">
        <v>62.23</v>
      </c>
      <c r="E564" s="160">
        <v>94.29</v>
      </c>
      <c r="F564" s="160">
        <v>80.44</v>
      </c>
      <c r="G564" s="160">
        <v>83.68</v>
      </c>
      <c r="H564" s="160">
        <v>81.459999999999994</v>
      </c>
      <c r="I564" s="160">
        <v>84.28</v>
      </c>
      <c r="J564" s="160">
        <v>91.48</v>
      </c>
    </row>
    <row r="565" spans="1:10" ht="15.75">
      <c r="C565" s="165" t="s">
        <v>180</v>
      </c>
      <c r="D565" s="160">
        <v>67.959999999999994</v>
      </c>
      <c r="E565" s="160">
        <v>91.07</v>
      </c>
      <c r="F565" s="160">
        <v>74.040000000000006</v>
      </c>
      <c r="G565" s="160">
        <v>74.45</v>
      </c>
      <c r="H565" s="160">
        <v>78.72</v>
      </c>
      <c r="I565" s="160">
        <v>76.58</v>
      </c>
      <c r="J565" s="160">
        <v>81.349999999999994</v>
      </c>
    </row>
    <row r="566" spans="1:10" ht="15.75">
      <c r="C566" s="166" t="s">
        <v>196</v>
      </c>
      <c r="D566" s="160">
        <v>72.989999999999995</v>
      </c>
      <c r="E566" s="160">
        <v>99.04</v>
      </c>
      <c r="F566" s="160">
        <v>80</v>
      </c>
      <c r="G566" s="160">
        <v>84.75</v>
      </c>
      <c r="H566" s="160">
        <v>83.95</v>
      </c>
      <c r="I566" s="160">
        <v>89.61</v>
      </c>
      <c r="J566" s="160">
        <v>93.45</v>
      </c>
    </row>
    <row r="567" spans="1:10" ht="15.75">
      <c r="C567" s="167" t="s">
        <v>492</v>
      </c>
      <c r="D567" s="162">
        <v>60.71</v>
      </c>
      <c r="E567" s="162">
        <v>98.57</v>
      </c>
      <c r="F567" s="162">
        <v>79.77</v>
      </c>
      <c r="G567" s="162">
        <v>87.66</v>
      </c>
      <c r="H567" s="162">
        <v>86.3</v>
      </c>
      <c r="I567" s="162">
        <v>90.11</v>
      </c>
      <c r="J567" s="162">
        <v>93.76</v>
      </c>
    </row>
    <row r="568" spans="1:10">
      <c r="C568" t="s">
        <v>493</v>
      </c>
      <c r="D568" s="168">
        <v>66.8</v>
      </c>
      <c r="E568" s="168">
        <v>94.93</v>
      </c>
      <c r="F568" s="168">
        <v>79.16</v>
      </c>
      <c r="G568" s="168">
        <v>83.16</v>
      </c>
      <c r="H568" s="168">
        <v>83.39</v>
      </c>
      <c r="I568" s="168">
        <v>84.44</v>
      </c>
      <c r="J568" s="168">
        <v>91.35</v>
      </c>
    </row>
    <row r="569" spans="1:10">
      <c r="C569" t="s">
        <v>494</v>
      </c>
      <c r="D569" s="169">
        <v>8</v>
      </c>
      <c r="E569" s="169">
        <v>14</v>
      </c>
      <c r="F569" s="169">
        <v>41</v>
      </c>
      <c r="G569" s="169">
        <v>199</v>
      </c>
      <c r="H569" s="169">
        <v>2612</v>
      </c>
      <c r="I569" s="169">
        <v>95</v>
      </c>
      <c r="J569" s="169">
        <v>21</v>
      </c>
    </row>
    <row r="570" spans="1:10">
      <c r="C570" t="s">
        <v>495</v>
      </c>
      <c r="D570" s="170">
        <v>71.709999999999994</v>
      </c>
      <c r="E570" s="170">
        <v>94.66</v>
      </c>
      <c r="F570" s="170">
        <v>78.58</v>
      </c>
      <c r="G570" s="170">
        <v>74.38</v>
      </c>
      <c r="H570" s="170">
        <v>80.41</v>
      </c>
      <c r="I570" s="170">
        <v>84.16</v>
      </c>
      <c r="J570" s="170" t="s">
        <v>215</v>
      </c>
    </row>
    <row r="571" spans="1:10">
      <c r="C571" t="s">
        <v>496</v>
      </c>
      <c r="D571" s="171">
        <v>22</v>
      </c>
      <c r="E571" s="171">
        <v>10</v>
      </c>
      <c r="F571" s="171">
        <v>47</v>
      </c>
      <c r="G571" s="171">
        <v>187</v>
      </c>
      <c r="H571" s="171">
        <v>2535</v>
      </c>
      <c r="I571" s="171">
        <v>89</v>
      </c>
      <c r="J571" s="171" t="s">
        <v>213</v>
      </c>
    </row>
    <row r="572" spans="1:10" ht="22.5">
      <c r="C572" t="s">
        <v>179</v>
      </c>
      <c r="D572" s="172" t="s">
        <v>407</v>
      </c>
      <c r="E572" s="172" t="s">
        <v>408</v>
      </c>
      <c r="F572" s="172" t="s">
        <v>409</v>
      </c>
      <c r="G572" s="172" t="s">
        <v>410</v>
      </c>
      <c r="H572" s="172" t="s">
        <v>411</v>
      </c>
      <c r="I572" s="172" t="s">
        <v>412</v>
      </c>
      <c r="J572" s="172" t="s">
        <v>413</v>
      </c>
    </row>
    <row r="573" spans="1:10">
      <c r="C573" t="s">
        <v>497</v>
      </c>
      <c r="D573" s="168">
        <v>82.91</v>
      </c>
      <c r="E573" s="168">
        <v>82.91</v>
      </c>
      <c r="F573" s="168">
        <v>82.91</v>
      </c>
      <c r="G573" s="168">
        <v>82.91</v>
      </c>
      <c r="H573" s="168">
        <v>82.91</v>
      </c>
      <c r="I573" s="168">
        <v>82.91</v>
      </c>
      <c r="J573" s="168">
        <v>82.91</v>
      </c>
    </row>
    <row r="574" spans="1:10">
      <c r="C574" t="s">
        <v>498</v>
      </c>
      <c r="D574" s="174">
        <v>75</v>
      </c>
      <c r="E574" s="174">
        <v>100</v>
      </c>
      <c r="F574" s="174">
        <v>75.61</v>
      </c>
      <c r="G574" s="174">
        <v>86.36</v>
      </c>
      <c r="H574" s="174">
        <v>83.41</v>
      </c>
      <c r="I574" s="174">
        <v>91.58</v>
      </c>
      <c r="J574" s="174">
        <v>100</v>
      </c>
    </row>
    <row r="579" spans="1:1">
      <c r="A579" t="s">
        <v>178</v>
      </c>
    </row>
    <row r="593" spans="1:10" ht="38.25">
      <c r="A593" t="s">
        <v>476</v>
      </c>
      <c r="D593" s="173" t="s">
        <v>342</v>
      </c>
      <c r="E593" s="173" t="s">
        <v>414</v>
      </c>
      <c r="F593" s="173" t="s">
        <v>415</v>
      </c>
      <c r="G593" s="173" t="s">
        <v>416</v>
      </c>
      <c r="H593" s="173" t="s">
        <v>417</v>
      </c>
      <c r="I593" s="173" t="s">
        <v>343</v>
      </c>
      <c r="J593" s="173" t="s">
        <v>418</v>
      </c>
    </row>
    <row r="594" spans="1:10" ht="15.75">
      <c r="C594" s="159" t="s">
        <v>181</v>
      </c>
      <c r="D594" s="160">
        <v>90.49</v>
      </c>
      <c r="E594" s="160">
        <v>78.42</v>
      </c>
      <c r="F594" s="160">
        <v>89.17</v>
      </c>
      <c r="G594" s="160">
        <v>84.63</v>
      </c>
      <c r="H594" s="160">
        <v>81.78</v>
      </c>
      <c r="I594" s="160" t="s">
        <v>215</v>
      </c>
      <c r="J594" s="160">
        <v>97.14</v>
      </c>
    </row>
    <row r="595" spans="1:10" ht="15.75">
      <c r="C595" s="164" t="s">
        <v>182</v>
      </c>
      <c r="D595" s="160">
        <v>90.16</v>
      </c>
      <c r="E595" s="160">
        <v>79.81</v>
      </c>
      <c r="F595" s="160">
        <v>87.3</v>
      </c>
      <c r="G595" s="160">
        <v>79.87</v>
      </c>
      <c r="H595" s="160">
        <v>83.85</v>
      </c>
      <c r="I595" s="160" t="s">
        <v>215</v>
      </c>
      <c r="J595" s="160">
        <v>95.38</v>
      </c>
    </row>
    <row r="596" spans="1:10" ht="15.75">
      <c r="C596" s="165" t="s">
        <v>180</v>
      </c>
      <c r="D596" s="160">
        <v>80.63</v>
      </c>
      <c r="E596" s="160">
        <v>70.56</v>
      </c>
      <c r="F596" s="160">
        <v>81.760000000000005</v>
      </c>
      <c r="G596" s="160">
        <v>76.849999999999994</v>
      </c>
      <c r="H596" s="160">
        <v>73.540000000000006</v>
      </c>
      <c r="I596" s="160" t="s">
        <v>215</v>
      </c>
      <c r="J596" s="160">
        <v>85</v>
      </c>
    </row>
    <row r="597" spans="1:10" ht="15.75">
      <c r="C597" s="166" t="s">
        <v>196</v>
      </c>
      <c r="D597" s="160">
        <v>88.73</v>
      </c>
      <c r="E597" s="160">
        <v>76.319999999999993</v>
      </c>
      <c r="F597" s="160">
        <v>90.11</v>
      </c>
      <c r="G597" s="160">
        <v>80.97</v>
      </c>
      <c r="H597" s="160">
        <v>81.84</v>
      </c>
      <c r="I597" s="160" t="s">
        <v>215</v>
      </c>
      <c r="J597" s="160">
        <v>96.25</v>
      </c>
    </row>
    <row r="598" spans="1:10" ht="15.75">
      <c r="C598" s="167" t="s">
        <v>492</v>
      </c>
      <c r="D598" s="162">
        <v>92.57</v>
      </c>
      <c r="E598" s="162">
        <v>79.37</v>
      </c>
      <c r="F598" s="162">
        <v>91.39</v>
      </c>
      <c r="G598" s="162">
        <v>85.14</v>
      </c>
      <c r="H598" s="162">
        <v>86.85</v>
      </c>
      <c r="I598" s="162" t="s">
        <v>215</v>
      </c>
      <c r="J598" s="162">
        <v>91</v>
      </c>
    </row>
    <row r="599" spans="1:10">
      <c r="C599" t="s">
        <v>493</v>
      </c>
      <c r="D599" s="168">
        <v>88.51</v>
      </c>
      <c r="E599" s="168">
        <v>77.03</v>
      </c>
      <c r="F599" s="168">
        <v>87.77</v>
      </c>
      <c r="G599" s="168">
        <v>81.510000000000005</v>
      </c>
      <c r="H599" s="168">
        <v>81.52</v>
      </c>
      <c r="I599" s="168" t="s">
        <v>215</v>
      </c>
      <c r="J599" s="168">
        <v>93.1</v>
      </c>
    </row>
    <row r="600" spans="1:10">
      <c r="C600" t="s">
        <v>494</v>
      </c>
      <c r="D600" s="169">
        <v>170</v>
      </c>
      <c r="E600" s="169">
        <v>102</v>
      </c>
      <c r="F600" s="169">
        <v>60</v>
      </c>
      <c r="G600" s="169">
        <v>1478</v>
      </c>
      <c r="H600" s="169">
        <v>73</v>
      </c>
      <c r="I600" s="169">
        <v>3</v>
      </c>
      <c r="J600" s="169">
        <v>10</v>
      </c>
    </row>
    <row r="601" spans="1:10">
      <c r="C601" t="s">
        <v>495</v>
      </c>
      <c r="D601" s="170">
        <v>87.49</v>
      </c>
      <c r="E601" s="170">
        <v>80.099999999999994</v>
      </c>
      <c r="F601" s="170">
        <v>77.22</v>
      </c>
      <c r="G601" s="170">
        <v>75.45</v>
      </c>
      <c r="H601" s="170">
        <v>82.2</v>
      </c>
      <c r="I601" s="170" t="s">
        <v>215</v>
      </c>
      <c r="J601" s="170">
        <v>91.82</v>
      </c>
    </row>
    <row r="602" spans="1:10">
      <c r="C602" t="s">
        <v>496</v>
      </c>
      <c r="D602" s="171">
        <v>159</v>
      </c>
      <c r="E602" s="171">
        <v>99</v>
      </c>
      <c r="F602" s="171">
        <v>55</v>
      </c>
      <c r="G602" s="171">
        <v>1432</v>
      </c>
      <c r="H602" s="171">
        <v>77</v>
      </c>
      <c r="I602" s="171">
        <v>5</v>
      </c>
      <c r="J602" s="171">
        <v>11</v>
      </c>
    </row>
    <row r="603" spans="1:10" ht="33.75">
      <c r="C603" t="s">
        <v>179</v>
      </c>
      <c r="D603" s="172" t="s">
        <v>342</v>
      </c>
      <c r="E603" s="172" t="s">
        <v>414</v>
      </c>
      <c r="F603" s="172" t="s">
        <v>415</v>
      </c>
      <c r="G603" s="172" t="s">
        <v>416</v>
      </c>
      <c r="H603" s="172" t="s">
        <v>417</v>
      </c>
      <c r="I603" s="172" t="s">
        <v>343</v>
      </c>
      <c r="J603" s="172" t="s">
        <v>418</v>
      </c>
    </row>
    <row r="604" spans="1:10">
      <c r="C604" t="s">
        <v>497</v>
      </c>
      <c r="D604" s="168">
        <v>82.91</v>
      </c>
      <c r="E604" s="168">
        <v>82.91</v>
      </c>
      <c r="F604" s="168">
        <v>82.91</v>
      </c>
      <c r="G604" s="168">
        <v>82.91</v>
      </c>
      <c r="H604" s="168">
        <v>82.91</v>
      </c>
      <c r="I604" s="168">
        <v>82.91</v>
      </c>
      <c r="J604" s="168">
        <v>82.91</v>
      </c>
    </row>
    <row r="605" spans="1:10">
      <c r="C605" t="s">
        <v>498</v>
      </c>
      <c r="D605" s="174">
        <v>91.12</v>
      </c>
      <c r="E605" s="174">
        <v>81.37</v>
      </c>
      <c r="F605" s="174">
        <v>91.53</v>
      </c>
      <c r="G605" s="174">
        <v>83.23</v>
      </c>
      <c r="H605" s="174">
        <v>87.67</v>
      </c>
      <c r="I605" s="174" t="s">
        <v>215</v>
      </c>
      <c r="J605" s="174">
        <v>100</v>
      </c>
    </row>
    <row r="610" spans="1:1">
      <c r="A610" t="s">
        <v>153</v>
      </c>
    </row>
    <row r="670" spans="1:1">
      <c r="A670" t="s">
        <v>154</v>
      </c>
    </row>
    <row r="684" spans="1:7">
      <c r="A684" t="s">
        <v>172</v>
      </c>
      <c r="D684" s="173" t="s">
        <v>419</v>
      </c>
      <c r="E684" s="173" t="s">
        <v>420</v>
      </c>
      <c r="F684" s="173" t="s">
        <v>421</v>
      </c>
      <c r="G684" s="173" t="s">
        <v>422</v>
      </c>
    </row>
    <row r="685" spans="1:7" ht="15.75">
      <c r="C685" s="159" t="s">
        <v>181</v>
      </c>
      <c r="D685" s="160">
        <v>92.06</v>
      </c>
      <c r="E685" s="160">
        <v>82.99</v>
      </c>
      <c r="F685" s="160">
        <v>73.010000000000005</v>
      </c>
      <c r="G685" s="160">
        <v>58.22</v>
      </c>
    </row>
    <row r="686" spans="1:7" ht="15.75">
      <c r="C686" s="164" t="s">
        <v>182</v>
      </c>
      <c r="D686" s="160">
        <v>87.65</v>
      </c>
      <c r="E686" s="160">
        <v>78.34</v>
      </c>
      <c r="F686" s="160">
        <v>69.09</v>
      </c>
      <c r="G686" s="160">
        <v>54.71</v>
      </c>
    </row>
    <row r="687" spans="1:7" ht="15.75">
      <c r="C687" s="165" t="s">
        <v>180</v>
      </c>
      <c r="D687" s="160">
        <v>83.2</v>
      </c>
      <c r="E687" s="160">
        <v>74.31</v>
      </c>
      <c r="F687" s="160">
        <v>66.7</v>
      </c>
      <c r="G687" s="160">
        <v>56.94</v>
      </c>
    </row>
    <row r="688" spans="1:7" ht="15.75">
      <c r="C688" s="166" t="s">
        <v>196</v>
      </c>
      <c r="D688" s="160">
        <v>87.6</v>
      </c>
      <c r="E688" s="160">
        <v>81.8</v>
      </c>
      <c r="F688" s="160">
        <v>71.7</v>
      </c>
      <c r="G688" s="160">
        <v>66.19</v>
      </c>
    </row>
    <row r="689" spans="1:7" ht="15.75">
      <c r="C689" s="167" t="s">
        <v>492</v>
      </c>
      <c r="D689" s="162">
        <v>90.98</v>
      </c>
      <c r="E689" s="162">
        <v>84.03</v>
      </c>
      <c r="F689" s="162">
        <v>75.88</v>
      </c>
      <c r="G689" s="162">
        <v>65.92</v>
      </c>
    </row>
    <row r="690" spans="1:7">
      <c r="C690" t="s">
        <v>493</v>
      </c>
      <c r="D690" s="168">
        <v>88.39</v>
      </c>
      <c r="E690" s="168">
        <v>80.150000000000006</v>
      </c>
      <c r="F690" s="168">
        <v>71.099999999999994</v>
      </c>
      <c r="G690" s="168">
        <v>59.77</v>
      </c>
    </row>
    <row r="691" spans="1:7">
      <c r="C691" t="s">
        <v>494</v>
      </c>
      <c r="D691" s="169">
        <v>2444</v>
      </c>
      <c r="E691" s="169">
        <v>1088</v>
      </c>
      <c r="F691" s="169">
        <v>501</v>
      </c>
      <c r="G691" s="169">
        <v>116</v>
      </c>
    </row>
    <row r="692" spans="1:7">
      <c r="C692" t="s">
        <v>495</v>
      </c>
      <c r="D692" s="170">
        <v>84.86</v>
      </c>
      <c r="E692" s="170">
        <v>74.510000000000005</v>
      </c>
      <c r="F692" s="170">
        <v>66.599999999999994</v>
      </c>
      <c r="G692" s="170">
        <v>55.18</v>
      </c>
    </row>
    <row r="693" spans="1:7">
      <c r="C693" t="s">
        <v>496</v>
      </c>
      <c r="D693" s="171">
        <v>2773</v>
      </c>
      <c r="E693" s="171">
        <v>1087</v>
      </c>
      <c r="F693" s="171">
        <v>595</v>
      </c>
      <c r="G693" s="171">
        <v>110</v>
      </c>
    </row>
    <row r="694" spans="1:7">
      <c r="C694" t="s">
        <v>179</v>
      </c>
      <c r="D694" s="172" t="s">
        <v>419</v>
      </c>
      <c r="E694" s="172" t="s">
        <v>420</v>
      </c>
      <c r="F694" s="172" t="s">
        <v>421</v>
      </c>
      <c r="G694" s="172" t="s">
        <v>422</v>
      </c>
    </row>
    <row r="695" spans="1:7">
      <c r="C695" t="s">
        <v>497</v>
      </c>
      <c r="D695" s="168">
        <v>82.91</v>
      </c>
      <c r="E695" s="168">
        <v>82.91</v>
      </c>
      <c r="F695" s="168">
        <v>82.91</v>
      </c>
      <c r="G695" s="168">
        <v>82.91</v>
      </c>
    </row>
    <row r="696" spans="1:7">
      <c r="C696" t="s">
        <v>498</v>
      </c>
      <c r="D696" s="174">
        <v>89.51</v>
      </c>
      <c r="E696" s="174">
        <v>82.26</v>
      </c>
      <c r="F696" s="174">
        <v>70.599999999999994</v>
      </c>
      <c r="G696" s="174">
        <v>68.099999999999994</v>
      </c>
    </row>
    <row r="701" spans="1:7">
      <c r="A701" t="s">
        <v>155</v>
      </c>
    </row>
    <row r="761" spans="1:1">
      <c r="A761" t="s">
        <v>156</v>
      </c>
    </row>
    <row r="775" spans="1:8" ht="89.25">
      <c r="A775" t="s">
        <v>173</v>
      </c>
      <c r="D775" s="173" t="s">
        <v>207</v>
      </c>
      <c r="E775" s="173" t="s">
        <v>208</v>
      </c>
      <c r="F775" s="173" t="s">
        <v>209</v>
      </c>
      <c r="G775" s="173" t="s">
        <v>210</v>
      </c>
      <c r="H775" s="173" t="s">
        <v>211</v>
      </c>
    </row>
    <row r="776" spans="1:8" ht="15.75">
      <c r="C776" s="159" t="s">
        <v>181</v>
      </c>
      <c r="D776" s="160">
        <v>88.46</v>
      </c>
      <c r="E776" s="160">
        <v>81.81</v>
      </c>
      <c r="F776" s="160">
        <v>69.47</v>
      </c>
      <c r="G776" s="160">
        <v>90.75</v>
      </c>
      <c r="H776" s="160">
        <v>71.900000000000006</v>
      </c>
    </row>
    <row r="777" spans="1:8" ht="15.75">
      <c r="C777" s="164" t="s">
        <v>182</v>
      </c>
      <c r="D777" s="160">
        <v>84.45</v>
      </c>
      <c r="E777" s="160">
        <v>75.67</v>
      </c>
      <c r="F777" s="160">
        <v>62.34</v>
      </c>
      <c r="G777" s="160">
        <v>87.24</v>
      </c>
      <c r="H777" s="160">
        <v>66.099999999999994</v>
      </c>
    </row>
    <row r="778" spans="1:8" ht="15.75">
      <c r="C778" s="165" t="s">
        <v>180</v>
      </c>
      <c r="D778" s="160">
        <v>79.25</v>
      </c>
      <c r="E778" s="160">
        <v>73.47</v>
      </c>
      <c r="F778" s="160">
        <v>59.43</v>
      </c>
      <c r="G778" s="160">
        <v>82.97</v>
      </c>
      <c r="H778" s="160">
        <v>62.41</v>
      </c>
    </row>
    <row r="779" spans="1:8" ht="15.75">
      <c r="C779" s="166" t="s">
        <v>196</v>
      </c>
      <c r="D779" s="160">
        <v>84.85</v>
      </c>
      <c r="E779" s="160">
        <v>75.930000000000007</v>
      </c>
      <c r="F779" s="160">
        <v>67.13</v>
      </c>
      <c r="G779" s="160">
        <v>89.76</v>
      </c>
      <c r="H779" s="160">
        <v>66.989999999999995</v>
      </c>
    </row>
    <row r="780" spans="1:8" ht="15.75">
      <c r="C780" s="167" t="s">
        <v>492</v>
      </c>
      <c r="D780" s="162">
        <v>88.44</v>
      </c>
      <c r="E780" s="162">
        <v>81.05</v>
      </c>
      <c r="F780" s="162">
        <v>68.94</v>
      </c>
      <c r="G780" s="162">
        <v>91.63</v>
      </c>
      <c r="H780" s="162">
        <v>70.739999999999995</v>
      </c>
    </row>
    <row r="781" spans="1:8">
      <c r="C781" t="s">
        <v>493</v>
      </c>
      <c r="D781" s="168">
        <v>85.13</v>
      </c>
      <c r="E781" s="168">
        <v>77.69</v>
      </c>
      <c r="F781" s="168">
        <v>65.31</v>
      </c>
      <c r="G781" s="168">
        <v>88.38</v>
      </c>
      <c r="H781" s="168">
        <v>67.58</v>
      </c>
    </row>
    <row r="782" spans="1:8">
      <c r="C782" t="s">
        <v>494</v>
      </c>
      <c r="D782" s="169">
        <v>680</v>
      </c>
      <c r="E782" s="169">
        <v>940</v>
      </c>
      <c r="F782" s="169">
        <v>101</v>
      </c>
      <c r="G782" s="169">
        <v>1993</v>
      </c>
      <c r="H782" s="169">
        <v>218</v>
      </c>
    </row>
    <row r="783" spans="1:8">
      <c r="C783" t="s">
        <v>495</v>
      </c>
      <c r="D783" s="170">
        <v>80.739999999999995</v>
      </c>
      <c r="E783" s="170">
        <v>74.11</v>
      </c>
      <c r="F783" s="170">
        <v>60.51</v>
      </c>
      <c r="G783" s="170">
        <v>85.59</v>
      </c>
      <c r="H783" s="170">
        <v>59.82</v>
      </c>
    </row>
    <row r="784" spans="1:8">
      <c r="C784" t="s">
        <v>496</v>
      </c>
      <c r="D784" s="171">
        <v>764</v>
      </c>
      <c r="E784" s="171">
        <v>1235</v>
      </c>
      <c r="F784" s="171">
        <v>132</v>
      </c>
      <c r="G784" s="171">
        <v>2149</v>
      </c>
      <c r="H784" s="171">
        <v>297</v>
      </c>
    </row>
    <row r="785" spans="1:8" ht="45">
      <c r="C785" t="s">
        <v>179</v>
      </c>
      <c r="D785" s="172" t="s">
        <v>207</v>
      </c>
      <c r="E785" s="172" t="s">
        <v>208</v>
      </c>
      <c r="F785" s="172" t="s">
        <v>209</v>
      </c>
      <c r="G785" s="172" t="s">
        <v>210</v>
      </c>
      <c r="H785" s="172" t="s">
        <v>211</v>
      </c>
    </row>
    <row r="786" spans="1:8">
      <c r="C786" t="s">
        <v>497</v>
      </c>
      <c r="D786" s="168">
        <v>82.91</v>
      </c>
      <c r="E786" s="168">
        <v>82.91</v>
      </c>
      <c r="F786" s="168">
        <v>82.91</v>
      </c>
      <c r="G786" s="168">
        <v>82.91</v>
      </c>
      <c r="H786" s="168">
        <v>82.91</v>
      </c>
    </row>
    <row r="787" spans="1:8">
      <c r="C787" t="s">
        <v>498</v>
      </c>
      <c r="D787" s="174">
        <v>87.3</v>
      </c>
      <c r="E787" s="174">
        <v>77.290000000000006</v>
      </c>
      <c r="F787" s="174">
        <v>65.349999999999994</v>
      </c>
      <c r="G787" s="174">
        <v>91.62</v>
      </c>
      <c r="H787" s="174">
        <v>61.47</v>
      </c>
    </row>
    <row r="792" spans="1:8">
      <c r="A792" t="s">
        <v>157</v>
      </c>
    </row>
    <row r="852" spans="1:1">
      <c r="A852" t="s">
        <v>158</v>
      </c>
    </row>
    <row r="866" spans="1:7">
      <c r="A866" t="s">
        <v>174</v>
      </c>
      <c r="D866" s="173" t="s">
        <v>423</v>
      </c>
      <c r="E866" s="173" t="s">
        <v>420</v>
      </c>
      <c r="F866" s="173" t="s">
        <v>421</v>
      </c>
      <c r="G866" s="173" t="s">
        <v>422</v>
      </c>
    </row>
    <row r="867" spans="1:7" ht="15.75">
      <c r="C867" s="159" t="s">
        <v>181</v>
      </c>
      <c r="D867" s="160">
        <v>93.66</v>
      </c>
      <c r="E867" s="160">
        <v>88.03</v>
      </c>
      <c r="F867" s="160">
        <v>82.62</v>
      </c>
      <c r="G867" s="160">
        <v>65.010000000000005</v>
      </c>
    </row>
    <row r="868" spans="1:7" ht="15.75">
      <c r="C868" s="164" t="s">
        <v>182</v>
      </c>
      <c r="D868" s="160">
        <v>89.83</v>
      </c>
      <c r="E868" s="160">
        <v>83.54</v>
      </c>
      <c r="F868" s="160">
        <v>77.73</v>
      </c>
      <c r="G868" s="160">
        <v>61.02</v>
      </c>
    </row>
    <row r="869" spans="1:7" ht="15.75">
      <c r="C869" s="165" t="s">
        <v>180</v>
      </c>
      <c r="D869" s="160">
        <v>85.29</v>
      </c>
      <c r="E869" s="160">
        <v>79.36</v>
      </c>
      <c r="F869" s="160">
        <v>73.209999999999994</v>
      </c>
      <c r="G869" s="160">
        <v>61.49</v>
      </c>
    </row>
    <row r="870" spans="1:7" ht="15.75">
      <c r="C870" s="166" t="s">
        <v>196</v>
      </c>
      <c r="D870" s="160">
        <v>89.45</v>
      </c>
      <c r="E870" s="160">
        <v>84.49</v>
      </c>
      <c r="F870" s="160">
        <v>80.319999999999993</v>
      </c>
      <c r="G870" s="160">
        <v>67.36</v>
      </c>
    </row>
    <row r="871" spans="1:7" ht="15.75">
      <c r="C871" s="167" t="s">
        <v>492</v>
      </c>
      <c r="D871" s="162">
        <v>93.27</v>
      </c>
      <c r="E871" s="162">
        <v>88.22</v>
      </c>
      <c r="F871" s="162">
        <v>84</v>
      </c>
      <c r="G871" s="162">
        <v>70.72</v>
      </c>
    </row>
    <row r="872" spans="1:7">
      <c r="C872" t="s">
        <v>493</v>
      </c>
      <c r="D872" s="168">
        <v>90.42</v>
      </c>
      <c r="E872" s="168">
        <v>84.77</v>
      </c>
      <c r="F872" s="168">
        <v>79.48</v>
      </c>
      <c r="G872" s="168">
        <v>64.67</v>
      </c>
    </row>
    <row r="873" spans="1:7">
      <c r="C873" t="s">
        <v>494</v>
      </c>
      <c r="D873" s="169">
        <v>789</v>
      </c>
      <c r="E873" s="169">
        <v>283</v>
      </c>
      <c r="F873" s="169">
        <v>450</v>
      </c>
      <c r="G873" s="169">
        <v>317</v>
      </c>
    </row>
    <row r="874" spans="1:7">
      <c r="C874" t="s">
        <v>495</v>
      </c>
      <c r="D874" s="170" t="s">
        <v>215</v>
      </c>
      <c r="E874" s="170" t="s">
        <v>215</v>
      </c>
      <c r="F874" s="170" t="s">
        <v>215</v>
      </c>
      <c r="G874" s="170" t="s">
        <v>215</v>
      </c>
    </row>
    <row r="875" spans="1:7">
      <c r="C875" t="s">
        <v>496</v>
      </c>
      <c r="D875" s="171" t="s">
        <v>213</v>
      </c>
      <c r="E875" s="171" t="s">
        <v>213</v>
      </c>
      <c r="F875" s="171" t="s">
        <v>213</v>
      </c>
      <c r="G875" s="171" t="s">
        <v>213</v>
      </c>
    </row>
    <row r="876" spans="1:7">
      <c r="C876" t="s">
        <v>179</v>
      </c>
      <c r="D876" s="172" t="s">
        <v>423</v>
      </c>
      <c r="E876" s="172" t="s">
        <v>420</v>
      </c>
      <c r="F876" s="172" t="s">
        <v>421</v>
      </c>
      <c r="G876" s="172" t="s">
        <v>422</v>
      </c>
    </row>
    <row r="877" spans="1:7">
      <c r="C877" t="s">
        <v>497</v>
      </c>
      <c r="D877" s="168">
        <v>82.91</v>
      </c>
      <c r="E877" s="168">
        <v>82.91</v>
      </c>
      <c r="F877" s="168">
        <v>82.91</v>
      </c>
      <c r="G877" s="168">
        <v>82.91</v>
      </c>
    </row>
    <row r="878" spans="1:7">
      <c r="C878" t="s">
        <v>498</v>
      </c>
      <c r="D878" s="174">
        <v>93.54</v>
      </c>
      <c r="E878" s="174">
        <v>87.99</v>
      </c>
      <c r="F878" s="174">
        <v>81.739999999999995</v>
      </c>
      <c r="G878" s="174">
        <v>63.29</v>
      </c>
    </row>
    <row r="883" spans="1:1">
      <c r="A883" t="s">
        <v>478</v>
      </c>
    </row>
  </sheetData>
  <conditionalFormatting sqref="D76:D8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76:E8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76:F8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76:G8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37:H14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228:D23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228:E23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319:D32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319:H32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80:H38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411:H41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502:I50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63:J56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94:H598 J594:J59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85:G68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76:H78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67:G87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8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499</v>
      </c>
    </row>
    <row r="160" spans="1:1">
      <c r="A160" t="s">
        <v>500</v>
      </c>
    </row>
    <row r="187" spans="1:1">
      <c r="A187" t="s">
        <v>501</v>
      </c>
    </row>
    <row r="213" spans="1:1">
      <c r="A213" t="s">
        <v>502</v>
      </c>
    </row>
    <row r="240" spans="1:1">
      <c r="A240" t="s">
        <v>503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76" t="s">
        <v>12</v>
      </c>
      <c r="E268" s="274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76"/>
      <c r="E269" s="275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76"/>
      <c r="E270" s="274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77"/>
      <c r="E271" s="275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76" t="s">
        <v>13</v>
      </c>
      <c r="E272" s="274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76"/>
      <c r="E273" s="274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76"/>
      <c r="E274" s="275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76"/>
      <c r="E275" s="274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76"/>
      <c r="E276" s="275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77"/>
      <c r="E277" s="179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76" t="s">
        <v>14</v>
      </c>
      <c r="E278" s="274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76"/>
      <c r="E279" s="274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76"/>
      <c r="E280" s="275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77"/>
      <c r="E281" s="179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64" t="s">
        <v>15</v>
      </c>
      <c r="E294" s="278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65"/>
      <c r="E295" s="263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65"/>
      <c r="E296" s="262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66"/>
      <c r="E297" s="263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64" t="s">
        <v>16</v>
      </c>
      <c r="E298" s="262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66"/>
      <c r="E299" s="263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64" t="s">
        <v>17</v>
      </c>
      <c r="E300" s="262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65"/>
      <c r="E301" s="262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65"/>
      <c r="E302" s="263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65"/>
      <c r="E303" s="262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65"/>
      <c r="E304" s="262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65"/>
      <c r="E305" s="262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66"/>
      <c r="E306" s="263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67" t="s">
        <v>18</v>
      </c>
      <c r="E321" s="269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67"/>
      <c r="E322" s="254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67"/>
      <c r="E323" s="253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68"/>
      <c r="E324" s="270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71" t="s">
        <v>19</v>
      </c>
      <c r="E325" s="271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72"/>
      <c r="E326" s="272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73"/>
      <c r="E327" s="273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9" t="s">
        <v>20</v>
      </c>
      <c r="E328" s="253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67"/>
      <c r="E329" s="254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67"/>
      <c r="E330" s="254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67"/>
      <c r="E331" s="254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68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255" t="s">
        <v>21</v>
      </c>
      <c r="E348" s="256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57"/>
      <c r="E349" s="258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55" t="s">
        <v>22</v>
      </c>
      <c r="E350" s="256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57"/>
      <c r="E351" s="258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55" t="s">
        <v>23</v>
      </c>
      <c r="E352" s="256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60"/>
      <c r="E353" s="261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60"/>
      <c r="E354" s="261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57"/>
      <c r="E355" s="258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239" t="s">
        <v>24</v>
      </c>
      <c r="E374" s="239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39"/>
      <c r="E375" s="239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40"/>
      <c r="E376" s="240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80" t="s">
        <v>25</v>
      </c>
      <c r="E377" s="232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81"/>
      <c r="E378" s="233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81"/>
      <c r="E379" s="232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82"/>
      <c r="E380" s="234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38" t="s">
        <v>26</v>
      </c>
      <c r="E381" s="238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39"/>
      <c r="E382" s="239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40"/>
      <c r="E383" s="240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21" ht="30" customHeight="1" thickBot="1">
      <c r="A400" t="s">
        <v>126</v>
      </c>
      <c r="M400" s="374" t="s">
        <v>179</v>
      </c>
      <c r="N400" s="374"/>
      <c r="O400" s="189" t="s">
        <v>242</v>
      </c>
      <c r="P400" s="190">
        <v>2016</v>
      </c>
      <c r="Q400" s="190">
        <v>2015</v>
      </c>
      <c r="R400" s="190" t="s">
        <v>360</v>
      </c>
      <c r="S400" s="190" t="s">
        <v>243</v>
      </c>
      <c r="T400" s="190" t="s">
        <v>244</v>
      </c>
      <c r="U400" s="190" t="s">
        <v>361</v>
      </c>
    </row>
    <row r="401" spans="1:21" ht="20.100000000000001" customHeight="1">
      <c r="A401" t="s">
        <v>100</v>
      </c>
      <c r="M401" s="359" t="s">
        <v>34</v>
      </c>
      <c r="N401" s="356">
        <v>86</v>
      </c>
      <c r="O401" s="180" t="s">
        <v>12</v>
      </c>
      <c r="P401" s="178">
        <v>87</v>
      </c>
      <c r="Q401" s="178">
        <v>84</v>
      </c>
      <c r="R401" s="178">
        <v>89</v>
      </c>
      <c r="S401" s="178">
        <v>78</v>
      </c>
      <c r="T401" s="178">
        <v>-2</v>
      </c>
      <c r="U401" s="178">
        <v>9</v>
      </c>
    </row>
    <row r="402" spans="1:21" ht="20.100000000000001" customHeight="1">
      <c r="M402" s="360"/>
      <c r="N402" s="357"/>
      <c r="O402" s="180" t="s">
        <v>13</v>
      </c>
      <c r="P402" s="178">
        <v>86</v>
      </c>
      <c r="Q402" s="178">
        <v>82</v>
      </c>
      <c r="R402" s="178">
        <v>89</v>
      </c>
      <c r="S402" s="178">
        <v>80</v>
      </c>
      <c r="T402" s="178">
        <v>-3</v>
      </c>
      <c r="U402" s="178">
        <v>6</v>
      </c>
    </row>
    <row r="403" spans="1:21" ht="20.100000000000001" customHeight="1" thickBot="1">
      <c r="M403" s="361"/>
      <c r="N403" s="358"/>
      <c r="O403" s="187" t="s">
        <v>14</v>
      </c>
      <c r="P403" s="183">
        <v>86</v>
      </c>
      <c r="Q403" s="183">
        <v>82</v>
      </c>
      <c r="R403" s="183">
        <v>90</v>
      </c>
      <c r="S403" s="183">
        <v>79</v>
      </c>
      <c r="T403" s="183">
        <v>-4</v>
      </c>
      <c r="U403" s="183">
        <v>7</v>
      </c>
    </row>
    <row r="404" spans="1:21" ht="20.100000000000001" customHeight="1">
      <c r="M404" s="365" t="s">
        <v>41</v>
      </c>
      <c r="N404" s="362">
        <v>82</v>
      </c>
      <c r="O404" s="191" t="s">
        <v>15</v>
      </c>
      <c r="P404" s="192">
        <v>82</v>
      </c>
      <c r="Q404" s="192">
        <v>79</v>
      </c>
      <c r="R404" s="192">
        <v>89</v>
      </c>
      <c r="S404" s="192">
        <v>77</v>
      </c>
      <c r="T404" s="192">
        <v>-7</v>
      </c>
      <c r="U404" s="192">
        <v>5</v>
      </c>
    </row>
    <row r="405" spans="1:21" ht="20.100000000000001" customHeight="1">
      <c r="M405" s="366"/>
      <c r="N405" s="363"/>
      <c r="O405" s="191" t="s">
        <v>16</v>
      </c>
      <c r="P405" s="192">
        <v>81</v>
      </c>
      <c r="Q405" s="192">
        <v>77</v>
      </c>
      <c r="R405" s="192">
        <v>87</v>
      </c>
      <c r="S405" s="192">
        <v>73</v>
      </c>
      <c r="T405" s="192">
        <v>-6</v>
      </c>
      <c r="U405" s="192">
        <v>8</v>
      </c>
    </row>
    <row r="406" spans="1:21" ht="20.100000000000001" customHeight="1" thickBot="1">
      <c r="M406" s="367"/>
      <c r="N406" s="364"/>
      <c r="O406" s="193" t="s">
        <v>17</v>
      </c>
      <c r="P406" s="194">
        <v>81</v>
      </c>
      <c r="Q406" s="194">
        <v>77</v>
      </c>
      <c r="R406" s="194">
        <v>89</v>
      </c>
      <c r="S406" s="194">
        <v>78</v>
      </c>
      <c r="T406" s="194">
        <v>-8</v>
      </c>
      <c r="U406" s="194">
        <v>3</v>
      </c>
    </row>
    <row r="407" spans="1:21" ht="20.100000000000001" customHeight="1">
      <c r="M407" s="371" t="s">
        <v>48</v>
      </c>
      <c r="N407" s="368">
        <v>78</v>
      </c>
      <c r="O407" s="181" t="s">
        <v>18</v>
      </c>
      <c r="P407" s="178">
        <v>69</v>
      </c>
      <c r="Q407" s="178">
        <v>63</v>
      </c>
      <c r="R407" s="178">
        <v>77</v>
      </c>
      <c r="S407" s="178">
        <v>65</v>
      </c>
      <c r="T407" s="178">
        <v>-8</v>
      </c>
      <c r="U407" s="178">
        <v>4</v>
      </c>
    </row>
    <row r="408" spans="1:21" ht="20.100000000000001" customHeight="1">
      <c r="M408" s="372"/>
      <c r="N408" s="369"/>
      <c r="O408" s="181" t="s">
        <v>19</v>
      </c>
      <c r="P408" s="178">
        <v>68</v>
      </c>
      <c r="Q408" s="178">
        <v>62</v>
      </c>
      <c r="R408" s="178">
        <v>78</v>
      </c>
      <c r="S408" s="178">
        <v>64</v>
      </c>
      <c r="T408" s="178">
        <v>-10</v>
      </c>
      <c r="U408" s="178">
        <v>4</v>
      </c>
    </row>
    <row r="409" spans="1:21" ht="20.100000000000001" customHeight="1" thickBot="1">
      <c r="M409" s="373"/>
      <c r="N409" s="370"/>
      <c r="O409" s="188" t="s">
        <v>20</v>
      </c>
      <c r="P409" s="184">
        <v>91</v>
      </c>
      <c r="Q409" s="184">
        <v>89</v>
      </c>
      <c r="R409" s="184">
        <v>96</v>
      </c>
      <c r="S409" s="184">
        <v>91</v>
      </c>
      <c r="T409" s="184">
        <v>-5</v>
      </c>
      <c r="U409" s="184">
        <v>0</v>
      </c>
    </row>
    <row r="410" spans="1:21" ht="20.100000000000001" customHeight="1">
      <c r="M410" s="347" t="s">
        <v>55</v>
      </c>
      <c r="N410" s="344">
        <v>83</v>
      </c>
      <c r="O410" s="195" t="s">
        <v>21</v>
      </c>
      <c r="P410" s="192">
        <v>81</v>
      </c>
      <c r="Q410" s="192">
        <v>76</v>
      </c>
      <c r="R410" s="192">
        <v>88</v>
      </c>
      <c r="S410" s="192">
        <v>77</v>
      </c>
      <c r="T410" s="192">
        <v>-7</v>
      </c>
      <c r="U410" s="192">
        <v>4</v>
      </c>
    </row>
    <row r="411" spans="1:21" ht="20.100000000000001" customHeight="1">
      <c r="M411" s="348"/>
      <c r="N411" s="345"/>
      <c r="O411" s="195" t="s">
        <v>22</v>
      </c>
      <c r="P411" s="192">
        <v>84</v>
      </c>
      <c r="Q411" s="192">
        <v>79</v>
      </c>
      <c r="R411" s="192">
        <v>91</v>
      </c>
      <c r="S411" s="192">
        <v>80</v>
      </c>
      <c r="T411" s="192">
        <v>-7</v>
      </c>
      <c r="U411" s="192">
        <v>4</v>
      </c>
    </row>
    <row r="412" spans="1:21" ht="20.100000000000001" customHeight="1" thickBot="1">
      <c r="M412" s="349"/>
      <c r="N412" s="346"/>
      <c r="O412" s="196" t="s">
        <v>23</v>
      </c>
      <c r="P412" s="197">
        <v>84</v>
      </c>
      <c r="Q412" s="197">
        <v>79</v>
      </c>
      <c r="R412" s="197">
        <v>91</v>
      </c>
      <c r="S412" s="197">
        <v>82</v>
      </c>
      <c r="T412" s="197">
        <v>-7</v>
      </c>
      <c r="U412" s="197">
        <v>2</v>
      </c>
    </row>
    <row r="413" spans="1:21" ht="20.100000000000001" customHeight="1">
      <c r="M413" s="353" t="s">
        <v>192</v>
      </c>
      <c r="N413" s="350">
        <v>86</v>
      </c>
      <c r="O413" s="182" t="s">
        <v>24</v>
      </c>
      <c r="P413" s="178">
        <v>87</v>
      </c>
      <c r="Q413" s="178">
        <v>83</v>
      </c>
      <c r="R413" s="178">
        <v>93</v>
      </c>
      <c r="S413" s="178">
        <v>84</v>
      </c>
      <c r="T413" s="178">
        <v>-6</v>
      </c>
      <c r="U413" s="178">
        <v>3</v>
      </c>
    </row>
    <row r="414" spans="1:21" ht="20.100000000000001" customHeight="1">
      <c r="M414" s="354"/>
      <c r="N414" s="351"/>
      <c r="O414" s="182" t="s">
        <v>25</v>
      </c>
      <c r="P414" s="178">
        <v>88</v>
      </c>
      <c r="Q414" s="178">
        <v>84</v>
      </c>
      <c r="R414" s="178">
        <v>94</v>
      </c>
      <c r="S414" s="178">
        <v>86</v>
      </c>
      <c r="T414" s="178">
        <v>-6</v>
      </c>
      <c r="U414" s="178">
        <v>2</v>
      </c>
    </row>
    <row r="415" spans="1:21" ht="20.100000000000001" customHeight="1" thickBot="1">
      <c r="M415" s="355"/>
      <c r="N415" s="352"/>
      <c r="O415" s="186" t="s">
        <v>26</v>
      </c>
      <c r="P415" s="185">
        <v>82</v>
      </c>
      <c r="Q415" s="185">
        <v>78</v>
      </c>
      <c r="R415" s="185">
        <v>90</v>
      </c>
      <c r="S415" s="185">
        <v>78</v>
      </c>
      <c r="T415" s="185">
        <v>-8</v>
      </c>
      <c r="U415" s="185">
        <v>4</v>
      </c>
    </row>
    <row r="442" spans="1:9">
      <c r="A442" t="s">
        <v>504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41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00:D306"/>
    <mergeCell ref="E300:E302"/>
    <mergeCell ref="E303:E306"/>
    <mergeCell ref="D321:D324"/>
    <mergeCell ref="E321:E322"/>
    <mergeCell ref="E323:E324"/>
    <mergeCell ref="M400:N400"/>
    <mergeCell ref="D325:E327"/>
    <mergeCell ref="D328:D332"/>
    <mergeCell ref="E328:E331"/>
    <mergeCell ref="D348:E349"/>
    <mergeCell ref="D350:E351"/>
    <mergeCell ref="D352:E355"/>
    <mergeCell ref="D374:E376"/>
    <mergeCell ref="D377:D380"/>
    <mergeCell ref="E377:E378"/>
    <mergeCell ref="E379:E380"/>
    <mergeCell ref="D381:E383"/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2017-07-04T05:04:23Z</dcterms:modified>
</cp:coreProperties>
</file>