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1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0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1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2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3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4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5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eVs+wxIep2EY+s/2MJN6x0q+C3wnDQz3+EWYhZ1Chw1d3nNE+8DFnJouY2+zHwSDUz77dKLOU0lc3gzAulzj/g==" workbookSaltValue="XA1yf+o3bOnfmzERHbOpJw==" workbookSpinCount="100000" lockStructure="1"/>
  <bookViews>
    <workbookView xWindow="0" yWindow="0" windowWidth="20490" windowHeight="775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2519" r:id="rId4"/>
    <sheet name="Cuadro de Mando Indicadores" sheetId="329" r:id="rId5"/>
    <sheet name="Cuadro de Mando PPT" sheetId="1123" r:id="rId6"/>
    <sheet name="Gráficos Demografías" sheetId="2613" r:id="rId7"/>
    <sheet name="Gráficos Indicadores" sheetId="2614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Indicadores'!$AP$495:$AV$505</definedName>
    <definedName name="Credibilidad">#REF!</definedName>
    <definedName name="Equidad">#REF!</definedName>
    <definedName name="FichaTecnica">'Gráficos Indicadores'!$BA$1:$BA$7</definedName>
    <definedName name="GrafDemo_Bis1_datos">#REF!</definedName>
    <definedName name="GrafDemo_Bis1_datos_0">#REF!</definedName>
    <definedName name="GrafDemo_Bis1_datos_1">#REF!</definedName>
    <definedName name="GrafDemo_Bis10_datos">'Gráficos Demografías'!$C$805:$G$810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Demografías'!$C$75:$H$80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Demografías'!$C$166:$E$171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Demografías'!$C$257:$H$262</definedName>
    <definedName name="GrafDemo_Bis5_0_datos">'Gráficos Demografías'!$C$318:$H$323</definedName>
    <definedName name="GrafDemo_Bis5_1_datos">'Gráficos Demografías'!$C$349:$H$354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Demografías'!$C$440:$I$445</definedName>
    <definedName name="GrafDemo_Bis7_0_datos">'Gráficos Demografías'!$C$501:$J$506</definedName>
    <definedName name="GrafDemo_Bis7_1_datos">'Gráficos Demografías'!$C$532:$J$537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Demografías'!$C$623:$G$628</definedName>
    <definedName name="GrafDemo_Bis9_datos">'Gráficos Demografías'!$C$714:$H$719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Indicadores'!$AA$267:$AG$281</definedName>
    <definedName name="ResultadoSentencia2">'Gráficos Indicadores'!$AA$293:$AG$306</definedName>
    <definedName name="ResultadoSentencia3">'Gráficos Indicadores'!$AA$320:$AG$332</definedName>
    <definedName name="ResultadoSentencia4">'Gráficos Indicadores'!$AA$347:$AG$355</definedName>
    <definedName name="ResultadoSentencia5">'Gráficos Indicadores'!$AA$373:$AG$383</definedName>
    <definedName name="SentenciasAdicionales1">#REF!</definedName>
    <definedName name="TablaSintesis1">'Gráficos Indicadores'!$R$400:$Y$415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V17" i="2" l="1"/>
  <c r="BU17" i="2"/>
  <c r="BT17" i="2"/>
  <c r="BS17" i="2"/>
  <c r="BQ20" i="2"/>
  <c r="BP20" i="2"/>
  <c r="BO20" i="2"/>
  <c r="BN20" i="2"/>
  <c r="BM20" i="2"/>
  <c r="BQ17" i="2"/>
  <c r="BP17" i="2"/>
  <c r="BO17" i="2"/>
  <c r="BN17" i="2"/>
  <c r="BM17" i="2"/>
  <c r="BK17" i="2"/>
  <c r="BJ17" i="2"/>
  <c r="BI17" i="2"/>
  <c r="BH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Q17" i="2"/>
  <c r="AP17" i="2"/>
  <c r="AO17" i="2"/>
  <c r="AN17" i="2"/>
  <c r="AM17" i="2"/>
  <c r="AL17" i="2"/>
  <c r="AJ17" i="2"/>
  <c r="AI17" i="2"/>
  <c r="AH17" i="2"/>
  <c r="AG17" i="2"/>
  <c r="AF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  <c r="BM19" i="2" l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S16" i="2"/>
  <c r="BM16" i="2"/>
  <c r="BH16" i="2"/>
  <c r="AS16" i="2"/>
  <c r="AL16" i="2"/>
  <c r="AA16" i="2"/>
  <c r="U16" i="2"/>
  <c r="R16" i="2"/>
  <c r="L16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<sst xmlns="http://schemas.openxmlformats.org/spreadsheetml/2006/main" count="1567" uniqueCount="503">
  <si>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</si>
  <si>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</si>
  <si>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</si>
  <si>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</si>
  <si>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</si>
  <si>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</si>
  <si>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</si>
  <si>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</si>
  <si>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</si>
  <si>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</si>
  <si>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</si>
  <si>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</si>
  <si>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</si>
  <si>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</si>
  <si>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</si>
  <si>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</si>
  <si>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</si>
  <si>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</si>
  <si>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</si>
  <si>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</si>
  <si>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</si>
  <si>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</si>
  <si>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</si>
  <si>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</si>
  <si>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</si>
  <si>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</si>
  <si>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</si>
  <si>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</si>
  <si>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</si>
  <si>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</si>
  <si>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</si>
  <si>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</si>
  <si>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</si>
  <si>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</si>
  <si>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</si>
  <si>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</si>
  <si>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</si>
  <si>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</si>
  <si>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</si>
  <si>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</si>
  <si>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</si>
  <si>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</si>
  <si>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</si>
  <si>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</si>
  <si>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</si>
  <si>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</si>
  <si>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</si>
  <si>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</si>
  <si>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</si>
  <si>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</si>
  <si>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</si>
  <si>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</si>
  <si>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</si>
  <si>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</si>
  <si>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</si>
  <si>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</si>
  <si>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</si>
  <si>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</si>
  <si>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</si>
  <si>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</si>
  <si>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</si>
  <si>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</si>
  <si>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</si>
  <si>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</si>
  <si>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</si>
  <si>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</si>
  <si>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</si>
  <si>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</si>
  <si>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</si>
  <si>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</si>
  <si>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</si>
  <si>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</si>
  <si>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</si>
  <si>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</si>
  <si>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</si>
  <si>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</si>
  <si>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</si>
  <si>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</si>
  <si>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</si>
  <si>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</si>
  <si>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</si>
  <si>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</si>
  <si>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</si>
  <si>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</si>
  <si>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</si>
  <si>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</si>
  <si>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</si>
  <si>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</si>
  <si>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</si>
  <si>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</si>
  <si>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</si>
  <si>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</si>
  <si>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</si>
  <si>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</si>
  <si>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</si>
  <si>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</si>
  <si>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AN107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</si>
  <si>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</si>
  <si>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</si>
  <si>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</si>
  <si>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</si>
  <si>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</si>
  <si>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</si>
  <si>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</si>
  <si>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</si>
  <si>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</si>
  <si>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</si>
  <si>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</si>
  <si>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</si>
  <si>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</si>
  <si>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</si>
  <si>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</si>
  <si>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</si>
  <si>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</si>
  <si>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</si>
  <si>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</si>
  <si>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</si>
  <si>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</si>
  <si>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</si>
  <si>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</si>
  <si>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</si>
  <si>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</si>
  <si>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</si>
  <si>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</si>
  <si>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</si>
  <si>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</si>
  <si>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</si>
  <si>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</si>
  <si>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</si>
  <si>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</si>
  <si>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</si>
  <si>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</si>
  <si>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</si>
  <si>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</si>
  <si>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</si>
  <si>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</si>
  <si>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</si>
  <si>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</si>
  <si>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</si>
  <si>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</si>
  <si>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</si>
  <si>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</si>
  <si>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</si>
  <si>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Demografía</t>
  </si>
  <si>
    <t>Promedios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</si>
  <si>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</si>
  <si>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</si>
  <si>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</si>
  <si>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</si>
  <si>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</si>
  <si>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</si>
  <si>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</si>
  <si>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</si>
  <si>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</si>
  <si>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</si>
  <si>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</si>
  <si>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</si>
  <si>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</si>
  <si>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</si>
  <si>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</si>
  <si>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</si>
  <si>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</si>
  <si>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</si>
  <si>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</si>
  <si>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</si>
  <si>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</si>
  <si>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</si>
  <si>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</si>
  <si>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</si>
  <si>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</si>
  <si>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</si>
  <si>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</si>
  <si>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</si>
  <si>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</si>
  <si>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</si>
  <si>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</si>
  <si>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</si>
  <si>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</si>
  <si>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</si>
  <si>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</si>
  <si>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</si>
  <si>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</si>
  <si>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% Rta por corte</t>
  </si>
  <si>
    <t>Poblacion demografía año anterior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</si>
  <si>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</si>
  <si>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</si>
  <si>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</si>
  <si>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</si>
  <si>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</si>
  <si>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</si>
  <si>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</si>
  <si>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</si>
  <si>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</si>
  <si>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</si>
  <si>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</si>
  <si>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</si>
  <si>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</si>
  <si>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</si>
  <si>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</si>
  <si>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</si>
  <si>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</si>
  <si>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</si>
  <si>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</si>
  <si>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</si>
  <si>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</si>
  <si>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</si>
  <si>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</si>
  <si>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</si>
  <si>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</si>
  <si>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</si>
  <si>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</si>
  <si>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</si>
  <si>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</si>
  <si>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</si>
  <si>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</si>
  <si>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</si>
  <si>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</si>
  <si>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</si>
  <si>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</si>
  <si>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</si>
  <si>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</si>
  <si>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</si>
  <si>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</si>
  <si>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</si>
  <si>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</si>
  <si>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</si>
  <si>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</si>
  <si>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</si>
  <si>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</si>
  <si>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</si>
  <si>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</si>
  <si>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</si>
  <si>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</si>
  <si>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</si>
  <si>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</si>
  <si>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</si>
  <si>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</si>
  <si>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</si>
  <si>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</si>
  <si>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</si>
  <si>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</si>
  <si>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</si>
  <si>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</si>
  <si>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</si>
  <si>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</si>
  <si>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</si>
  <si>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</si>
  <si>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</si>
  <si>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</si>
  <si>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</si>
  <si>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</si>
  <si>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</si>
  <si>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</si>
  <si>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</si>
  <si>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</si>
  <si>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</si>
  <si>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</si>
  <si>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</si>
  <si>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</si>
  <si>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</si>
  <si>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</si>
  <si>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</si>
  <si>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</si>
  <si>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</si>
  <si>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</si>
  <si>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</si>
  <si>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</si>
  <si>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</si>
  <si>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</si>
  <si>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</si>
  <si>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</si>
  <si>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</si>
  <si>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</si>
  <si>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</si>
  <si>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</si>
  <si>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</si>
  <si>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</si>
  <si>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</si>
  <si>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</si>
  <si>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</si>
  <si>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</si>
  <si>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</si>
  <si>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</si>
  <si>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ReporteIndicadores.xls</t>
  </si>
  <si>
    <t>N72</t>
  </si>
  <si>
    <t>Dim</t>
  </si>
  <si>
    <t>Sub-Dimensión</t>
  </si>
  <si>
    <t>BMK Mejores Argentina 2016</t>
  </si>
  <si>
    <t>2016 - 2016</t>
  </si>
  <si>
    <t>2016 - 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</si>
  <si>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</si>
  <si>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</si>
  <si>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</si>
  <si>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</si>
  <si>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</si>
  <si>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</si>
  <si>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</si>
  <si>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</si>
  <si>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</si>
  <si>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</si>
  <si>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</si>
  <si>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</si>
  <si>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</si>
  <si>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</si>
  <si>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</si>
  <si>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</si>
  <si>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</si>
  <si>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</si>
  <si>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</si>
  <si>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</si>
  <si>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</si>
  <si>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</si>
  <si>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</si>
  <si>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</si>
  <si>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</si>
  <si>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</si>
  <si>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</si>
  <si>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</si>
  <si>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</si>
  <si>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</si>
  <si>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</si>
  <si>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</si>
  <si>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</si>
  <si>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</si>
  <si>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</si>
  <si>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</si>
  <si>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</si>
  <si>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</si>
  <si>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</si>
  <si>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</si>
  <si>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</si>
  <si>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</si>
  <si>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</si>
  <si>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</si>
  <si>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</si>
  <si>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</si>
  <si>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</si>
  <si>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</si>
  <si>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</si>
  <si>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</si>
  <si>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</si>
  <si>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</si>
  <si>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</si>
  <si>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</si>
  <si>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</si>
  <si>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</si>
  <si>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</si>
  <si>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</si>
  <si>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</si>
  <si>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</si>
  <si>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</si>
  <si>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</si>
  <si>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</si>
  <si>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</si>
  <si>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</si>
  <si>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</si>
  <si>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</si>
  <si>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</si>
  <si>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</si>
  <si>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</si>
  <si>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</si>
  <si>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</si>
  <si>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</si>
  <si>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</si>
  <si>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</si>
  <si>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</si>
  <si>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</si>
  <si>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</si>
  <si>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</si>
  <si>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</si>
  <si>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</si>
  <si>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</si>
  <si>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</si>
  <si>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</si>
  <si>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</si>
  <si>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</si>
  <si>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</si>
  <si>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</si>
  <si>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</si>
  <si>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</si>
  <si>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</si>
  <si>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</si>
  <si>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</si>
  <si>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</si>
  <si>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</si>
  <si>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</si>
  <si>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2016 - PG</t>
  </si>
  <si>
    <t>CAMARADERÍA</t>
  </si>
  <si>
    <t>Dimension1</t>
  </si>
  <si>
    <t>Dimension2</t>
  </si>
  <si>
    <t>Dimension3</t>
  </si>
  <si>
    <t>Dimension4</t>
  </si>
  <si>
    <t>Dimension5</t>
  </si>
  <si>
    <t>Si soy tratado injustamente, creo que, tendré la oportunidad de ser escuchado y de recibir un trato justo.</t>
  </si>
  <si>
    <t>L69</t>
  </si>
  <si>
    <t>N74</t>
  </si>
  <si>
    <t>X2</t>
  </si>
  <si>
    <t>Z2</t>
  </si>
  <si>
    <t>AB1</t>
  </si>
  <si>
    <t>AB7</t>
  </si>
  <si>
    <t>L64</t>
  </si>
  <si>
    <t>N67</t>
  </si>
  <si>
    <t>W2</t>
  </si>
  <si>
    <t>L70</t>
  </si>
  <si>
    <t>N70</t>
  </si>
  <si>
    <t>L71</t>
  </si>
  <si>
    <t>N71</t>
  </si>
  <si>
    <t>L72</t>
  </si>
  <si>
    <t>L73</t>
  </si>
  <si>
    <t>N73</t>
  </si>
  <si>
    <t>L74</t>
  </si>
  <si>
    <t>G2</t>
  </si>
  <si>
    <t>G6</t>
  </si>
  <si>
    <t>G12</t>
  </si>
  <si>
    <t>G17</t>
  </si>
  <si>
    <t>G21</t>
  </si>
  <si>
    <t>G23</t>
  </si>
  <si>
    <t>G31</t>
  </si>
  <si>
    <t>G35</t>
  </si>
  <si>
    <t>G38</t>
  </si>
  <si>
    <t>G44</t>
  </si>
  <si>
    <t>G46</t>
  </si>
  <si>
    <t>G48</t>
  </si>
  <si>
    <t>G53</t>
  </si>
  <si>
    <t>G56</t>
  </si>
  <si>
    <t>G60</t>
  </si>
  <si>
    <t>G1</t>
  </si>
  <si>
    <t>G77</t>
  </si>
  <si>
    <t>M87</t>
  </si>
  <si>
    <t>G89</t>
  </si>
  <si>
    <t>M99</t>
  </si>
  <si>
    <t>H1</t>
  </si>
  <si>
    <t>N15</t>
  </si>
  <si>
    <t>H16</t>
  </si>
  <si>
    <t>N29</t>
  </si>
  <si>
    <t>H30</t>
  </si>
  <si>
    <t>H43</t>
  </si>
  <si>
    <t>H52</t>
  </si>
  <si>
    <t>N42</t>
  </si>
  <si>
    <t>N51</t>
  </si>
  <si>
    <t>N62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</si>
  <si>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</si>
  <si>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</si>
  <si>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</si>
  <si>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</si>
  <si>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</si>
  <si>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</si>
  <si>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</si>
  <si>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</si>
  <si>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</si>
  <si>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</si>
  <si>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</si>
  <si>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</si>
  <si>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</si>
  <si>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</si>
  <si>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</si>
  <si>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</si>
  <si>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</si>
  <si>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</si>
  <si>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</si>
  <si>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</si>
  <si>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</si>
  <si>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AL2</t>
  </si>
  <si>
    <t>AQ2</t>
  </si>
  <si>
    <t>AL17</t>
  </si>
  <si>
    <t>AQ17</t>
  </si>
  <si>
    <t>AS2</t>
  </si>
  <si>
    <t>BF2</t>
  </si>
  <si>
    <t>AS17</t>
  </si>
  <si>
    <t>BF17</t>
  </si>
  <si>
    <t>GrafDemo_Bis7</t>
  </si>
  <si>
    <t>BH2</t>
  </si>
  <si>
    <t>BK2</t>
  </si>
  <si>
    <t>BH17</t>
  </si>
  <si>
    <t>BK17</t>
  </si>
  <si>
    <t>BM2</t>
  </si>
  <si>
    <t>BQ2</t>
  </si>
  <si>
    <t>BM17</t>
  </si>
  <si>
    <t>BQ17</t>
  </si>
  <si>
    <t>BS2</t>
  </si>
  <si>
    <t>BV2</t>
  </si>
  <si>
    <t>BS17</t>
  </si>
  <si>
    <t>BV17</t>
  </si>
  <si>
    <t>Año 1</t>
  </si>
  <si>
    <t>Año 2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</si>
  <si>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</si>
  <si>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</si>
  <si>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</si>
  <si>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</si>
  <si>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</si>
  <si>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</si>
  <si>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</si>
  <si>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GrafDemo_Bis2_leyenda</t>
  </si>
  <si>
    <t>GrafDemo_Bis3_leyenda</t>
  </si>
  <si>
    <t>GrafDemo_Bis4_leyenda</t>
  </si>
  <si>
    <t>GrafDemo_Bis5_0_leyenda</t>
  </si>
  <si>
    <t>GrafDemo_Bis5_1_leyenda</t>
  </si>
  <si>
    <t>GrafDemo_Bis6_leyenda</t>
  </si>
  <si>
    <t>GrafDemo_Bis7_0_leyenda</t>
  </si>
  <si>
    <t>GrafDemo_Bis7_1_leyenda</t>
  </si>
  <si>
    <t>GrafDemo_Bis8_leyenda</t>
  </si>
  <si>
    <t>GrafDemo_Bis9_leyenda</t>
  </si>
  <si>
    <t>GrafDemo_Bis10_leyenda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</si>
</sst>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80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1"/>
      <color rgb="FFD33C46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3"/>
      <color rgb="FF808080"/>
      <name val="Arial"/>
      <family val="2"/>
    </font>
    <font>
      <b/>
      <sz val="14"/>
      <color rgb="FFAA272F"/>
      <name val="Arial"/>
      <family val="2"/>
    </font>
    <font>
      <b/>
      <sz val="14"/>
      <color rgb="FF005172"/>
      <name val="Arial"/>
      <family val="2"/>
    </font>
    <font>
      <b/>
      <sz val="14"/>
      <color rgb="FF73A11F"/>
      <name val="Arial"/>
      <family val="2"/>
    </font>
    <font>
      <b/>
      <sz val="14"/>
      <color rgb="FF612141"/>
      <name val="Arial"/>
      <family val="2"/>
    </font>
    <font>
      <sz val="13"/>
      <color rgb="FF404040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b/>
      <sz val="11"/>
      <color rgb="FF658D1B"/>
      <name val="Arial"/>
      <family val="2"/>
    </font>
    <font>
      <sz val="11"/>
      <color rgb="FF658D1B"/>
      <name val="Arial"/>
      <family val="2"/>
    </font>
    <font>
      <sz val="14.5"/>
      <color indexed="8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4"/>
      <color rgb="FFFDB533"/>
      <name val="Arial"/>
      <family val="2"/>
    </font>
    <font>
      <b/>
      <sz val="40"/>
      <color rgb="FFFDB533"/>
      <name val="Arial"/>
      <family val="2"/>
    </font>
    <font>
      <b/>
      <sz val="24"/>
      <color rgb="FFFDB533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5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FDB533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658D1B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658D1B"/>
      </top>
      <bottom style="thin">
        <color rgb="FFD789B0"/>
      </bottom>
      <diagonal/>
    </border>
    <border>
      <left/>
      <right/>
      <top style="thin">
        <color rgb="FF658D1B"/>
      </top>
      <bottom/>
      <diagonal/>
    </border>
    <border>
      <left/>
      <right/>
      <top style="thin">
        <color rgb="FFD789B0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/>
      <right/>
      <top style="thin">
        <color rgb="FF993366"/>
      </top>
      <bottom style="thin">
        <color rgb="FFFDB533"/>
      </bottom>
      <diagonal/>
    </border>
    <border>
      <left/>
      <right/>
      <top style="thin">
        <color rgb="FFFDB533"/>
      </top>
      <bottom style="thin">
        <color rgb="FF658D1B"/>
      </bottom>
      <diagonal/>
    </border>
    <border>
      <left/>
      <right/>
      <top style="thin">
        <color rgb="FF658D1B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rgb="FFFDB533"/>
      </bottom>
      <diagonal/>
    </border>
    <border>
      <left/>
      <right/>
      <top style="medium">
        <color rgb="FFFDB533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21" fillId="0" borderId="0" applyFont="0" applyFill="0" applyBorder="0" applyAlignment="0" applyProtection="0"/>
  </cellStyleXfs>
  <cellXfs count="355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20" fillId="14" borderId="15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2" fillId="18" borderId="16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20" fillId="19" borderId="15" xfId="0" applyFont="1" applyFill="1" applyBorder="1" applyAlignment="1">
      <alignment horizontal="right" vertical="center"/>
    </xf>
    <xf numFmtId="0" fontId="14" fillId="19" borderId="12" xfId="0" applyFont="1" applyFill="1" applyBorder="1" applyAlignment="1">
      <alignment horizontal="right" vertical="center"/>
    </xf>
    <xf numFmtId="0" fontId="14" fillId="19" borderId="13" xfId="0" applyFont="1" applyFill="1" applyBorder="1" applyAlignment="1">
      <alignment horizontal="center" vertical="center" wrapText="1"/>
    </xf>
    <xf numFmtId="0" fontId="23" fillId="15" borderId="15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24" fillId="13" borderId="16" xfId="0" applyFont="1" applyFill="1" applyBorder="1" applyAlignment="1">
      <alignment vertical="center" wrapText="1"/>
    </xf>
    <xf numFmtId="1" fontId="2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1" fontId="2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22" fillId="18" borderId="16" xfId="0" applyNumberFormat="1" applyFont="1" applyFill="1" applyBorder="1" applyAlignment="1">
      <alignment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14" fillId="16" borderId="21" xfId="0" applyFont="1" applyFill="1" applyBorder="1" applyAlignment="1">
      <alignment horizontal="center" vertical="center" wrapText="1"/>
    </xf>
    <xf numFmtId="0" fontId="30" fillId="27" borderId="21" xfId="0" applyFont="1" applyFill="1" applyBorder="1" applyAlignment="1">
      <alignment horizontal="center" vertical="center" wrapText="1"/>
    </xf>
    <xf numFmtId="0" fontId="30" fillId="28" borderId="21" xfId="0" applyFont="1" applyFill="1" applyBorder="1" applyAlignment="1">
      <alignment horizontal="center" vertical="center" wrapText="1"/>
    </xf>
    <xf numFmtId="0" fontId="30" fillId="29" borderId="21" xfId="0" applyFont="1" applyFill="1" applyBorder="1" applyAlignment="1">
      <alignment horizontal="center" vertical="center" wrapText="1"/>
    </xf>
    <xf numFmtId="0" fontId="14" fillId="30" borderId="21" xfId="0" applyFont="1" applyFill="1" applyBorder="1" applyAlignment="1">
      <alignment horizontal="center" vertical="center" wrapText="1"/>
    </xf>
    <xf numFmtId="0" fontId="29" fillId="31" borderId="0" xfId="0" applyFont="1" applyFill="1" applyAlignment="1">
      <alignment horizontal="center" vertical="center" wrapText="1"/>
    </xf>
    <xf numFmtId="0" fontId="35" fillId="13" borderId="26" xfId="0" applyFont="1" applyFill="1" applyBorder="1" applyAlignment="1">
      <alignment horizontal="center" vertical="center"/>
    </xf>
    <xf numFmtId="0" fontId="36" fillId="13" borderId="26" xfId="0" applyFont="1" applyFill="1" applyBorder="1" applyAlignment="1">
      <alignment horizontal="left" vertical="center" wrapText="1"/>
    </xf>
    <xf numFmtId="1" fontId="37" fillId="13" borderId="26" xfId="0" applyNumberFormat="1" applyFont="1" applyFill="1" applyBorder="1" applyAlignment="1">
      <alignment horizontal="center" vertical="center"/>
    </xf>
    <xf numFmtId="1" fontId="37" fillId="34" borderId="26" xfId="0" applyNumberFormat="1" applyFont="1" applyFill="1" applyBorder="1" applyAlignment="1">
      <alignment horizontal="center" vertical="center"/>
    </xf>
    <xf numFmtId="1" fontId="38" fillId="35" borderId="0" xfId="0" applyNumberFormat="1" applyFont="1" applyFill="1" applyAlignment="1">
      <alignment horizontal="center" vertical="center" wrapText="1"/>
    </xf>
    <xf numFmtId="0" fontId="32" fillId="13" borderId="27" xfId="0" applyFont="1" applyFill="1" applyBorder="1" applyAlignment="1">
      <alignment horizontal="left" vertical="center" wrapText="1"/>
    </xf>
    <xf numFmtId="1" fontId="32" fillId="35" borderId="0" xfId="0" applyNumberFormat="1" applyFont="1" applyFill="1" applyAlignment="1">
      <alignment horizontal="center" vertical="center" wrapText="1"/>
    </xf>
    <xf numFmtId="1" fontId="37" fillId="14" borderId="26" xfId="0" applyNumberFormat="1" applyFont="1" applyFill="1" applyBorder="1" applyAlignment="1">
      <alignment horizontal="center" vertical="center"/>
    </xf>
    <xf numFmtId="1" fontId="37" fillId="42" borderId="26" xfId="0" applyNumberFormat="1" applyFont="1" applyFill="1" applyBorder="1" applyAlignment="1">
      <alignment horizontal="center" vertical="center"/>
    </xf>
    <xf numFmtId="0" fontId="42" fillId="17" borderId="21" xfId="0" applyFont="1" applyFill="1" applyBorder="1" applyAlignment="1">
      <alignment horizontal="left" vertical="center" wrapText="1"/>
    </xf>
    <xf numFmtId="1" fontId="43" fillId="17" borderId="21" xfId="0" applyNumberFormat="1" applyFont="1" applyFill="1" applyBorder="1" applyAlignment="1">
      <alignment horizontal="center" vertical="center" wrapText="1"/>
    </xf>
    <xf numFmtId="0" fontId="29" fillId="43" borderId="0" xfId="0" applyFont="1" applyFill="1" applyAlignment="1">
      <alignment horizontal="left" vertical="center" wrapText="1"/>
    </xf>
    <xf numFmtId="1" fontId="29" fillId="43" borderId="0" xfId="0" applyNumberFormat="1" applyFont="1" applyFill="1" applyAlignment="1">
      <alignment horizontal="center" vertical="center" wrapText="1"/>
    </xf>
    <xf numFmtId="1" fontId="30" fillId="32" borderId="21" xfId="0" applyNumberFormat="1" applyFont="1" applyFill="1" applyBorder="1" applyAlignment="1">
      <alignment horizontal="center" vertical="center" wrapText="1"/>
    </xf>
    <xf numFmtId="1" fontId="30" fillId="37" borderId="21" xfId="0" applyNumberFormat="1" applyFont="1" applyFill="1" applyBorder="1" applyAlignment="1">
      <alignment horizontal="center" vertical="center" wrapText="1"/>
    </xf>
    <xf numFmtId="1" fontId="30" fillId="39" borderId="21" xfId="0" applyNumberFormat="1" applyFont="1" applyFill="1" applyBorder="1" applyAlignment="1">
      <alignment horizontal="center" vertical="center" wrapText="1"/>
    </xf>
    <xf numFmtId="1" fontId="30" fillId="40" borderId="21" xfId="0" applyNumberFormat="1" applyFont="1" applyFill="1" applyBorder="1" applyAlignment="1">
      <alignment horizontal="center" vertical="center" wrapText="1"/>
    </xf>
    <xf numFmtId="1" fontId="30" fillId="41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" fontId="50" fillId="44" borderId="0" xfId="0" applyNumberFormat="1" applyFont="1" applyFill="1" applyBorder="1" applyAlignment="1">
      <alignment horizontal="center" vertical="center" wrapText="1"/>
    </xf>
    <xf numFmtId="1" fontId="50" fillId="44" borderId="44" xfId="0" applyNumberFormat="1" applyFont="1" applyFill="1" applyBorder="1" applyAlignment="1">
      <alignment horizontal="center" vertical="center" wrapText="1"/>
    </xf>
    <xf numFmtId="1" fontId="50" fillId="44" borderId="46" xfId="0" applyNumberFormat="1" applyFont="1" applyFill="1" applyBorder="1" applyAlignment="1">
      <alignment horizontal="center" vertical="center" wrapText="1"/>
    </xf>
    <xf numFmtId="1" fontId="50" fillId="44" borderId="47" xfId="0" applyNumberFormat="1" applyFont="1" applyFill="1" applyBorder="1" applyAlignment="1">
      <alignment horizontal="center" vertical="center" wrapText="1"/>
    </xf>
    <xf numFmtId="1" fontId="50" fillId="45" borderId="0" xfId="0" applyNumberFormat="1" applyFont="1" applyFill="1" applyBorder="1" applyAlignment="1">
      <alignment horizontal="center" vertical="center" wrapText="1"/>
    </xf>
    <xf numFmtId="1" fontId="50" fillId="45" borderId="44" xfId="0" applyNumberFormat="1" applyFont="1" applyFill="1" applyBorder="1" applyAlignment="1">
      <alignment horizontal="center" vertical="center" wrapText="1"/>
    </xf>
    <xf numFmtId="1" fontId="50" fillId="45" borderId="47" xfId="0" applyNumberFormat="1" applyFont="1" applyFill="1" applyBorder="1" applyAlignment="1">
      <alignment horizontal="center" vertical="center" wrapText="1"/>
    </xf>
    <xf numFmtId="1" fontId="46" fillId="44" borderId="0" xfId="0" applyNumberFormat="1" applyFont="1" applyFill="1" applyBorder="1" applyAlignment="1">
      <alignment vertical="center" wrapText="1"/>
    </xf>
    <xf numFmtId="1" fontId="46" fillId="44" borderId="44" xfId="0" applyNumberFormat="1" applyFont="1" applyFill="1" applyBorder="1" applyAlignment="1">
      <alignment vertical="center" wrapText="1"/>
    </xf>
    <xf numFmtId="1" fontId="46" fillId="44" borderId="46" xfId="0" applyNumberFormat="1" applyFont="1" applyFill="1" applyBorder="1" applyAlignment="1">
      <alignment vertical="center" wrapText="1"/>
    </xf>
    <xf numFmtId="1" fontId="48" fillId="44" borderId="0" xfId="0" applyNumberFormat="1" applyFont="1" applyFill="1" applyBorder="1" applyAlignment="1">
      <alignment vertical="center" wrapText="1"/>
    </xf>
    <xf numFmtId="1" fontId="48" fillId="44" borderId="47" xfId="0" applyNumberFormat="1" applyFont="1" applyFill="1" applyBorder="1" applyAlignment="1">
      <alignment vertical="center" wrapText="1"/>
    </xf>
    <xf numFmtId="1" fontId="50" fillId="45" borderId="45" xfId="0" applyNumberFormat="1" applyFont="1" applyFill="1" applyBorder="1" applyAlignment="1">
      <alignment horizontal="center" vertical="center" wrapText="1"/>
    </xf>
    <xf numFmtId="1" fontId="50" fillId="45" borderId="49" xfId="0" applyNumberFormat="1" applyFont="1" applyFill="1" applyBorder="1" applyAlignment="1">
      <alignment horizontal="center" vertical="center" wrapText="1"/>
    </xf>
    <xf numFmtId="1" fontId="50" fillId="45" borderId="51" xfId="0" applyNumberFormat="1" applyFont="1" applyFill="1" applyBorder="1" applyAlignment="1">
      <alignment horizontal="center" vertical="center" wrapText="1"/>
    </xf>
    <xf numFmtId="1" fontId="50" fillId="45" borderId="52" xfId="0" applyNumberFormat="1" applyFont="1" applyFill="1" applyBorder="1" applyAlignment="1">
      <alignment horizontal="center" vertical="center" wrapText="1"/>
    </xf>
    <xf numFmtId="1" fontId="50" fillId="45" borderId="50" xfId="0" applyNumberFormat="1" applyFont="1" applyFill="1" applyBorder="1" applyAlignment="1">
      <alignment horizontal="center" vertical="center" wrapText="1"/>
    </xf>
    <xf numFmtId="1" fontId="47" fillId="45" borderId="0" xfId="0" applyNumberFormat="1" applyFont="1" applyFill="1" applyBorder="1" applyAlignment="1">
      <alignment vertical="center" wrapText="1"/>
    </xf>
    <xf numFmtId="1" fontId="47" fillId="45" borderId="47" xfId="0" applyNumberFormat="1" applyFont="1" applyFill="1" applyBorder="1" applyAlignment="1">
      <alignment vertical="center" wrapText="1"/>
    </xf>
    <xf numFmtId="1" fontId="47" fillId="45" borderId="49" xfId="0" applyNumberFormat="1" applyFont="1" applyFill="1" applyBorder="1" applyAlignment="1">
      <alignment vertical="center" wrapText="1"/>
    </xf>
    <xf numFmtId="1" fontId="49" fillId="45" borderId="51" xfId="0" applyNumberFormat="1" applyFont="1" applyFill="1" applyBorder="1" applyAlignment="1">
      <alignment vertical="center" wrapText="1"/>
    </xf>
    <xf numFmtId="1" fontId="49" fillId="45" borderId="52" xfId="0" applyNumberFormat="1" applyFont="1" applyFill="1" applyBorder="1" applyAlignment="1">
      <alignment vertical="center" wrapText="1"/>
    </xf>
    <xf numFmtId="1" fontId="49" fillId="45" borderId="50" xfId="0" applyNumberFormat="1" applyFont="1" applyFill="1" applyBorder="1" applyAlignment="1">
      <alignment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30" fillId="41" borderId="21" xfId="0" applyFont="1" applyFill="1" applyBorder="1" applyAlignment="1">
      <alignment horizontal="center" vertical="center" wrapText="1"/>
    </xf>
    <xf numFmtId="1" fontId="59" fillId="35" borderId="0" xfId="0" applyNumberFormat="1" applyFont="1" applyFill="1" applyAlignment="1">
      <alignment horizontal="center" vertical="center" wrapText="1"/>
    </xf>
    <xf numFmtId="1" fontId="60" fillId="13" borderId="0" xfId="0" applyNumberFormat="1" applyFont="1" applyFill="1" applyAlignment="1">
      <alignment horizontal="center" vertical="center" wrapText="1"/>
    </xf>
    <xf numFmtId="0" fontId="44" fillId="0" borderId="57" xfId="0" applyFont="1" applyBorder="1" applyAlignment="1">
      <alignment horizontal="center" vertical="center" wrapText="1"/>
    </xf>
    <xf numFmtId="0" fontId="32" fillId="13" borderId="0" xfId="0" applyFont="1" applyFill="1" applyAlignment="1">
      <alignment horizontal="center" vertical="center" wrapText="1"/>
    </xf>
    <xf numFmtId="0" fontId="62" fillId="13" borderId="59" xfId="0" applyFont="1" applyFill="1" applyBorder="1" applyAlignment="1">
      <alignment horizontal="left" vertical="center" wrapText="1"/>
    </xf>
    <xf numFmtId="0" fontId="32" fillId="13" borderId="59" xfId="0" applyFont="1" applyFill="1" applyBorder="1" applyAlignment="1">
      <alignment horizontal="left" vertical="center" wrapText="1"/>
    </xf>
    <xf numFmtId="1" fontId="32" fillId="13" borderId="59" xfId="0" applyNumberFormat="1" applyFont="1" applyFill="1" applyBorder="1" applyAlignment="1">
      <alignment horizontal="center" vertical="center" wrapText="1"/>
    </xf>
    <xf numFmtId="0" fontId="64" fillId="13" borderId="62" xfId="0" applyFont="1" applyFill="1" applyBorder="1" applyAlignment="1">
      <alignment horizontal="left" vertical="center" wrapText="1"/>
    </xf>
    <xf numFmtId="0" fontId="32" fillId="13" borderId="62" xfId="0" applyFont="1" applyFill="1" applyBorder="1" applyAlignment="1">
      <alignment horizontal="left" vertical="center" wrapText="1"/>
    </xf>
    <xf numFmtId="1" fontId="32" fillId="13" borderId="62" xfId="0" applyNumberFormat="1" applyFont="1" applyFill="1" applyBorder="1" applyAlignment="1">
      <alignment horizontal="center" vertical="center" wrapText="1"/>
    </xf>
    <xf numFmtId="0" fontId="66" fillId="13" borderId="64" xfId="0" applyFont="1" applyFill="1" applyBorder="1" applyAlignment="1">
      <alignment horizontal="left" vertical="center" wrapText="1"/>
    </xf>
    <xf numFmtId="0" fontId="32" fillId="13" borderId="64" xfId="0" applyFont="1" applyFill="1" applyBorder="1" applyAlignment="1">
      <alignment horizontal="left" vertical="center" wrapText="1"/>
    </xf>
    <xf numFmtId="1" fontId="32" fillId="13" borderId="64" xfId="0" applyNumberFormat="1" applyFont="1" applyFill="1" applyBorder="1" applyAlignment="1">
      <alignment horizontal="center" vertical="center" wrapText="1"/>
    </xf>
    <xf numFmtId="0" fontId="68" fillId="13" borderId="67" xfId="0" applyFont="1" applyFill="1" applyBorder="1" applyAlignment="1">
      <alignment horizontal="left" vertical="center" wrapText="1"/>
    </xf>
    <xf numFmtId="0" fontId="32" fillId="13" borderId="67" xfId="0" applyFont="1" applyFill="1" applyBorder="1" applyAlignment="1">
      <alignment horizontal="left" vertical="center" wrapText="1"/>
    </xf>
    <xf numFmtId="1" fontId="32" fillId="13" borderId="67" xfId="0" applyNumberFormat="1" applyFont="1" applyFill="1" applyBorder="1" applyAlignment="1">
      <alignment horizontal="center" vertical="center" wrapText="1"/>
    </xf>
    <xf numFmtId="0" fontId="70" fillId="13" borderId="69" xfId="0" applyFont="1" applyFill="1" applyBorder="1" applyAlignment="1">
      <alignment horizontal="left" vertical="center" wrapText="1"/>
    </xf>
    <xf numFmtId="0" fontId="32" fillId="13" borderId="69" xfId="0" applyFont="1" applyFill="1" applyBorder="1" applyAlignment="1">
      <alignment horizontal="left" vertical="center" wrapText="1"/>
    </xf>
    <xf numFmtId="1" fontId="32" fillId="13" borderId="69" xfId="0" applyNumberFormat="1" applyFont="1" applyFill="1" applyBorder="1" applyAlignment="1">
      <alignment horizontal="center" vertical="center" wrapText="1"/>
    </xf>
    <xf numFmtId="0" fontId="0" fillId="0" borderId="57" xfId="0" applyBorder="1" applyAlignment="1">
      <alignment wrapText="1"/>
    </xf>
    <xf numFmtId="0" fontId="45" fillId="0" borderId="0" xfId="0" applyFont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164" fontId="16" fillId="19" borderId="13" xfId="6" applyNumberFormat="1" applyFont="1" applyFill="1" applyBorder="1" applyAlignment="1">
      <alignment horizontal="center" vertical="center" wrapText="1"/>
    </xf>
    <xf numFmtId="0" fontId="9" fillId="9" borderId="76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65" fontId="14" fillId="19" borderId="13" xfId="0" applyNumberFormat="1" applyFont="1" applyFill="1" applyBorder="1" applyAlignment="1">
      <alignment horizontal="center" vertical="center" wrapText="1"/>
    </xf>
    <xf numFmtId="0" fontId="72" fillId="0" borderId="77" xfId="0" applyFont="1" applyBorder="1"/>
    <xf numFmtId="1" fontId="71" fillId="0" borderId="77" xfId="0" applyNumberFormat="1" applyFont="1" applyFill="1" applyBorder="1" applyAlignment="1">
      <alignment horizontal="center" vertical="center" wrapText="1"/>
    </xf>
    <xf numFmtId="1" fontId="71" fillId="0" borderId="78" xfId="0" applyNumberFormat="1" applyFont="1" applyFill="1" applyBorder="1" applyAlignment="1">
      <alignment horizontal="center" vertical="center" wrapText="1"/>
    </xf>
    <xf numFmtId="0" fontId="73" fillId="0" borderId="77" xfId="0" applyFont="1" applyBorder="1"/>
    <xf numFmtId="0" fontId="74" fillId="0" borderId="77" xfId="0" applyFont="1" applyBorder="1"/>
    <xf numFmtId="0" fontId="75" fillId="0" borderId="77" xfId="0" applyFont="1" applyBorder="1"/>
    <xf numFmtId="0" fontId="76" fillId="0" borderId="78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165" fontId="14" fillId="19" borderId="13" xfId="6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 wrapText="1"/>
    </xf>
    <xf numFmtId="165" fontId="15" fillId="15" borderId="13" xfId="6" applyNumberFormat="1" applyFont="1" applyFill="1" applyBorder="1" applyAlignment="1">
      <alignment horizontal="center"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7" fillId="3" borderId="4" xfId="1" applyFont="1" applyFill="1" applyBorder="1" applyAlignment="1">
      <alignment horizontal="center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15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15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5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8" fillId="14" borderId="11" xfId="0" applyFont="1" applyFill="1" applyBorder="1" applyAlignment="1">
      <alignment horizontal="center" vertical="center" wrapText="1"/>
    </xf>
    <xf numFmtId="0" fontId="18" fillId="14" borderId="15" xfId="0" applyFont="1" applyFill="1" applyBorder="1" applyAlignment="1">
      <alignment horizontal="center" vertical="center" wrapText="1"/>
    </xf>
    <xf numFmtId="0" fontId="18" fillId="14" borderId="12" xfId="0" applyFont="1" applyFill="1" applyBorder="1" applyAlignment="1">
      <alignment horizontal="center" vertical="center" wrapText="1"/>
    </xf>
    <xf numFmtId="0" fontId="26" fillId="21" borderId="11" xfId="0" applyFont="1" applyFill="1" applyBorder="1" applyAlignment="1">
      <alignment horizontal="right" vertical="center" wrapText="1"/>
    </xf>
    <xf numFmtId="0" fontId="26" fillId="21" borderId="15" xfId="0" applyFont="1" applyFill="1" applyBorder="1" applyAlignment="1">
      <alignment horizontal="right" vertical="center" wrapText="1"/>
    </xf>
    <xf numFmtId="0" fontId="26" fillId="21" borderId="12" xfId="0" applyFont="1" applyFill="1" applyBorder="1" applyAlignment="1">
      <alignment horizontal="right" vertical="center" wrapText="1"/>
    </xf>
    <xf numFmtId="0" fontId="26" fillId="22" borderId="11" xfId="0" applyFont="1" applyFill="1" applyBorder="1" applyAlignment="1">
      <alignment horizontal="right" vertical="center" wrapText="1"/>
    </xf>
    <xf numFmtId="0" fontId="26" fillId="22" borderId="15" xfId="0" applyFont="1" applyFill="1" applyBorder="1" applyAlignment="1">
      <alignment horizontal="right" vertical="center" wrapText="1"/>
    </xf>
    <xf numFmtId="0" fontId="26" fillId="22" borderId="12" xfId="0" applyFont="1" applyFill="1" applyBorder="1" applyAlignment="1">
      <alignment horizontal="right" vertical="center" wrapText="1"/>
    </xf>
    <xf numFmtId="0" fontId="26" fillId="23" borderId="11" xfId="0" applyFont="1" applyFill="1" applyBorder="1" applyAlignment="1">
      <alignment horizontal="right" vertical="center" wrapText="1"/>
    </xf>
    <xf numFmtId="0" fontId="26" fillId="23" borderId="15" xfId="0" applyFont="1" applyFill="1" applyBorder="1" applyAlignment="1">
      <alignment horizontal="right" vertical="center" wrapText="1"/>
    </xf>
    <xf numFmtId="0" fontId="26" fillId="23" borderId="12" xfId="0" applyFont="1" applyFill="1" applyBorder="1" applyAlignment="1">
      <alignment horizontal="right" vertical="center" wrapText="1"/>
    </xf>
    <xf numFmtId="0" fontId="19" fillId="13" borderId="17" xfId="0" applyFont="1" applyFill="1" applyBorder="1" applyAlignment="1">
      <alignment horizontal="left" vertical="center" wrapText="1"/>
    </xf>
    <xf numFmtId="0" fontId="19" fillId="13" borderId="18" xfId="0" applyFont="1" applyFill="1" applyBorder="1" applyAlignment="1">
      <alignment horizontal="left" vertical="center" wrapText="1"/>
    </xf>
    <xf numFmtId="0" fontId="1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15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26" fillId="20" borderId="11" xfId="0" applyFont="1" applyFill="1" applyBorder="1" applyAlignment="1">
      <alignment horizontal="right" vertical="center" wrapText="1"/>
    </xf>
    <xf numFmtId="0" fontId="26" fillId="20" borderId="15" xfId="0" applyFont="1" applyFill="1" applyBorder="1" applyAlignment="1">
      <alignment horizontal="right" vertical="center" wrapText="1"/>
    </xf>
    <xf numFmtId="0" fontId="26" fillId="20" borderId="12" xfId="0" applyFont="1" applyFill="1" applyBorder="1" applyAlignment="1">
      <alignment horizontal="right"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34" fillId="0" borderId="22" xfId="0" applyFont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1" fontId="32" fillId="13" borderId="34" xfId="0" applyNumberFormat="1" applyFont="1" applyFill="1" applyBorder="1" applyAlignment="1">
      <alignment horizontal="center" vertical="center" wrapText="1"/>
    </xf>
    <xf numFmtId="1" fontId="32" fillId="13" borderId="29" xfId="0" applyNumberFormat="1" applyFont="1" applyFill="1" applyBorder="1" applyAlignment="1">
      <alignment horizontal="center" vertical="center" wrapText="1"/>
    </xf>
    <xf numFmtId="1" fontId="32" fillId="13" borderId="38" xfId="0" applyNumberFormat="1" applyFont="1" applyFill="1" applyBorder="1" applyAlignment="1">
      <alignment horizontal="center" vertical="center" wrapText="1"/>
    </xf>
    <xf numFmtId="1" fontId="32" fillId="13" borderId="24" xfId="0" applyNumberFormat="1" applyFont="1" applyFill="1" applyBorder="1" applyAlignment="1">
      <alignment horizontal="center" vertical="center" wrapText="1"/>
    </xf>
    <xf numFmtId="1" fontId="32" fillId="13" borderId="32" xfId="0" applyNumberFormat="1" applyFont="1" applyFill="1" applyBorder="1" applyAlignment="1">
      <alignment horizontal="center" vertical="center" wrapText="1"/>
    </xf>
    <xf numFmtId="0" fontId="33" fillId="37" borderId="25" xfId="0" applyFont="1" applyFill="1" applyBorder="1" applyAlignment="1">
      <alignment horizontal="center" vertical="center" textRotation="90" wrapText="1"/>
    </xf>
    <xf numFmtId="0" fontId="33" fillId="37" borderId="30" xfId="0" applyFont="1" applyFill="1" applyBorder="1" applyAlignment="1">
      <alignment horizontal="center" vertical="center" textRotation="90" wrapText="1"/>
    </xf>
    <xf numFmtId="0" fontId="33" fillId="37" borderId="33" xfId="0" applyFont="1" applyFill="1" applyBorder="1" applyAlignment="1">
      <alignment horizontal="center" vertical="center" textRotation="90" wrapText="1"/>
    </xf>
    <xf numFmtId="0" fontId="33" fillId="32" borderId="35" xfId="0" applyFont="1" applyFill="1" applyBorder="1" applyAlignment="1">
      <alignment horizontal="center" vertical="center" textRotation="90" wrapText="1"/>
    </xf>
    <xf numFmtId="0" fontId="33" fillId="32" borderId="30" xfId="0" applyFont="1" applyFill="1" applyBorder="1" applyAlignment="1">
      <alignment horizontal="center" vertical="center" textRotation="90" wrapText="1"/>
    </xf>
    <xf numFmtId="0" fontId="33" fillId="32" borderId="39" xfId="0" applyFont="1" applyFill="1" applyBorder="1" applyAlignment="1">
      <alignment horizontal="center" vertical="center" textRotation="90" wrapText="1"/>
    </xf>
    <xf numFmtId="0" fontId="29" fillId="32" borderId="22" xfId="0" applyFont="1" applyFill="1" applyBorder="1" applyAlignment="1">
      <alignment horizontal="center" vertical="center" textRotation="90" wrapText="1"/>
    </xf>
    <xf numFmtId="0" fontId="29" fillId="32" borderId="0" xfId="0" applyFont="1" applyFill="1" applyAlignment="1">
      <alignment horizontal="center" vertical="center" textRotation="90" wrapText="1"/>
    </xf>
    <xf numFmtId="0" fontId="29" fillId="32" borderId="36" xfId="0" applyFont="1" applyFill="1" applyBorder="1" applyAlignment="1">
      <alignment horizontal="center" vertical="center" textRotation="90" wrapText="1"/>
    </xf>
    <xf numFmtId="0" fontId="31" fillId="0" borderId="23" xfId="0" applyFont="1" applyBorder="1" applyAlignment="1">
      <alignment horizontal="center" vertical="center" wrapText="1"/>
    </xf>
    <xf numFmtId="0" fontId="31" fillId="0" borderId="28" xfId="0" applyFont="1" applyBorder="1" applyAlignment="1">
      <alignment horizontal="center" vertical="center" wrapText="1"/>
    </xf>
    <xf numFmtId="1" fontId="32" fillId="33" borderId="24" xfId="0" applyNumberFormat="1" applyFont="1" applyFill="1" applyBorder="1" applyAlignment="1">
      <alignment horizontal="center" vertical="center" wrapText="1"/>
    </xf>
    <xf numFmtId="1" fontId="32" fillId="33" borderId="29" xfId="0" applyNumberFormat="1" applyFont="1" applyFill="1" applyBorder="1" applyAlignment="1">
      <alignment horizontal="center" vertical="center" wrapText="1"/>
    </xf>
    <xf numFmtId="1" fontId="32" fillId="33" borderId="32" xfId="0" applyNumberFormat="1" applyFont="1" applyFill="1" applyBorder="1" applyAlignment="1">
      <alignment horizontal="center" vertical="center" wrapText="1"/>
    </xf>
    <xf numFmtId="0" fontId="33" fillId="32" borderId="25" xfId="0" applyFont="1" applyFill="1" applyBorder="1" applyAlignment="1">
      <alignment horizontal="center" vertical="center" textRotation="90" wrapText="1"/>
    </xf>
    <xf numFmtId="0" fontId="33" fillId="32" borderId="33" xfId="0" applyFont="1" applyFill="1" applyBorder="1" applyAlignment="1">
      <alignment horizontal="center" vertical="center" textRotation="90" wrapText="1"/>
    </xf>
    <xf numFmtId="1" fontId="32" fillId="33" borderId="34" xfId="0" applyNumberFormat="1" applyFont="1" applyFill="1" applyBorder="1" applyAlignment="1">
      <alignment horizontal="center" vertical="center" wrapText="1"/>
    </xf>
    <xf numFmtId="0" fontId="29" fillId="36" borderId="22" xfId="0" applyFont="1" applyFill="1" applyBorder="1" applyAlignment="1">
      <alignment horizontal="center" vertical="center" textRotation="90" wrapText="1"/>
    </xf>
    <xf numFmtId="0" fontId="29" fillId="36" borderId="0" xfId="0" applyFont="1" applyFill="1" applyAlignment="1">
      <alignment horizontal="center" vertical="center" textRotation="90" wrapText="1"/>
    </xf>
    <xf numFmtId="0" fontId="29" fillId="36" borderId="36" xfId="0" applyFont="1" applyFill="1" applyBorder="1" applyAlignment="1">
      <alignment horizontal="center" vertical="center" textRotation="90" wrapText="1"/>
    </xf>
    <xf numFmtId="0" fontId="31" fillId="0" borderId="37" xfId="0" applyFont="1" applyBorder="1" applyAlignment="1">
      <alignment horizontal="center" vertical="center" wrapText="1"/>
    </xf>
    <xf numFmtId="1" fontId="32" fillId="33" borderId="38" xfId="0" applyNumberFormat="1" applyFont="1" applyFill="1" applyBorder="1" applyAlignment="1">
      <alignment horizontal="center" vertical="center" wrapText="1"/>
    </xf>
    <xf numFmtId="0" fontId="29" fillId="38" borderId="22" xfId="0" applyFont="1" applyFill="1" applyBorder="1" applyAlignment="1">
      <alignment horizontal="center" vertical="center" textRotation="90" wrapText="1"/>
    </xf>
    <xf numFmtId="0" fontId="29" fillId="38" borderId="0" xfId="0" applyFont="1" applyFill="1" applyAlignment="1">
      <alignment horizontal="center" vertical="center" textRotation="90" wrapText="1"/>
    </xf>
    <xf numFmtId="0" fontId="29" fillId="38" borderId="36" xfId="0" applyFont="1" applyFill="1" applyBorder="1" applyAlignment="1">
      <alignment horizontal="center" vertical="center" textRotation="90" wrapText="1"/>
    </xf>
    <xf numFmtId="0" fontId="33" fillId="39" borderId="35" xfId="0" applyFont="1" applyFill="1" applyBorder="1" applyAlignment="1">
      <alignment horizontal="center" vertical="center" textRotation="90" wrapText="1"/>
    </xf>
    <xf numFmtId="0" fontId="33" fillId="39" borderId="30" xfId="0" applyFont="1" applyFill="1" applyBorder="1" applyAlignment="1">
      <alignment horizontal="center" vertical="center" textRotation="90" wrapText="1"/>
    </xf>
    <xf numFmtId="0" fontId="33" fillId="39" borderId="39" xfId="0" applyFont="1" applyFill="1" applyBorder="1" applyAlignment="1">
      <alignment horizontal="center" vertical="center" textRotation="90" wrapText="1"/>
    </xf>
    <xf numFmtId="0" fontId="33" fillId="37" borderId="35" xfId="0" applyFont="1" applyFill="1" applyBorder="1" applyAlignment="1">
      <alignment horizontal="center" vertical="center" textRotation="90" wrapText="1"/>
    </xf>
    <xf numFmtId="0" fontId="39" fillId="0" borderId="31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3" fillId="39" borderId="25" xfId="0" applyFont="1" applyFill="1" applyBorder="1" applyAlignment="1">
      <alignment horizontal="center" vertical="center" textRotation="90" wrapText="1"/>
    </xf>
    <xf numFmtId="0" fontId="33" fillId="39" borderId="33" xfId="0" applyFont="1" applyFill="1" applyBorder="1" applyAlignment="1">
      <alignment horizontal="center" vertical="center" textRotation="90" wrapText="1"/>
    </xf>
    <xf numFmtId="0" fontId="33" fillId="37" borderId="39" xfId="0" applyFont="1" applyFill="1" applyBorder="1" applyAlignment="1">
      <alignment horizontal="center" vertical="center" textRotation="90" wrapText="1"/>
    </xf>
    <xf numFmtId="0" fontId="40" fillId="0" borderId="22" xfId="0" applyFont="1" applyBorder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40" fillId="0" borderId="31" xfId="0" applyFont="1" applyBorder="1" applyAlignment="1">
      <alignment horizontal="center" vertical="center" wrapText="1"/>
    </xf>
    <xf numFmtId="0" fontId="33" fillId="39" borderId="30" xfId="0" applyFont="1" applyFill="1" applyBorder="1" applyAlignment="1">
      <alignment horizontal="center" vertical="center" wrapText="1"/>
    </xf>
    <xf numFmtId="0" fontId="33" fillId="39" borderId="0" xfId="0" applyFont="1" applyFill="1" applyAlignment="1">
      <alignment horizontal="center" vertical="center" wrapText="1"/>
    </xf>
    <xf numFmtId="0" fontId="33" fillId="39" borderId="33" xfId="0" applyFont="1" applyFill="1" applyBorder="1" applyAlignment="1">
      <alignment horizontal="center" vertical="center" wrapText="1"/>
    </xf>
    <xf numFmtId="0" fontId="33" fillId="39" borderId="40" xfId="0" applyFont="1" applyFill="1" applyBorder="1" applyAlignment="1">
      <alignment horizontal="center" vertical="center" wrapText="1"/>
    </xf>
    <xf numFmtId="0" fontId="40" fillId="0" borderId="41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33" fillId="40" borderId="25" xfId="0" applyFont="1" applyFill="1" applyBorder="1" applyAlignment="1">
      <alignment horizontal="center" vertical="center" wrapText="1"/>
    </xf>
    <xf numFmtId="0" fontId="33" fillId="40" borderId="22" xfId="0" applyFont="1" applyFill="1" applyBorder="1" applyAlignment="1">
      <alignment horizontal="center" vertical="center" wrapText="1"/>
    </xf>
    <xf numFmtId="0" fontId="33" fillId="40" borderId="33" xfId="0" applyFont="1" applyFill="1" applyBorder="1" applyAlignment="1">
      <alignment horizontal="center" vertical="center" wrapText="1"/>
    </xf>
    <xf numFmtId="0" fontId="33" fillId="40" borderId="40" xfId="0" applyFont="1" applyFill="1" applyBorder="1" applyAlignment="1">
      <alignment horizontal="center" vertical="center" wrapText="1"/>
    </xf>
    <xf numFmtId="0" fontId="29" fillId="40" borderId="22" xfId="0" applyFont="1" applyFill="1" applyBorder="1" applyAlignment="1">
      <alignment horizontal="center" vertical="center" textRotation="90" wrapText="1"/>
    </xf>
    <xf numFmtId="0" fontId="29" fillId="40" borderId="0" xfId="0" applyFont="1" applyFill="1" applyAlignment="1">
      <alignment horizontal="center" vertical="center" textRotation="90" wrapText="1"/>
    </xf>
    <xf numFmtId="0" fontId="29" fillId="40" borderId="36" xfId="0" applyFont="1" applyFill="1" applyBorder="1" applyAlignment="1">
      <alignment horizontal="center" vertical="center" textRotation="90" wrapText="1"/>
    </xf>
    <xf numFmtId="0" fontId="33" fillId="41" borderId="35" xfId="0" applyFont="1" applyFill="1" applyBorder="1" applyAlignment="1">
      <alignment horizontal="center" vertical="center" textRotation="90" wrapText="1"/>
    </xf>
    <xf numFmtId="0" fontId="33" fillId="41" borderId="30" xfId="0" applyFont="1" applyFill="1" applyBorder="1" applyAlignment="1">
      <alignment horizontal="center" vertical="center" textRotation="90" wrapText="1"/>
    </xf>
    <xf numFmtId="0" fontId="33" fillId="41" borderId="33" xfId="0" applyFont="1" applyFill="1" applyBorder="1" applyAlignment="1">
      <alignment horizontal="center" vertical="center" textRotation="90" wrapText="1"/>
    </xf>
    <xf numFmtId="0" fontId="29" fillId="41" borderId="22" xfId="0" applyFont="1" applyFill="1" applyBorder="1" applyAlignment="1">
      <alignment horizontal="center" vertical="center" textRotation="90" wrapText="1"/>
    </xf>
    <xf numFmtId="0" fontId="29" fillId="41" borderId="0" xfId="0" applyFont="1" applyFill="1" applyAlignment="1">
      <alignment horizontal="center" vertical="center" textRotation="90" wrapText="1"/>
    </xf>
    <xf numFmtId="0" fontId="34" fillId="0" borderId="31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9" fillId="0" borderId="22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36" xfId="0" applyFont="1" applyBorder="1" applyAlignment="1">
      <alignment horizontal="center" vertical="center" wrapText="1"/>
    </xf>
    <xf numFmtId="0" fontId="33" fillId="40" borderId="35" xfId="0" applyFont="1" applyFill="1" applyBorder="1" applyAlignment="1">
      <alignment horizontal="center" vertical="center" wrapText="1"/>
    </xf>
    <xf numFmtId="0" fontId="33" fillId="40" borderId="41" xfId="0" applyFont="1" applyFill="1" applyBorder="1" applyAlignment="1">
      <alignment horizontal="center" vertical="center" wrapText="1"/>
    </xf>
    <xf numFmtId="0" fontId="33" fillId="40" borderId="30" xfId="0" applyFont="1" applyFill="1" applyBorder="1" applyAlignment="1">
      <alignment horizontal="center" vertical="center" wrapText="1"/>
    </xf>
    <xf numFmtId="0" fontId="33" fillId="40" borderId="0" xfId="0" applyFont="1" applyFill="1" applyAlignment="1">
      <alignment horizontal="center" vertical="center" wrapText="1"/>
    </xf>
    <xf numFmtId="0" fontId="33" fillId="40" borderId="39" xfId="0" applyFont="1" applyFill="1" applyBorder="1" applyAlignment="1">
      <alignment horizontal="center" vertical="center" wrapText="1"/>
    </xf>
    <xf numFmtId="0" fontId="33" fillId="40" borderId="36" xfId="0" applyFont="1" applyFill="1" applyBorder="1" applyAlignment="1">
      <alignment horizontal="center" vertical="center" wrapText="1"/>
    </xf>
    <xf numFmtId="0" fontId="33" fillId="41" borderId="25" xfId="0" applyFont="1" applyFill="1" applyBorder="1" applyAlignment="1">
      <alignment horizontal="center" vertical="center" wrapText="1"/>
    </xf>
    <xf numFmtId="0" fontId="33" fillId="41" borderId="22" xfId="0" applyFont="1" applyFill="1" applyBorder="1" applyAlignment="1">
      <alignment horizontal="center" vertical="center" wrapText="1"/>
    </xf>
    <xf numFmtId="0" fontId="33" fillId="41" borderId="30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 wrapText="1"/>
    </xf>
    <xf numFmtId="0" fontId="33" fillId="41" borderId="33" xfId="0" applyFont="1" applyFill="1" applyBorder="1" applyAlignment="1">
      <alignment horizontal="center" vertical="center" wrapText="1"/>
    </xf>
    <xf numFmtId="0" fontId="33" fillId="41" borderId="40" xfId="0" applyFont="1" applyFill="1" applyBorder="1" applyAlignment="1">
      <alignment horizontal="center" vertical="center" wrapText="1"/>
    </xf>
    <xf numFmtId="0" fontId="41" fillId="0" borderId="41" xfId="0" applyFont="1" applyBorder="1" applyAlignment="1">
      <alignment horizontal="center" vertical="center" wrapText="1"/>
    </xf>
    <xf numFmtId="0" fontId="41" fillId="0" borderId="26" xfId="0" applyFont="1" applyBorder="1" applyAlignment="1">
      <alignment horizontal="center" vertical="center" wrapText="1"/>
    </xf>
    <xf numFmtId="0" fontId="41" fillId="0" borderId="31" xfId="0" applyFont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29" fillId="26" borderId="28" xfId="0" applyFont="1" applyFill="1" applyBorder="1" applyAlignment="1">
      <alignment horizontal="center" vertical="center" wrapText="1"/>
    </xf>
    <xf numFmtId="0" fontId="42" fillId="17" borderId="42" xfId="0" applyFont="1" applyFill="1" applyBorder="1" applyAlignment="1">
      <alignment horizontal="left" vertical="center" wrapText="1"/>
    </xf>
    <xf numFmtId="0" fontId="42" fillId="17" borderId="43" xfId="0" applyFont="1" applyFill="1" applyBorder="1" applyAlignment="1">
      <alignment horizontal="left" vertical="center" wrapText="1"/>
    </xf>
    <xf numFmtId="0" fontId="67" fillId="13" borderId="72" xfId="0" applyFont="1" applyFill="1" applyBorder="1" applyAlignment="1">
      <alignment horizontal="left" vertical="center" wrapText="1"/>
    </xf>
    <xf numFmtId="0" fontId="61" fillId="13" borderId="58" xfId="0" applyFont="1" applyFill="1" applyBorder="1" applyAlignment="1">
      <alignment horizontal="left" vertical="center" wrapText="1"/>
    </xf>
    <xf numFmtId="0" fontId="61" fillId="13" borderId="65" xfId="0" applyFont="1" applyFill="1" applyBorder="1" applyAlignment="1">
      <alignment horizontal="left" vertical="center" wrapText="1"/>
    </xf>
    <xf numFmtId="0" fontId="63" fillId="13" borderId="61" xfId="0" applyFont="1" applyFill="1" applyBorder="1" applyAlignment="1">
      <alignment horizontal="left" vertical="center" wrapText="1"/>
    </xf>
    <xf numFmtId="0" fontId="65" fillId="13" borderId="63" xfId="0" applyFont="1" applyFill="1" applyBorder="1" applyAlignment="1">
      <alignment horizontal="left" vertical="center" wrapText="1"/>
    </xf>
    <xf numFmtId="0" fontId="44" fillId="0" borderId="56" xfId="0" applyFont="1" applyBorder="1" applyAlignment="1">
      <alignment horizontal="center" vertical="center" wrapText="1"/>
    </xf>
    <xf numFmtId="0" fontId="61" fillId="13" borderId="60" xfId="0" applyFont="1" applyFill="1" applyBorder="1" applyAlignment="1">
      <alignment horizontal="left" vertical="center" wrapText="1"/>
    </xf>
    <xf numFmtId="0" fontId="67" fillId="13" borderId="73" xfId="0" applyFont="1" applyFill="1" applyBorder="1" applyAlignment="1">
      <alignment horizontal="left" vertical="center" wrapText="1"/>
    </xf>
    <xf numFmtId="0" fontId="65" fillId="13" borderId="74" xfId="0" applyFont="1" applyFill="1" applyBorder="1" applyAlignment="1">
      <alignment horizontal="left" vertical="center" wrapText="1"/>
    </xf>
    <xf numFmtId="0" fontId="69" fillId="13" borderId="75" xfId="0" applyFont="1" applyFill="1" applyBorder="1" applyAlignment="1">
      <alignment horizontal="left" vertical="center" wrapText="1"/>
    </xf>
    <xf numFmtId="0" fontId="67" fillId="13" borderId="66" xfId="0" applyFont="1" applyFill="1" applyBorder="1" applyAlignment="1">
      <alignment horizontal="left" vertical="center" wrapText="1"/>
    </xf>
    <xf numFmtId="0" fontId="69" fillId="13" borderId="68" xfId="0" applyFont="1" applyFill="1" applyBorder="1" applyAlignment="1">
      <alignment horizontal="left" vertical="center" wrapText="1"/>
    </xf>
    <xf numFmtId="0" fontId="63" fillId="13" borderId="70" xfId="0" applyFont="1" applyFill="1" applyBorder="1" applyAlignment="1">
      <alignment horizontal="left" vertical="center" wrapText="1"/>
    </xf>
    <xf numFmtId="0" fontId="63" fillId="13" borderId="71" xfId="0" applyFont="1" applyFill="1" applyBorder="1" applyAlignment="1">
      <alignment horizontal="left" vertical="center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8" xfId="0" applyFont="1" applyFill="1" applyBorder="1" applyAlignment="1">
      <alignment horizontal="center" vertic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2" fillId="24" borderId="4" xfId="0" applyFont="1" applyFill="1" applyBorder="1" applyAlignment="1" applyProtection="1">
      <alignment horizontal="center"/>
      <protection locked="0"/>
    </xf>
    <xf numFmtId="0" fontId="12" fillId="24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24" borderId="5" xfId="0" applyFont="1" applyFill="1" applyBorder="1" applyAlignment="1" applyProtection="1">
      <alignment horizontal="center" vertical="center"/>
      <protection locked="0"/>
    </xf>
    <xf numFmtId="0" fontId="17" fillId="24" borderId="5" xfId="0" applyFont="1" applyFill="1" applyBorder="1" applyAlignment="1">
      <alignment horizontal="center" vertical="center"/>
    </xf>
    <xf numFmtId="0" fontId="57" fillId="45" borderId="51" xfId="0" applyFont="1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7" fillId="0" borderId="50" xfId="0" applyFont="1" applyBorder="1" applyAlignment="1">
      <alignment horizontal="center" vertical="center" wrapText="1"/>
    </xf>
    <xf numFmtId="0" fontId="58" fillId="45" borderId="51" xfId="0" applyFont="1" applyFill="1" applyBorder="1" applyAlignment="1">
      <alignment horizontal="left" vertical="center" wrapText="1"/>
    </xf>
    <xf numFmtId="0" fontId="58" fillId="0" borderId="0" xfId="0" applyFont="1" applyAlignment="1">
      <alignment horizontal="left" vertical="center" wrapText="1"/>
    </xf>
    <xf numFmtId="0" fontId="58" fillId="0" borderId="50" xfId="0" applyFont="1" applyBorder="1" applyAlignment="1">
      <alignment horizontal="left" vertical="center" wrapText="1"/>
    </xf>
    <xf numFmtId="0" fontId="51" fillId="44" borderId="53" xfId="0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 wrapText="1"/>
    </xf>
    <xf numFmtId="0" fontId="51" fillId="0" borderId="46" xfId="0" applyFont="1" applyBorder="1" applyAlignment="1">
      <alignment horizontal="center" vertical="center" wrapText="1"/>
    </xf>
    <xf numFmtId="0" fontId="52" fillId="44" borderId="53" xfId="0" applyFont="1" applyFill="1" applyBorder="1" applyAlignment="1">
      <alignment horizontal="left" vertical="center" wrapText="1"/>
    </xf>
    <xf numFmtId="0" fontId="52" fillId="0" borderId="0" xfId="0" applyFont="1" applyAlignment="1">
      <alignment horizontal="left" vertical="center" wrapText="1"/>
    </xf>
    <xf numFmtId="0" fontId="52" fillId="0" borderId="46" xfId="0" applyFont="1" applyBorder="1" applyAlignment="1">
      <alignment horizontal="left" vertical="center" wrapText="1"/>
    </xf>
    <xf numFmtId="0" fontId="53" fillId="45" borderId="54" xfId="0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48" xfId="0" applyFont="1" applyBorder="1" applyAlignment="1">
      <alignment horizontal="center" vertical="center" wrapText="1"/>
    </xf>
    <xf numFmtId="0" fontId="54" fillId="45" borderId="54" xfId="0" applyFont="1" applyFill="1" applyBorder="1" applyAlignment="1">
      <alignment horizontal="left" vertical="center" wrapText="1"/>
    </xf>
    <xf numFmtId="0" fontId="54" fillId="0" borderId="0" xfId="0" applyFont="1" applyAlignment="1">
      <alignment horizontal="left" vertical="center" wrapText="1"/>
    </xf>
    <xf numFmtId="0" fontId="54" fillId="0" borderId="48" xfId="0" applyFont="1" applyBorder="1" applyAlignment="1">
      <alignment horizontal="left" vertical="center" wrapText="1"/>
    </xf>
    <xf numFmtId="0" fontId="55" fillId="44" borderId="55" xfId="0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5" fillId="0" borderId="50" xfId="0" applyFont="1" applyBorder="1" applyAlignment="1">
      <alignment horizontal="center" vertical="center" wrapText="1"/>
    </xf>
    <xf numFmtId="0" fontId="56" fillId="44" borderId="55" xfId="0" applyFont="1" applyFill="1" applyBorder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0" fontId="56" fillId="0" borderId="50" xfId="0" applyFont="1" applyBorder="1" applyAlignment="1">
      <alignment horizontal="left" vertical="center" wrapText="1"/>
    </xf>
    <xf numFmtId="0" fontId="45" fillId="44" borderId="79" xfId="0" applyFont="1" applyFill="1" applyBorder="1" applyAlignment="1">
      <alignment vertical="center" wrapText="1"/>
    </xf>
    <xf numFmtId="0" fontId="45" fillId="44" borderId="79" xfId="0" applyFont="1" applyFill="1" applyBorder="1" applyAlignment="1">
      <alignment vertical="center" wrapText="1"/>
    </xf>
    <xf numFmtId="0" fontId="45" fillId="44" borderId="79" xfId="0" applyFont="1" applyFill="1" applyBorder="1" applyAlignment="1">
      <alignment horizontal="center" vertical="center" wrapText="1"/>
    </xf>
    <xf numFmtId="1" fontId="77" fillId="45" borderId="0" xfId="0" applyNumberFormat="1" applyFont="1" applyFill="1" applyBorder="1" applyAlignment="1">
      <alignment vertical="center" wrapText="1"/>
    </xf>
    <xf numFmtId="1" fontId="77" fillId="45" borderId="44" xfId="0" applyNumberFormat="1" applyFont="1" applyFill="1" applyBorder="1" applyAlignment="1">
      <alignment vertical="center" wrapText="1"/>
    </xf>
    <xf numFmtId="1" fontId="77" fillId="45" borderId="45" xfId="0" applyNumberFormat="1" applyFont="1" applyFill="1" applyBorder="1" applyAlignment="1">
      <alignment vertical="center" wrapText="1"/>
    </xf>
    <xf numFmtId="0" fontId="78" fillId="45" borderId="80" xfId="0" applyFont="1" applyFill="1" applyBorder="1" applyAlignment="1">
      <alignment horizontal="center" vertical="center" wrapText="1"/>
    </xf>
    <xf numFmtId="0" fontId="78" fillId="0" borderId="0" xfId="0" applyFont="1" applyAlignment="1">
      <alignment horizontal="center" vertical="center" wrapText="1"/>
    </xf>
    <xf numFmtId="0" fontId="78" fillId="0" borderId="45" xfId="0" applyFont="1" applyBorder="1" applyAlignment="1">
      <alignment horizontal="center" vertical="center" wrapText="1"/>
    </xf>
    <xf numFmtId="0" fontId="79" fillId="45" borderId="80" xfId="0" applyFont="1" applyFill="1" applyBorder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0" fontId="79" fillId="0" borderId="45" xfId="0" applyFont="1" applyBorder="1" applyAlignment="1">
      <alignment horizontal="left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8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404040"/>
      <color rgb="FF7F7F7F"/>
      <color rgb="FF000000"/>
      <color rgb="FF006086"/>
      <color rgb="FF007E86"/>
      <color rgb="FFBD1933"/>
      <color rgb="FF595959"/>
      <color rgb="FF808080"/>
      <color rgb="FF262626"/>
      <color rgb="FF8686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626917360"/>
        <c:axId val="13572016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6917360"/>
        <c:axId val="1357201616"/>
      </c:lineChart>
      <c:catAx>
        <c:axId val="16269173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357201616"/>
        <c:crosses val="autoZero"/>
        <c:auto val="1"/>
        <c:lblAlgn val="ctr"/>
        <c:lblOffset val="100"/>
        <c:noMultiLvlLbl val="0"/>
      </c:catAx>
      <c:valAx>
        <c:axId val="13572016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26917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748997840"/>
        <c:axId val="17489983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8997840"/>
        <c:axId val="1748998384"/>
      </c:lineChart>
      <c:catAx>
        <c:axId val="1748997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8998384"/>
        <c:crosses val="autoZero"/>
        <c:auto val="1"/>
        <c:lblAlgn val="ctr"/>
        <c:lblOffset val="100"/>
        <c:noMultiLvlLbl val="0"/>
      </c:catAx>
      <c:valAx>
        <c:axId val="17489983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8997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628174416"/>
        <c:axId val="16281749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28174416"/>
        <c:axId val="1628174960"/>
      </c:lineChart>
      <c:catAx>
        <c:axId val="16281744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628174960"/>
        <c:crosses val="autoZero"/>
        <c:auto val="1"/>
        <c:lblAlgn val="ctr"/>
        <c:lblOffset val="100"/>
        <c:noMultiLvlLbl val="0"/>
      </c:catAx>
      <c:valAx>
        <c:axId val="16281749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28174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9,1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11,4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18,7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</c:formatCode>
                <c:ptCount val="10"/>
                <c:pt idx="0">
                  <c:v>1.5751383567475523</c:v>
                </c:pt>
                <c:pt idx="1">
                  <c:v>2.9587058322690507</c:v>
                </c:pt>
                <c:pt idx="2">
                  <c:v>20.838654746700726</c:v>
                </c:pt>
                <c:pt idx="3">
                  <c:v>16.900808854831844</c:v>
                </c:pt>
                <c:pt idx="4">
                  <c:v>8.2162622392507441</c:v>
                </c:pt>
                <c:pt idx="5">
                  <c:v>9.0676883780332069</c:v>
                </c:pt>
                <c:pt idx="6">
                  <c:v>11.409110259684972</c:v>
                </c:pt>
                <c:pt idx="7">
                  <c:v>18.667518092805448</c:v>
                </c:pt>
                <c:pt idx="8">
                  <c:v>8.4291187739463602</c:v>
                </c:pt>
                <c:pt idx="9">
                  <c:v>0.89399744572158357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598728256"/>
        <c:axId val="1598729344"/>
      </c:barChart>
      <c:catAx>
        <c:axId val="159872825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598729344"/>
        <c:crosses val="autoZero"/>
        <c:auto val="1"/>
        <c:lblAlgn val="ctr"/>
        <c:lblOffset val="100"/>
        <c:noMultiLvlLbl val="0"/>
      </c:catAx>
      <c:valAx>
        <c:axId val="1598729344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598728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Demografías'!$D$324:$J$324</c:f>
              <c:numCache>
                <c:formatCode>0</c:formatCode>
                <c:ptCount val="7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Demografías'!$D$326:$J$326</c:f>
              <c:numCache>
                <c:formatCode>0</c:formatCode>
                <c:ptCount val="7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39853056"/>
        <c:axId val="183985849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Demografías'!$D$329:$J$329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Demografías'!$D$330:$J$330</c:f>
              <c:numCache>
                <c:formatCode>0</c:formatCode>
                <c:ptCount val="7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9853056"/>
        <c:axId val="1839858496"/>
      </c:lineChart>
      <c:catAx>
        <c:axId val="18398530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839858496"/>
        <c:crosses val="autoZero"/>
        <c:auto val="1"/>
        <c:lblAlgn val="ctr"/>
        <c:lblOffset val="100"/>
        <c:noMultiLvlLbl val="0"/>
      </c:catAx>
      <c:valAx>
        <c:axId val="18398584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39853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Demografías'!$D$355:$J$355</c:f>
              <c:numCache>
                <c:formatCode>0</c:formatCode>
                <c:ptCount val="7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Demografías'!$D$357:$J$357</c:f>
              <c:numCache>
                <c:formatCode>0</c:formatCode>
                <c:ptCount val="7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39856320"/>
        <c:axId val="183985904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Demografías'!$D$360:$J$360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Demografías'!$D$361:$J$361</c:f>
              <c:numCache>
                <c:formatCode>0</c:formatCode>
                <c:ptCount val="7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9856320"/>
        <c:axId val="1839859040"/>
      </c:lineChart>
      <c:catAx>
        <c:axId val="1839856320"/>
        <c:scaling>
          <c:orientation val="minMax"/>
        </c:scaling>
        <c:delete val="1"/>
        <c:axPos val="b"/>
        <c:majorTickMark val="none"/>
        <c:minorTickMark val="none"/>
        <c:tickLblPos val="nextTo"/>
        <c:crossAx val="1839859040"/>
        <c:crosses val="autoZero"/>
        <c:auto val="1"/>
        <c:lblAlgn val="ctr"/>
        <c:lblOffset val="100"/>
        <c:noMultiLvlLbl val="0"/>
      </c:catAx>
      <c:valAx>
        <c:axId val="18398590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39856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Demografías'!$D$446:$J$446</c:f>
              <c:numCache>
                <c:formatCode>0</c:formatCode>
                <c:ptCount val="7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Demografías'!$D$448:$J$448</c:f>
              <c:numCache>
                <c:formatCode>0</c:formatCode>
                <c:ptCount val="7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537103760"/>
        <c:axId val="15371048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Demografías'!$D$451:$J$451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Demografías'!$D$452:$J$452</c:f>
              <c:numCache>
                <c:formatCode>0</c:formatCode>
                <c:ptCount val="7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7103760"/>
        <c:axId val="1537104848"/>
      </c:lineChart>
      <c:catAx>
        <c:axId val="1537103760"/>
        <c:scaling>
          <c:orientation val="minMax"/>
        </c:scaling>
        <c:delete val="1"/>
        <c:axPos val="b"/>
        <c:majorTickMark val="none"/>
        <c:minorTickMark val="none"/>
        <c:tickLblPos val="nextTo"/>
        <c:crossAx val="1537104848"/>
        <c:crosses val="autoZero"/>
        <c:auto val="1"/>
        <c:lblAlgn val="ctr"/>
        <c:lblOffset val="100"/>
        <c:noMultiLvlLbl val="0"/>
      </c:catAx>
      <c:valAx>
        <c:axId val="15371048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53710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55,6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</c:formatCode>
                <c:ptCount val="14"/>
                <c:pt idx="0">
                  <c:v>0.17028522775649213</c:v>
                </c:pt>
                <c:pt idx="1">
                  <c:v>0.29799914857386123</c:v>
                </c:pt>
                <c:pt idx="2">
                  <c:v>0.87271179225202211</c:v>
                </c:pt>
                <c:pt idx="3">
                  <c:v>4.235845040442741</c:v>
                </c:pt>
                <c:pt idx="4">
                  <c:v>55.598126862494681</c:v>
                </c:pt>
                <c:pt idx="5">
                  <c:v>2.0221370796083442</c:v>
                </c:pt>
                <c:pt idx="6">
                  <c:v>0.44699872286079179</c:v>
                </c:pt>
                <c:pt idx="7">
                  <c:v>3.6185610898254574</c:v>
                </c:pt>
                <c:pt idx="8">
                  <c:v>2.1711366538952745</c:v>
                </c:pt>
                <c:pt idx="9">
                  <c:v>1.277139208173691</c:v>
                </c:pt>
                <c:pt idx="10">
                  <c:v>31.460195828011923</c:v>
                </c:pt>
                <c:pt idx="11">
                  <c:v>1.5538527032779907</c:v>
                </c:pt>
                <c:pt idx="12">
                  <c:v>6.3856960408684549E-2</c:v>
                </c:pt>
                <c:pt idx="13">
                  <c:v>0.21285653469561516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796766672"/>
        <c:axId val="1796766128"/>
      </c:barChart>
      <c:catAx>
        <c:axId val="179676667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796766128"/>
        <c:crosses val="autoZero"/>
        <c:auto val="1"/>
        <c:lblAlgn val="ctr"/>
        <c:lblOffset val="100"/>
        <c:noMultiLvlLbl val="0"/>
      </c:catAx>
      <c:valAx>
        <c:axId val="1796766128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796766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Demografías'!$D$507:$J$507</c:f>
              <c:numCache>
                <c:formatCode>0</c:formatCode>
                <c:ptCount val="7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0</c:formatCode>
                <c:ptCount val="7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764173552"/>
        <c:axId val="176417300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Demografías'!$D$512:$J$512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Demografías'!$D$513:$J$513</c:f>
              <c:numCache>
                <c:formatCode>0</c:formatCode>
                <c:ptCount val="7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4173552"/>
        <c:axId val="1764173008"/>
      </c:lineChart>
      <c:catAx>
        <c:axId val="17641735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64173008"/>
        <c:crosses val="autoZero"/>
        <c:auto val="1"/>
        <c:lblAlgn val="ctr"/>
        <c:lblOffset val="100"/>
        <c:noMultiLvlLbl val="0"/>
      </c:catAx>
      <c:valAx>
        <c:axId val="176417300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64173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Demografías'!$D$540:$J$540</c:f>
              <c:numCache>
                <c:formatCode>0</c:formatCode>
                <c:ptCount val="7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01644480"/>
        <c:axId val="18016553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Demografías'!$D$543:$J$543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Demografías'!$D$544:$J$544</c:f>
              <c:numCache>
                <c:formatCode>0</c:formatCode>
                <c:ptCount val="7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44480"/>
        <c:axId val="1801655360"/>
      </c:lineChart>
      <c:catAx>
        <c:axId val="18016444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55360"/>
        <c:crosses val="autoZero"/>
        <c:auto val="1"/>
        <c:lblAlgn val="ctr"/>
        <c:lblOffset val="100"/>
        <c:noMultiLvlLbl val="0"/>
      </c:catAx>
      <c:valAx>
        <c:axId val="18016553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1644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Demografías'!$D$631:$J$631</c:f>
              <c:numCache>
                <c:formatCode>0</c:formatCode>
                <c:ptCount val="7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01665152"/>
        <c:axId val="180167004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Demografías'!$D$634:$J$634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Demografías'!$D$635:$J$635</c:f>
              <c:numCache>
                <c:formatCode>0</c:formatCode>
                <c:ptCount val="7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65152"/>
        <c:axId val="1801670048"/>
      </c:lineChart>
      <c:catAx>
        <c:axId val="1801665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70048"/>
        <c:crosses val="autoZero"/>
        <c:auto val="1"/>
        <c:lblAlgn val="ctr"/>
        <c:lblOffset val="100"/>
        <c:noMultiLvlLbl val="0"/>
      </c:catAx>
      <c:valAx>
        <c:axId val="180167004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1665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Demografías'!$D$722:$J$722</c:f>
              <c:numCache>
                <c:formatCode>0</c:formatCode>
                <c:ptCount val="7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01682016"/>
        <c:axId val="180169017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Demografías'!$D$725:$J$725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0</c:formatCode>
                <c:ptCount val="7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82016"/>
        <c:axId val="1801690176"/>
      </c:lineChart>
      <c:catAx>
        <c:axId val="1801682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90176"/>
        <c:crosses val="autoZero"/>
        <c:auto val="1"/>
        <c:lblAlgn val="ctr"/>
        <c:lblOffset val="100"/>
        <c:noMultiLvlLbl val="0"/>
      </c:catAx>
      <c:valAx>
        <c:axId val="180169017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168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Demografías'!$D$811:$J$811</c:f>
              <c:numCache>
                <c:formatCode>0</c:formatCode>
                <c:ptCount val="7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801691808"/>
        <c:axId val="180168310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Demografías'!$D$816:$J$816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0</c:formatCode>
                <c:ptCount val="7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dLblPos val="ctr"/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691808"/>
        <c:axId val="1801683104"/>
      </c:lineChart>
      <c:catAx>
        <c:axId val="1801691808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683104"/>
        <c:crosses val="autoZero"/>
        <c:auto val="1"/>
        <c:lblAlgn val="ctr"/>
        <c:lblOffset val="100"/>
        <c:noMultiLvlLbl val="0"/>
      </c:catAx>
      <c:valAx>
        <c:axId val="18016831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801691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86</c:v>
              </c:pt>
              <c:pt idx="1">
                <c:v>88</c:v>
              </c:pt>
              <c:pt idx="2">
                <c:v>89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796760144"/>
        <c:axId val="179676340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6760144"/>
        <c:axId val="1796763408"/>
      </c:lineChart>
      <c:catAx>
        <c:axId val="1796760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96763408"/>
        <c:crosses val="autoZero"/>
        <c:auto val="1"/>
        <c:lblAlgn val="ctr"/>
        <c:lblOffset val="100"/>
        <c:noMultiLvlLbl val="0"/>
      </c:catAx>
      <c:valAx>
        <c:axId val="179676340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79676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86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89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796761776"/>
        <c:axId val="1796763952"/>
      </c:lineChart>
      <c:catAx>
        <c:axId val="1796761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796763952"/>
        <c:crosses val="autoZero"/>
        <c:auto val="1"/>
        <c:lblAlgn val="ctr"/>
        <c:lblOffset val="100"/>
        <c:noMultiLvlLbl val="0"/>
      </c:catAx>
      <c:valAx>
        <c:axId val="1796763952"/>
        <c:scaling>
          <c:orientation val="minMax"/>
          <c:min val="85.07"/>
        </c:scaling>
        <c:delete val="1"/>
        <c:axPos val="l"/>
        <c:numFmt formatCode="General" sourceLinked="1"/>
        <c:majorTickMark val="none"/>
        <c:minorTickMark val="none"/>
        <c:tickLblPos val="nextTo"/>
        <c:crossAx val="1796761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Indicadores!$M$70:$M$74</c:f>
              <c:numCache>
                <c:formatCode>0</c:formatCode>
                <c:ptCount val="5"/>
                <c:pt idx="0">
                  <c:v>87.87</c:v>
                </c:pt>
                <c:pt idx="1">
                  <c:v>90.01</c:v>
                </c:pt>
                <c:pt idx="2">
                  <c:v>79.709999999999994</c:v>
                </c:pt>
                <c:pt idx="3">
                  <c:v>88.39</c:v>
                </c:pt>
                <c:pt idx="4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Indicadores!$L$70:$L$74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748996752"/>
        <c:axId val="174899729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Indicadores!$N$70:$N$74</c:f>
              <c:numCache>
                <c:formatCode>0</c:formatCode>
                <c:ptCount val="5"/>
                <c:pt idx="0">
                  <c:v>78.73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8996752"/>
        <c:axId val="1748997296"/>
      </c:lineChart>
      <c:catAx>
        <c:axId val="17489967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48997296"/>
        <c:crosses val="autoZero"/>
        <c:auto val="1"/>
        <c:lblAlgn val="ctr"/>
        <c:lblOffset val="100"/>
        <c:noMultiLvlLbl val="0"/>
      </c:catAx>
      <c:valAx>
        <c:axId val="17489972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489967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DB533"/>
              </a:solidFill>
              <a:ln w="12700">
                <a:solidFill>
                  <a:srgbClr val="FDB5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DB533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90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80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93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01493456"/>
        <c:axId val="1801492912"/>
      </c:lineChart>
      <c:catAx>
        <c:axId val="1801493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801492912"/>
        <c:crosses val="autoZero"/>
        <c:auto val="1"/>
        <c:lblAlgn val="ctr"/>
        <c:lblOffset val="100"/>
        <c:noMultiLvlLbl val="0"/>
      </c:catAx>
      <c:valAx>
        <c:axId val="1801492912"/>
        <c:scaling>
          <c:orientation val="minMax"/>
          <c:min val="78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180149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</c:f>
              <c:numCache>
                <c:formatCode>0</c:formatCode>
                <c:ptCount val="1"/>
                <c:pt idx="0">
                  <c:v>87.87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598730432"/>
        <c:axId val="159872716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</c:f>
              <c:numCache>
                <c:formatCode>0</c:formatCode>
                <c:ptCount val="1"/>
                <c:pt idx="0">
                  <c:v>78.73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98730432"/>
        <c:axId val="1598727168"/>
      </c:lineChart>
      <c:catAx>
        <c:axId val="1598730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598727168"/>
        <c:crosses val="autoZero"/>
        <c:auto val="1"/>
        <c:lblAlgn val="ctr"/>
        <c:lblOffset val="100"/>
        <c:noMultiLvlLbl val="0"/>
      </c:catAx>
      <c:valAx>
        <c:axId val="159872716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59873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84.8</c:v>
                </c:pt>
                <c:pt idx="1">
                  <c:v>87.99</c:v>
                </c:pt>
                <c:pt idx="2">
                  <c:v>90.77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86.53</c:v>
                </c:pt>
                <c:pt idx="1">
                  <c:v>85.75</c:v>
                </c:pt>
                <c:pt idx="2">
                  <c:v>85.61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839856864"/>
        <c:axId val="183985468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9856864"/>
        <c:axId val="1839854688"/>
      </c:lineChart>
      <c:catAx>
        <c:axId val="18398568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839854688"/>
        <c:crosses val="autoZero"/>
        <c:auto val="1"/>
        <c:lblAlgn val="ctr"/>
        <c:lblOffset val="100"/>
        <c:noMultiLvlLbl val="0"/>
      </c:catAx>
      <c:valAx>
        <c:axId val="183985468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3985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Indicadores!$M$71</c:f>
              <c:numCache>
                <c:formatCode>0</c:formatCode>
                <c:ptCount val="1"/>
                <c:pt idx="0">
                  <c:v>90.01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Indicadores!$L$71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538245280"/>
        <c:axId val="153824582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Indicadores!$N$71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8245280"/>
        <c:axId val="1538245824"/>
      </c:lineChart>
      <c:catAx>
        <c:axId val="15382452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538245824"/>
        <c:crosses val="autoZero"/>
        <c:auto val="1"/>
        <c:lblAlgn val="ctr"/>
        <c:lblOffset val="100"/>
        <c:noMultiLvlLbl val="0"/>
      </c:catAx>
      <c:valAx>
        <c:axId val="153824582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53824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90.97</c:v>
                </c:pt>
                <c:pt idx="1">
                  <c:v>83.97</c:v>
                </c:pt>
                <c:pt idx="2">
                  <c:v>91.19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82.03</c:v>
                </c:pt>
                <c:pt idx="1">
                  <c:v>81.34</c:v>
                </c:pt>
                <c:pt idx="2">
                  <c:v>81.349999999999994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605183600"/>
        <c:axId val="60518305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183600"/>
        <c:axId val="605183056"/>
      </c:lineChart>
      <c:catAx>
        <c:axId val="605183600"/>
        <c:scaling>
          <c:orientation val="minMax"/>
        </c:scaling>
        <c:delete val="1"/>
        <c:axPos val="b"/>
        <c:majorTickMark val="none"/>
        <c:minorTickMark val="none"/>
        <c:tickLblPos val="nextTo"/>
        <c:crossAx val="605183056"/>
        <c:crosses val="autoZero"/>
        <c:auto val="1"/>
        <c:lblAlgn val="ctr"/>
        <c:lblOffset val="100"/>
        <c:noMultiLvlLbl val="0"/>
      </c:catAx>
      <c:valAx>
        <c:axId val="60518305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605183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Indicadores!$M$72</c:f>
              <c:numCache>
                <c:formatCode>0</c:formatCode>
                <c:ptCount val="1"/>
                <c:pt idx="0">
                  <c:v>79.709999999999994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Indicadores!$L$72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605184688"/>
        <c:axId val="152129872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Indicadores!$N$72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05184688"/>
        <c:axId val="1521298720"/>
      </c:lineChart>
      <c:catAx>
        <c:axId val="6051846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521298720"/>
        <c:crosses val="autoZero"/>
        <c:auto val="1"/>
        <c:lblAlgn val="ctr"/>
        <c:lblOffset val="100"/>
        <c:noMultiLvlLbl val="0"/>
      </c:catAx>
      <c:valAx>
        <c:axId val="152129872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605184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66.22</c:v>
                </c:pt>
                <c:pt idx="1">
                  <c:v>72.180000000000007</c:v>
                </c:pt>
                <c:pt idx="2">
                  <c:v>95.01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68.510000000000005</c:v>
                </c:pt>
                <c:pt idx="1">
                  <c:v>67.98</c:v>
                </c:pt>
                <c:pt idx="2">
                  <c:v>91.08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521298176"/>
        <c:axId val="152129600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21298176"/>
        <c:axId val="1521296000"/>
      </c:lineChart>
      <c:catAx>
        <c:axId val="1521298176"/>
        <c:scaling>
          <c:orientation val="minMax"/>
        </c:scaling>
        <c:delete val="1"/>
        <c:axPos val="b"/>
        <c:majorTickMark val="none"/>
        <c:minorTickMark val="none"/>
        <c:tickLblPos val="nextTo"/>
        <c:crossAx val="1521296000"/>
        <c:crosses val="autoZero"/>
        <c:auto val="1"/>
        <c:lblAlgn val="ctr"/>
        <c:lblOffset val="100"/>
        <c:noMultiLvlLbl val="0"/>
      </c:catAx>
      <c:valAx>
        <c:axId val="152129600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5212981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Indicadores!$M$73</c:f>
              <c:numCache>
                <c:formatCode>0</c:formatCode>
                <c:ptCount val="1"/>
                <c:pt idx="0">
                  <c:v>88.39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Indicadores!$L$73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801883328"/>
        <c:axId val="180188060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Indicadores!$N$73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883328"/>
        <c:axId val="1801880608"/>
      </c:lineChart>
      <c:catAx>
        <c:axId val="1801883328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880608"/>
        <c:crosses val="autoZero"/>
        <c:auto val="1"/>
        <c:lblAlgn val="ctr"/>
        <c:lblOffset val="100"/>
        <c:noMultiLvlLbl val="0"/>
      </c:catAx>
      <c:valAx>
        <c:axId val="180188060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01883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83.69</c:v>
                </c:pt>
                <c:pt idx="1">
                  <c:v>91.22</c:v>
                </c:pt>
                <c:pt idx="2">
                  <c:v>89.33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80.63</c:v>
                </c:pt>
                <c:pt idx="1">
                  <c:v>83.99</c:v>
                </c:pt>
                <c:pt idx="2">
                  <c:v>84.29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801878432"/>
        <c:axId val="180188006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878432"/>
        <c:axId val="1801880064"/>
      </c:lineChart>
      <c:catAx>
        <c:axId val="18018784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880064"/>
        <c:crosses val="autoZero"/>
        <c:auto val="1"/>
        <c:lblAlgn val="ctr"/>
        <c:lblOffset val="100"/>
        <c:noMultiLvlLbl val="0"/>
      </c:catAx>
      <c:valAx>
        <c:axId val="180188006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01878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Indicadores!$M$74</c:f>
              <c:numCache>
                <c:formatCode>0</c:formatCode>
                <c:ptCount val="1"/>
                <c:pt idx="0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Indicadores!$L$74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801881696"/>
        <c:axId val="180188224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Indicadores!$N$74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01881696"/>
        <c:axId val="1801882240"/>
      </c:lineChart>
      <c:catAx>
        <c:axId val="1801881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801882240"/>
        <c:crosses val="autoZero"/>
        <c:auto val="1"/>
        <c:lblAlgn val="ctr"/>
        <c:lblOffset val="100"/>
        <c:noMultiLvlLbl val="0"/>
      </c:catAx>
      <c:valAx>
        <c:axId val="180188224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801881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92.2</c:v>
                </c:pt>
                <c:pt idx="1">
                  <c:v>93.8</c:v>
                </c:pt>
                <c:pt idx="2">
                  <c:v>91.3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87.27</c:v>
                </c:pt>
                <c:pt idx="1">
                  <c:v>88.28</c:v>
                </c:pt>
                <c:pt idx="2">
                  <c:v>82.3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750384944"/>
        <c:axId val="175038603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0384944"/>
        <c:axId val="1750386032"/>
      </c:lineChart>
      <c:catAx>
        <c:axId val="17503849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750386032"/>
        <c:crosses val="autoZero"/>
        <c:auto val="1"/>
        <c:lblAlgn val="ctr"/>
        <c:lblOffset val="100"/>
        <c:noMultiLvlLbl val="0"/>
      </c:catAx>
      <c:valAx>
        <c:axId val="175038603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750384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82.3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88.28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87.27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84.29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83.99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80.63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91.08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67.98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68.510000000000005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81.349999999999994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81.34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82.03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85.61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85.75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86.53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544325456"/>
        <c:axId val="1544332528"/>
      </c:barChart>
      <c:catAx>
        <c:axId val="1544325456"/>
        <c:scaling>
          <c:orientation val="minMax"/>
        </c:scaling>
        <c:delete val="1"/>
        <c:axPos val="l"/>
        <c:majorTickMark val="none"/>
        <c:minorTickMark val="none"/>
        <c:tickLblPos val="nextTo"/>
        <c:crossAx val="1544332528"/>
        <c:crosses val="autoZero"/>
        <c:auto val="1"/>
        <c:lblAlgn val="ctr"/>
        <c:lblOffset val="100"/>
        <c:noMultiLvlLbl val="0"/>
      </c:catAx>
      <c:valAx>
        <c:axId val="1544332528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544325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sel="2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sel="3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sel="4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5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77505" name="DropDowns_Demo1" hidden="1">
              <a:extLst>
                <a:ext uri="{63B3BB69-23CF-44E3-9099-C40C66FF867C}">
                  <a14:compatExt spid="_x0000_s277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77506" name="CheckBox_Demo1" hidden="1">
              <a:extLst>
                <a:ext uri="{63B3BB69-23CF-44E3-9099-C40C66FF867C}">
                  <a14:compatExt spid="_x0000_s277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77507" name="DropDowns_Demo_Bis1" hidden="1">
              <a:extLst>
                <a:ext uri="{63B3BB69-23CF-44E3-9099-C40C66FF867C}">
                  <a14:compatExt spid="_x0000_s277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77508" name="CheckBox_Demo_Bis1" hidden="1">
              <a:extLst>
                <a:ext uri="{63B3BB69-23CF-44E3-9099-C40C66FF867C}">
                  <a14:compatExt spid="_x0000_s277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77509" name="DropDowns_Demo2" hidden="1">
              <a:extLst>
                <a:ext uri="{63B3BB69-23CF-44E3-9099-C40C66FF867C}">
                  <a14:compatExt spid="_x0000_s277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77510" name="CheckBox_Demo2" hidden="1">
              <a:extLst>
                <a:ext uri="{63B3BB69-23CF-44E3-9099-C40C66FF867C}">
                  <a14:compatExt spid="_x0000_s277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77511" name="DropDowns_Demo_Bis2" hidden="1">
              <a:extLst>
                <a:ext uri="{63B3BB69-23CF-44E3-9099-C40C66FF867C}">
                  <a14:compatExt spid="_x0000_s277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77512" name="CheckBox_Demo_Bis2" hidden="1">
              <a:extLst>
                <a:ext uri="{63B3BB69-23CF-44E3-9099-C40C66FF867C}">
                  <a14:compatExt spid="_x0000_s277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77513" name="DropDowns_Demo3" hidden="1">
              <a:extLst>
                <a:ext uri="{63B3BB69-23CF-44E3-9099-C40C66FF867C}">
                  <a14:compatExt spid="_x0000_s277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77514" name="CheckBox_Demo3" hidden="1">
              <a:extLst>
                <a:ext uri="{63B3BB69-23CF-44E3-9099-C40C66FF867C}">
                  <a14:compatExt spid="_x0000_s277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77515" name="DropDowns_Demo_Bis3" hidden="1">
              <a:extLst>
                <a:ext uri="{63B3BB69-23CF-44E3-9099-C40C66FF867C}">
                  <a14:compatExt spid="_x0000_s277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77516" name="CheckBox_Demo_Bis3" hidden="1">
              <a:extLst>
                <a:ext uri="{63B3BB69-23CF-44E3-9099-C40C66FF867C}">
                  <a14:compatExt spid="_x0000_s277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77517" name="DropDowns_Demo4" hidden="1">
              <a:extLst>
                <a:ext uri="{63B3BB69-23CF-44E3-9099-C40C66FF867C}">
                  <a14:compatExt spid="_x0000_s277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77518" name="CheckBox_Demo4" hidden="1">
              <a:extLst>
                <a:ext uri="{63B3BB69-23CF-44E3-9099-C40C66FF867C}">
                  <a14:compatExt spid="_x0000_s277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77519" name="DropDowns_Demo_Bis4" hidden="1">
              <a:extLst>
                <a:ext uri="{63B3BB69-23CF-44E3-9099-C40C66FF867C}">
                  <a14:compatExt spid="_x0000_s277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77520" name="CheckBox_Demo_Bis4" hidden="1">
              <a:extLst>
                <a:ext uri="{63B3BB69-23CF-44E3-9099-C40C66FF867C}">
                  <a14:compatExt spid="_x0000_s277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77521" name="DropDowns_Demo5" hidden="1">
              <a:extLst>
                <a:ext uri="{63B3BB69-23CF-44E3-9099-C40C66FF867C}">
                  <a14:compatExt spid="_x0000_s27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77522" name="CheckBox_Demo5" hidden="1">
              <a:extLst>
                <a:ext uri="{63B3BB69-23CF-44E3-9099-C40C66FF867C}">
                  <a14:compatExt spid="_x0000_s27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77523" name="DropDowns_Demo_Bis5" hidden="1">
              <a:extLst>
                <a:ext uri="{63B3BB69-23CF-44E3-9099-C40C66FF867C}">
                  <a14:compatExt spid="_x0000_s277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77524" name="CheckBox_Demo_Bis5" hidden="1">
              <a:extLst>
                <a:ext uri="{63B3BB69-23CF-44E3-9099-C40C66FF867C}">
                  <a14:compatExt spid="_x0000_s277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77525" name="DropDowns_Demo6" hidden="1">
              <a:extLst>
                <a:ext uri="{63B3BB69-23CF-44E3-9099-C40C66FF867C}">
                  <a14:compatExt spid="_x0000_s277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77526" name="CheckBox_Demo6" hidden="1">
              <a:extLst>
                <a:ext uri="{63B3BB69-23CF-44E3-9099-C40C66FF867C}">
                  <a14:compatExt spid="_x0000_s277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77527" name="DropDowns_Demo_Bis6" hidden="1">
              <a:extLst>
                <a:ext uri="{63B3BB69-23CF-44E3-9099-C40C66FF867C}">
                  <a14:compatExt spid="_x0000_s277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77528" name="CheckBox_Demo_Bis6" hidden="1">
              <a:extLst>
                <a:ext uri="{63B3BB69-23CF-44E3-9099-C40C66FF867C}">
                  <a14:compatExt spid="_x0000_s277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77529" name="DropDowns_Demo7" hidden="1">
              <a:extLst>
                <a:ext uri="{63B3BB69-23CF-44E3-9099-C40C66FF867C}">
                  <a14:compatExt spid="_x0000_s277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77530" name="CheckBox_Demo7" hidden="1">
              <a:extLst>
                <a:ext uri="{63B3BB69-23CF-44E3-9099-C40C66FF867C}">
                  <a14:compatExt spid="_x0000_s277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77531" name="DropDowns_Demo_Bis7" hidden="1">
              <a:extLst>
                <a:ext uri="{63B3BB69-23CF-44E3-9099-C40C66FF867C}">
                  <a14:compatExt spid="_x0000_s277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77532" name="CheckBox_Demo_Bis7" hidden="1">
              <a:extLst>
                <a:ext uri="{63B3BB69-23CF-44E3-9099-C40C66FF867C}">
                  <a14:compatExt spid="_x0000_s277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77533" name="DropDowns_Demo8" hidden="1">
              <a:extLst>
                <a:ext uri="{63B3BB69-23CF-44E3-9099-C40C66FF867C}">
                  <a14:compatExt spid="_x0000_s277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77534" name="CheckBox_Demo8" hidden="1">
              <a:extLst>
                <a:ext uri="{63B3BB69-23CF-44E3-9099-C40C66FF867C}">
                  <a14:compatExt spid="_x0000_s277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77535" name="DropDowns_Demo_Bis8" hidden="1">
              <a:extLst>
                <a:ext uri="{63B3BB69-23CF-44E3-9099-C40C66FF867C}">
                  <a14:compatExt spid="_x0000_s277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77536" name="CheckBox_Demo_Bis8" hidden="1">
              <a:extLst>
                <a:ext uri="{63B3BB69-23CF-44E3-9099-C40C66FF867C}">
                  <a14:compatExt spid="_x0000_s277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77537" name="DropDowns_Demo9" hidden="1">
              <a:extLst>
                <a:ext uri="{63B3BB69-23CF-44E3-9099-C40C66FF867C}">
                  <a14:compatExt spid="_x0000_s277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77538" name="CheckBox_Demo9" hidden="1">
              <a:extLst>
                <a:ext uri="{63B3BB69-23CF-44E3-9099-C40C66FF867C}">
                  <a14:compatExt spid="_x0000_s277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277539" name="DropDowns_Demo_Bis9" hidden="1">
              <a:extLst>
                <a:ext uri="{63B3BB69-23CF-44E3-9099-C40C66FF867C}">
                  <a14:compatExt spid="_x0000_s277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277540" name="CheckBox_Demo_Bis9" hidden="1">
              <a:extLst>
                <a:ext uri="{63B3BB69-23CF-44E3-9099-C40C66FF867C}">
                  <a14:compatExt spid="_x0000_s277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277541" name="DropDowns_Demo10" hidden="1">
              <a:extLst>
                <a:ext uri="{63B3BB69-23CF-44E3-9099-C40C66FF867C}">
                  <a14:compatExt spid="_x0000_s277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277542" name="CheckBox_Demo10" hidden="1">
              <a:extLst>
                <a:ext uri="{63B3BB69-23CF-44E3-9099-C40C66FF867C}">
                  <a14:compatExt spid="_x0000_s277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277543" name="DropDowns_Demo_Bis10" hidden="1">
              <a:extLst>
                <a:ext uri="{63B3BB69-23CF-44E3-9099-C40C66FF867C}">
                  <a14:compatExt spid="_x0000_s277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277544" name="CheckBox_Demo_Bis10" hidden="1">
              <a:extLst>
                <a:ext uri="{63B3BB69-23CF-44E3-9099-C40C66FF867C}">
                  <a14:compatExt spid="_x0000_s277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77545" name="Button 41" hidden="1">
              <a:extLst>
                <a:ext uri="{63B3BB69-23CF-44E3-9099-C40C66FF867C}">
                  <a14:compatExt spid="_x0000_s277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77546" name="Button 42" hidden="1">
              <a:extLst>
                <a:ext uri="{63B3BB69-23CF-44E3-9099-C40C66FF867C}">
                  <a14:compatExt spid="_x0000_s277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277547" name="Button 43" hidden="1">
              <a:extLst>
                <a:ext uri="{63B3BB69-23CF-44E3-9099-C40C66FF867C}">
                  <a14:compatExt spid="_x0000_s277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:a16="http://schemas.microsoft.com/office/drawing/2014/main" xmlns="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:a16="http://schemas.microsoft.com/office/drawing/2014/main" xmlns="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124</xdr:row>
          <xdr:rowOff>0</xdr:rowOff>
        </xdr:from>
        <xdr:to>
          <xdr:col>10</xdr:col>
          <xdr:colOff>0</xdr:colOff>
          <xdr:row>126</xdr:row>
          <xdr:rowOff>0</xdr:rowOff>
        </xdr:to>
        <xdr:sp macro="" textlink="">
          <xdr:nvSpPr>
            <xdr:cNvPr id="267344" name="Button 80" hidden="1">
              <a:extLst>
                <a:ext uri="{63B3BB69-23CF-44E3-9099-C40C66FF867C}">
                  <a14:compatExt spid="_x0000_s267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2"/>
        <xdr:cNvGrpSpPr/>
      </xdr:nvGrpSpPr>
      <xdr:grpSpPr>
        <a:xfrm>
          <a:off x="2276475" y="0"/>
          <a:ext cx="11169650" cy="4953000"/>
          <a:chOff x="1524000" y="0"/>
          <a:chExt cx="6350000" cy="4953000"/>
        </a:xfrm>
      </xdr:grpSpPr>
      <xdr:graphicFrame macro="">
        <xdr:nvGraphicFramePr>
          <xdr:cNvPr id="2" name="GrafDemo2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2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2</xdr:col>
      <xdr:colOff>127000</xdr:colOff>
      <xdr:row>64</xdr:row>
      <xdr:rowOff>130408</xdr:rowOff>
    </xdr:from>
    <xdr:to>
      <xdr:col>2</xdr:col>
      <xdr:colOff>2024012</xdr:colOff>
      <xdr:row>71</xdr:row>
      <xdr:rowOff>55492</xdr:rowOff>
    </xdr:to>
    <xdr:grpSp>
      <xdr:nvGrpSpPr>
        <xdr:cNvPr id="14" name="GrafDemo_Bis2_leyenda"/>
        <xdr:cNvGrpSpPr/>
      </xdr:nvGrpSpPr>
      <xdr:grpSpPr>
        <a:xfrm>
          <a:off x="2403475" y="12322408"/>
          <a:ext cx="1897012" cy="1258584"/>
          <a:chOff x="1651000" y="12322408"/>
          <a:chExt cx="1897012" cy="1258584"/>
        </a:xfrm>
      </xdr:grpSpPr>
      <xdr:cxnSp macro="">
        <xdr:nvCxnSpPr>
          <xdr:cNvPr id="10" name="GrafDemo_Bis2_barra_percepcion_general"/>
          <xdr:cNvCxnSpPr/>
        </xdr:nvCxnSpPr>
        <xdr:spPr>
          <a:xfrm>
            <a:off x="1651000" y="13139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GrafDemo_Bis2_anio1"/>
          <xdr:cNvSpPr/>
        </xdr:nvSpPr>
        <xdr:spPr>
          <a:xfrm>
            <a:off x="1651000" y="12382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6" name="GrafDemo_Bis2_textbox_anio1"/>
          <xdr:cNvSpPr txBox="1"/>
        </xdr:nvSpPr>
        <xdr:spPr>
          <a:xfrm>
            <a:off x="2286000" y="1232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" name="GrafDemo_Bis2_anio2"/>
          <xdr:cNvSpPr/>
        </xdr:nvSpPr>
        <xdr:spPr>
          <a:xfrm>
            <a:off x="1651000" y="12700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" name="GrafDemo_Bis2_textbox_anio2"/>
          <xdr:cNvSpPr txBox="1"/>
        </xdr:nvSpPr>
        <xdr:spPr>
          <a:xfrm>
            <a:off x="2286000" y="1263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" name="GrafDemo_Bis2_circulo_percepcion_general"/>
          <xdr:cNvSpPr/>
        </xdr:nvSpPr>
        <xdr:spPr>
          <a:xfrm>
            <a:off x="1760800" y="130175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" name="GrafDemo_Bis2_textbox_percepcion_general"/>
          <xdr:cNvSpPr txBox="1"/>
        </xdr:nvSpPr>
        <xdr:spPr>
          <a:xfrm>
            <a:off x="2286000" y="13016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" name="GrafDemo_Bis2_barra_promedio_general"/>
          <xdr:cNvCxnSpPr/>
        </xdr:nvCxnSpPr>
        <xdr:spPr>
          <a:xfrm>
            <a:off x="1651000" y="13457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GrafDemo_Bis2_textbox_promedio_general"/>
          <xdr:cNvSpPr txBox="1"/>
        </xdr:nvSpPr>
        <xdr:spPr>
          <a:xfrm>
            <a:off x="2286000" y="13333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1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18" name="GrafDemo3"/>
        <xdr:cNvGrpSpPr/>
      </xdr:nvGrpSpPr>
      <xdr:grpSpPr>
        <a:xfrm>
          <a:off x="2276475" y="18411825"/>
          <a:ext cx="11169650" cy="4953000"/>
          <a:chOff x="1524000" y="18411825"/>
          <a:chExt cx="6350000" cy="4953000"/>
        </a:xfrm>
      </xdr:grpSpPr>
      <xdr:graphicFrame macro="">
        <xdr:nvGraphicFramePr>
          <xdr:cNvPr id="16" name="GrafDemo3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7" name="GrafDemo3_fondo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2</xdr:col>
      <xdr:colOff>127000</xdr:colOff>
      <xdr:row>155</xdr:row>
      <xdr:rowOff>130408</xdr:rowOff>
    </xdr:from>
    <xdr:to>
      <xdr:col>2</xdr:col>
      <xdr:colOff>2024012</xdr:colOff>
      <xdr:row>162</xdr:row>
      <xdr:rowOff>55491</xdr:rowOff>
    </xdr:to>
    <xdr:grpSp>
      <xdr:nvGrpSpPr>
        <xdr:cNvPr id="28" name="GrafDemo_Bis3_leyenda"/>
        <xdr:cNvGrpSpPr/>
      </xdr:nvGrpSpPr>
      <xdr:grpSpPr>
        <a:xfrm>
          <a:off x="2403475" y="30734233"/>
          <a:ext cx="1897012" cy="1258583"/>
          <a:chOff x="1651000" y="30734233"/>
          <a:chExt cx="1897012" cy="1258583"/>
        </a:xfrm>
      </xdr:grpSpPr>
      <xdr:cxnSp macro="">
        <xdr:nvCxnSpPr>
          <xdr:cNvPr id="24" name="GrafDemo_Bis3_barra_percepcion_general"/>
          <xdr:cNvCxnSpPr/>
        </xdr:nvCxnSpPr>
        <xdr:spPr>
          <a:xfrm>
            <a:off x="1651000" y="315517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GrafDemo_Bis3_anio1"/>
          <xdr:cNvSpPr/>
        </xdr:nvSpPr>
        <xdr:spPr>
          <a:xfrm>
            <a:off x="1651000" y="307943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0" name="GrafDemo_Bis3_textbox_anio1"/>
          <xdr:cNvSpPr txBox="1"/>
        </xdr:nvSpPr>
        <xdr:spPr>
          <a:xfrm>
            <a:off x="2286000" y="307342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" name="GrafDemo_Bis3_anio2"/>
          <xdr:cNvSpPr/>
        </xdr:nvSpPr>
        <xdr:spPr>
          <a:xfrm>
            <a:off x="1651000" y="3111182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2" name="GrafDemo_Bis3_textbox_anio2"/>
          <xdr:cNvSpPr txBox="1"/>
        </xdr:nvSpPr>
        <xdr:spPr>
          <a:xfrm>
            <a:off x="2286000" y="310517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" name="GrafDemo_Bis3_circulo_percepcion_general"/>
          <xdr:cNvSpPr/>
        </xdr:nvSpPr>
        <xdr:spPr>
          <a:xfrm>
            <a:off x="1760800" y="3142932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5" name="GrafDemo_Bis3_textbox_percepcion_general"/>
          <xdr:cNvSpPr txBox="1"/>
        </xdr:nvSpPr>
        <xdr:spPr>
          <a:xfrm>
            <a:off x="2286000" y="314281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" name="GrafDemo_Bis3_barra_promedio_general"/>
          <xdr:cNvCxnSpPr/>
        </xdr:nvCxnSpPr>
        <xdr:spPr>
          <a:xfrm>
            <a:off x="1651000" y="318692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3_textbox_promedio_general"/>
          <xdr:cNvSpPr txBox="1"/>
        </xdr:nvSpPr>
        <xdr:spPr>
          <a:xfrm>
            <a:off x="2286000" y="317456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2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32" name="GrafDemo4"/>
        <xdr:cNvGrpSpPr/>
      </xdr:nvGrpSpPr>
      <xdr:grpSpPr>
        <a:xfrm>
          <a:off x="2276475" y="36728400"/>
          <a:ext cx="11169650" cy="4953000"/>
          <a:chOff x="1524000" y="36728400"/>
          <a:chExt cx="6350000" cy="4953000"/>
        </a:xfrm>
      </xdr:grpSpPr>
      <xdr:graphicFrame macro="">
        <xdr:nvGraphicFramePr>
          <xdr:cNvPr id="30" name="GrafDemo4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1" name="GrafDemo4_fondo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2</xdr:col>
      <xdr:colOff>127000</xdr:colOff>
      <xdr:row>246</xdr:row>
      <xdr:rowOff>130408</xdr:rowOff>
    </xdr:from>
    <xdr:to>
      <xdr:col>2</xdr:col>
      <xdr:colOff>2024012</xdr:colOff>
      <xdr:row>253</xdr:row>
      <xdr:rowOff>55491</xdr:rowOff>
    </xdr:to>
    <xdr:grpSp>
      <xdr:nvGrpSpPr>
        <xdr:cNvPr id="42" name="GrafDemo_Bis4_leyenda"/>
        <xdr:cNvGrpSpPr/>
      </xdr:nvGrpSpPr>
      <xdr:grpSpPr>
        <a:xfrm>
          <a:off x="2403475" y="49050808"/>
          <a:ext cx="1897012" cy="1258583"/>
          <a:chOff x="1651000" y="49050808"/>
          <a:chExt cx="1897012" cy="1258583"/>
        </a:xfrm>
      </xdr:grpSpPr>
      <xdr:cxnSp macro="">
        <xdr:nvCxnSpPr>
          <xdr:cNvPr id="38" name="GrafDemo_Bis4_barra_percepcion_general"/>
          <xdr:cNvCxnSpPr/>
        </xdr:nvCxnSpPr>
        <xdr:spPr>
          <a:xfrm>
            <a:off x="1651000" y="49868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GrafDemo_Bis4_anio1"/>
          <xdr:cNvSpPr/>
        </xdr:nvSpPr>
        <xdr:spPr>
          <a:xfrm>
            <a:off x="1651000" y="49110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4" name="GrafDemo_Bis4_textbox_anio1"/>
          <xdr:cNvSpPr txBox="1"/>
        </xdr:nvSpPr>
        <xdr:spPr>
          <a:xfrm>
            <a:off x="2286000" y="49050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5" name="GrafDemo_Bis4_anio2"/>
          <xdr:cNvSpPr/>
        </xdr:nvSpPr>
        <xdr:spPr>
          <a:xfrm>
            <a:off x="1651000" y="49428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6" name="GrafDemo_Bis4_textbox_anio2"/>
          <xdr:cNvSpPr txBox="1"/>
        </xdr:nvSpPr>
        <xdr:spPr>
          <a:xfrm>
            <a:off x="2286000" y="49368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7" name="GrafDemo_Bis4_circulo_percepcion_general"/>
          <xdr:cNvSpPr/>
        </xdr:nvSpPr>
        <xdr:spPr>
          <a:xfrm>
            <a:off x="1760800" y="49745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9" name="GrafDemo_Bis4_textbox_percepcion_general"/>
          <xdr:cNvSpPr txBox="1"/>
        </xdr:nvSpPr>
        <xdr:spPr>
          <a:xfrm>
            <a:off x="2286000" y="49744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0" name="GrafDemo_Bis4_barra_promedio_general"/>
          <xdr:cNvCxnSpPr/>
        </xdr:nvCxnSpPr>
        <xdr:spPr>
          <a:xfrm>
            <a:off x="1651000" y="50185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GrafDemo_Bis4_textbox_promedio_general"/>
          <xdr:cNvSpPr txBox="1"/>
        </xdr:nvSpPr>
        <xdr:spPr>
          <a:xfrm>
            <a:off x="2286000" y="50062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4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aphicFrame macro="">
      <xdr:nvGraphicFramePr>
        <xdr:cNvPr id="4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</xdr:col>
      <xdr:colOff>127000</xdr:colOff>
      <xdr:row>307</xdr:row>
      <xdr:rowOff>130408</xdr:rowOff>
    </xdr:from>
    <xdr:to>
      <xdr:col>2</xdr:col>
      <xdr:colOff>2024012</xdr:colOff>
      <xdr:row>314</xdr:row>
      <xdr:rowOff>55491</xdr:rowOff>
    </xdr:to>
    <xdr:grpSp>
      <xdr:nvGrpSpPr>
        <xdr:cNvPr id="54" name="GrafDemo_Bis5_0_leyenda"/>
        <xdr:cNvGrpSpPr/>
      </xdr:nvGrpSpPr>
      <xdr:grpSpPr>
        <a:xfrm>
          <a:off x="2403475" y="62033383"/>
          <a:ext cx="1897012" cy="1258583"/>
          <a:chOff x="1651000" y="62033383"/>
          <a:chExt cx="1897012" cy="1258583"/>
        </a:xfrm>
      </xdr:grpSpPr>
      <xdr:cxnSp macro="">
        <xdr:nvCxnSpPr>
          <xdr:cNvPr id="50" name="GrafDemo_Bis5_0_barra_percepcion_general"/>
          <xdr:cNvCxnSpPr/>
        </xdr:nvCxnSpPr>
        <xdr:spPr>
          <a:xfrm>
            <a:off x="1651000" y="62850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" name="GrafDemo_Bis5_0_anio1"/>
          <xdr:cNvSpPr/>
        </xdr:nvSpPr>
        <xdr:spPr>
          <a:xfrm>
            <a:off x="1651000" y="62093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46" name="GrafDemo_Bis5_0_textbox_anio1"/>
          <xdr:cNvSpPr txBox="1"/>
        </xdr:nvSpPr>
        <xdr:spPr>
          <a:xfrm>
            <a:off x="2286000" y="62033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7" name="GrafDemo_Bis5_0_anio2"/>
          <xdr:cNvSpPr/>
        </xdr:nvSpPr>
        <xdr:spPr>
          <a:xfrm>
            <a:off x="1651000" y="624109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48" name="GrafDemo_Bis5_0_textbox_anio2"/>
          <xdr:cNvSpPr txBox="1"/>
        </xdr:nvSpPr>
        <xdr:spPr>
          <a:xfrm>
            <a:off x="2286000" y="62350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49" name="GrafDemo_Bis5_0_circulo_percepcion_general"/>
          <xdr:cNvSpPr/>
        </xdr:nvSpPr>
        <xdr:spPr>
          <a:xfrm>
            <a:off x="1760800" y="627284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1" name="GrafDemo_Bis5_0_textbox_percepcion_general"/>
          <xdr:cNvSpPr txBox="1"/>
        </xdr:nvSpPr>
        <xdr:spPr>
          <a:xfrm>
            <a:off x="2286000" y="62727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2" name="GrafDemo_Bis5_0_barra_promedio_general"/>
          <xdr:cNvCxnSpPr/>
        </xdr:nvCxnSpPr>
        <xdr:spPr>
          <a:xfrm>
            <a:off x="1651000" y="63168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3" name="GrafDemo_Bis5_0_textbox_promedio_general"/>
          <xdr:cNvSpPr txBox="1"/>
        </xdr:nvSpPr>
        <xdr:spPr>
          <a:xfrm>
            <a:off x="2286000" y="63044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303</xdr:row>
      <xdr:rowOff>0</xdr:rowOff>
    </xdr:from>
    <xdr:to>
      <xdr:col>9</xdr:col>
      <xdr:colOff>1193800</xdr:colOff>
      <xdr:row>316</xdr:row>
      <xdr:rowOff>63500</xdr:rowOff>
    </xdr:to>
    <xdr:graphicFrame macro="">
      <xdr:nvGraphicFramePr>
        <xdr:cNvPr id="5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127000</xdr:colOff>
      <xdr:row>338</xdr:row>
      <xdr:rowOff>130408</xdr:rowOff>
    </xdr:from>
    <xdr:to>
      <xdr:col>2</xdr:col>
      <xdr:colOff>2024012</xdr:colOff>
      <xdr:row>345</xdr:row>
      <xdr:rowOff>55491</xdr:rowOff>
    </xdr:to>
    <xdr:grpSp>
      <xdr:nvGrpSpPr>
        <xdr:cNvPr id="65" name="GrafDemo_Bis5_1_leyenda"/>
        <xdr:cNvGrpSpPr/>
      </xdr:nvGrpSpPr>
      <xdr:grpSpPr>
        <a:xfrm>
          <a:off x="2403475" y="70158208"/>
          <a:ext cx="1897012" cy="1258583"/>
          <a:chOff x="1651000" y="70158208"/>
          <a:chExt cx="1897012" cy="1258583"/>
        </a:xfrm>
      </xdr:grpSpPr>
      <xdr:cxnSp macro="">
        <xdr:nvCxnSpPr>
          <xdr:cNvPr id="61" name="GrafDemo_Bis5_1_barra_percepcion_general"/>
          <xdr:cNvCxnSpPr/>
        </xdr:nvCxnSpPr>
        <xdr:spPr>
          <a:xfrm>
            <a:off x="1651000" y="70975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6" name="GrafDemo_Bis5_1_anio1"/>
          <xdr:cNvSpPr/>
        </xdr:nvSpPr>
        <xdr:spPr>
          <a:xfrm>
            <a:off x="1651000" y="70218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7" name="GrafDemo_Bis5_1_textbox_anio1"/>
          <xdr:cNvSpPr txBox="1"/>
        </xdr:nvSpPr>
        <xdr:spPr>
          <a:xfrm>
            <a:off x="2286000" y="70158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8" name="GrafDemo_Bis5_1_anio2"/>
          <xdr:cNvSpPr/>
        </xdr:nvSpPr>
        <xdr:spPr>
          <a:xfrm>
            <a:off x="1651000" y="70535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9" name="GrafDemo_Bis5_1_textbox_anio2"/>
          <xdr:cNvSpPr txBox="1"/>
        </xdr:nvSpPr>
        <xdr:spPr>
          <a:xfrm>
            <a:off x="2286000" y="70475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0" name="GrafDemo_Bis5_1_circulo_percepcion_general"/>
          <xdr:cNvSpPr/>
        </xdr:nvSpPr>
        <xdr:spPr>
          <a:xfrm>
            <a:off x="1760800" y="70853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62" name="GrafDemo_Bis5_1_textbox_percepcion_general"/>
          <xdr:cNvSpPr txBox="1"/>
        </xdr:nvSpPr>
        <xdr:spPr>
          <a:xfrm>
            <a:off x="2286000" y="70852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63" name="GrafDemo_Bis5_1_barra_promedio_general"/>
          <xdr:cNvCxnSpPr/>
        </xdr:nvCxnSpPr>
        <xdr:spPr>
          <a:xfrm>
            <a:off x="1651000" y="71293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4" name="GrafDemo_Bis5_1_textbox_promedio_general"/>
          <xdr:cNvSpPr txBox="1"/>
        </xdr:nvSpPr>
        <xdr:spPr>
          <a:xfrm>
            <a:off x="2286000" y="71169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334</xdr:row>
      <xdr:rowOff>0</xdr:rowOff>
    </xdr:from>
    <xdr:to>
      <xdr:col>9</xdr:col>
      <xdr:colOff>1193800</xdr:colOff>
      <xdr:row>347</xdr:row>
      <xdr:rowOff>63500</xdr:rowOff>
    </xdr:to>
    <xdr:graphicFrame macro="">
      <xdr:nvGraphicFramePr>
        <xdr:cNvPr id="6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365</xdr:row>
      <xdr:rowOff>0</xdr:rowOff>
    </xdr:from>
    <xdr:to>
      <xdr:col>10</xdr:col>
      <xdr:colOff>254000</xdr:colOff>
      <xdr:row>391</xdr:row>
      <xdr:rowOff>0</xdr:rowOff>
    </xdr:to>
    <xdr:grpSp>
      <xdr:nvGrpSpPr>
        <xdr:cNvPr id="69" name="GrafDemo6"/>
        <xdr:cNvGrpSpPr/>
      </xdr:nvGrpSpPr>
      <xdr:grpSpPr>
        <a:xfrm>
          <a:off x="2276475" y="77104875"/>
          <a:ext cx="11169650" cy="4953000"/>
          <a:chOff x="1524000" y="77104875"/>
          <a:chExt cx="6350000" cy="4953000"/>
        </a:xfrm>
      </xdr:grpSpPr>
      <xdr:graphicFrame macro="">
        <xdr:nvGraphicFramePr>
          <xdr:cNvPr id="67" name="GrafDemo6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68" name="GrafDemo6_fondo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2</xdr:col>
      <xdr:colOff>127000</xdr:colOff>
      <xdr:row>429</xdr:row>
      <xdr:rowOff>130408</xdr:rowOff>
    </xdr:from>
    <xdr:to>
      <xdr:col>2</xdr:col>
      <xdr:colOff>2024012</xdr:colOff>
      <xdr:row>436</xdr:row>
      <xdr:rowOff>55491</xdr:rowOff>
    </xdr:to>
    <xdr:grpSp>
      <xdr:nvGrpSpPr>
        <xdr:cNvPr id="79" name="GrafDemo_Bis6_leyenda"/>
        <xdr:cNvGrpSpPr/>
      </xdr:nvGrpSpPr>
      <xdr:grpSpPr>
        <a:xfrm>
          <a:off x="2403475" y="89427283"/>
          <a:ext cx="1897012" cy="1258583"/>
          <a:chOff x="1651000" y="89427283"/>
          <a:chExt cx="1897012" cy="1258583"/>
        </a:xfrm>
      </xdr:grpSpPr>
      <xdr:cxnSp macro="">
        <xdr:nvCxnSpPr>
          <xdr:cNvPr id="75" name="GrafDemo_Bis6_barra_percepcion_general"/>
          <xdr:cNvCxnSpPr/>
        </xdr:nvCxnSpPr>
        <xdr:spPr>
          <a:xfrm>
            <a:off x="1651000" y="902447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0" name="GrafDemo_Bis6_anio1"/>
          <xdr:cNvSpPr/>
        </xdr:nvSpPr>
        <xdr:spPr>
          <a:xfrm>
            <a:off x="1651000" y="894873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1" name="GrafDemo_Bis6_textbox_anio1"/>
          <xdr:cNvSpPr txBox="1"/>
        </xdr:nvSpPr>
        <xdr:spPr>
          <a:xfrm>
            <a:off x="2286000" y="894272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2" name="GrafDemo_Bis6_anio2"/>
          <xdr:cNvSpPr/>
        </xdr:nvSpPr>
        <xdr:spPr>
          <a:xfrm>
            <a:off x="1651000" y="898048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3" name="GrafDemo_Bis6_textbox_anio2"/>
          <xdr:cNvSpPr txBox="1"/>
        </xdr:nvSpPr>
        <xdr:spPr>
          <a:xfrm>
            <a:off x="2286000" y="897447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4" name="GrafDemo_Bis6_circulo_percepcion_general"/>
          <xdr:cNvSpPr/>
        </xdr:nvSpPr>
        <xdr:spPr>
          <a:xfrm>
            <a:off x="1760800" y="901223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6" name="GrafDemo_Bis6_textbox_percepcion_general"/>
          <xdr:cNvSpPr txBox="1"/>
        </xdr:nvSpPr>
        <xdr:spPr>
          <a:xfrm>
            <a:off x="2286000" y="901211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77" name="GrafDemo_Bis6_barra_promedio_general"/>
          <xdr:cNvCxnSpPr/>
        </xdr:nvCxnSpPr>
        <xdr:spPr>
          <a:xfrm>
            <a:off x="1651000" y="905622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8" name="GrafDemo_Bis6_textbox_promedio_general"/>
          <xdr:cNvSpPr txBox="1"/>
        </xdr:nvSpPr>
        <xdr:spPr>
          <a:xfrm>
            <a:off x="2286000" y="904386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425</xdr:row>
      <xdr:rowOff>0</xdr:rowOff>
    </xdr:from>
    <xdr:to>
      <xdr:col>9</xdr:col>
      <xdr:colOff>1193800</xdr:colOff>
      <xdr:row>438</xdr:row>
      <xdr:rowOff>63500</xdr:rowOff>
    </xdr:to>
    <xdr:graphicFrame macro="">
      <xdr:nvGraphicFramePr>
        <xdr:cNvPr id="8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456</xdr:row>
      <xdr:rowOff>0</xdr:rowOff>
    </xdr:from>
    <xdr:to>
      <xdr:col>10</xdr:col>
      <xdr:colOff>254000</xdr:colOff>
      <xdr:row>482</xdr:row>
      <xdr:rowOff>0</xdr:rowOff>
    </xdr:to>
    <xdr:graphicFrame macro="">
      <xdr:nvGraphicFramePr>
        <xdr:cNvPr id="8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</xdr:col>
      <xdr:colOff>127000</xdr:colOff>
      <xdr:row>490</xdr:row>
      <xdr:rowOff>130408</xdr:rowOff>
    </xdr:from>
    <xdr:to>
      <xdr:col>2</xdr:col>
      <xdr:colOff>2024012</xdr:colOff>
      <xdr:row>497</xdr:row>
      <xdr:rowOff>55491</xdr:rowOff>
    </xdr:to>
    <xdr:grpSp>
      <xdr:nvGrpSpPr>
        <xdr:cNvPr id="91" name="GrafDemo_Bis7_0_leyenda"/>
        <xdr:cNvGrpSpPr/>
      </xdr:nvGrpSpPr>
      <xdr:grpSpPr>
        <a:xfrm>
          <a:off x="2403475" y="102124108"/>
          <a:ext cx="1897012" cy="1258583"/>
          <a:chOff x="1651000" y="102124108"/>
          <a:chExt cx="1897012" cy="1258583"/>
        </a:xfrm>
      </xdr:grpSpPr>
      <xdr:cxnSp macro="">
        <xdr:nvCxnSpPr>
          <xdr:cNvPr id="87" name="GrafDemo_Bis7_0_barra_percepcion_general"/>
          <xdr:cNvCxnSpPr/>
        </xdr:nvCxnSpPr>
        <xdr:spPr>
          <a:xfrm>
            <a:off x="1651000" y="1029415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2" name="GrafDemo_Bis7_0_anio1"/>
          <xdr:cNvSpPr/>
        </xdr:nvSpPr>
        <xdr:spPr>
          <a:xfrm>
            <a:off x="1651000" y="1021842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3" name="GrafDemo_Bis7_0_textbox_anio1"/>
          <xdr:cNvSpPr txBox="1"/>
        </xdr:nvSpPr>
        <xdr:spPr>
          <a:xfrm>
            <a:off x="2286000" y="1021241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84" name="GrafDemo_Bis7_0_anio2"/>
          <xdr:cNvSpPr/>
        </xdr:nvSpPr>
        <xdr:spPr>
          <a:xfrm>
            <a:off x="1651000" y="1025017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5" name="GrafDemo_Bis7_0_textbox_anio2"/>
          <xdr:cNvSpPr txBox="1"/>
        </xdr:nvSpPr>
        <xdr:spPr>
          <a:xfrm>
            <a:off x="2286000" y="1024416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86" name="GrafDemo_Bis7_0_circulo_percepcion_general"/>
          <xdr:cNvSpPr/>
        </xdr:nvSpPr>
        <xdr:spPr>
          <a:xfrm>
            <a:off x="1760800" y="1028192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8" name="GrafDemo_Bis7_0_textbox_percepcion_general"/>
          <xdr:cNvSpPr txBox="1"/>
        </xdr:nvSpPr>
        <xdr:spPr>
          <a:xfrm>
            <a:off x="2286000" y="1028180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9" name="GrafDemo_Bis7_0_barra_promedio_general"/>
          <xdr:cNvCxnSpPr/>
        </xdr:nvCxnSpPr>
        <xdr:spPr>
          <a:xfrm>
            <a:off x="1651000" y="1032590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0" name="GrafDemo_Bis7_0_textbox_promedio_general"/>
          <xdr:cNvSpPr txBox="1"/>
        </xdr:nvSpPr>
        <xdr:spPr>
          <a:xfrm>
            <a:off x="2286000" y="1031355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486</xdr:row>
      <xdr:rowOff>0</xdr:rowOff>
    </xdr:from>
    <xdr:to>
      <xdr:col>9</xdr:col>
      <xdr:colOff>1193800</xdr:colOff>
      <xdr:row>499</xdr:row>
      <xdr:rowOff>63500</xdr:rowOff>
    </xdr:to>
    <xdr:graphicFrame macro="">
      <xdr:nvGraphicFramePr>
        <xdr:cNvPr id="9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</xdr:col>
      <xdr:colOff>127000</xdr:colOff>
      <xdr:row>521</xdr:row>
      <xdr:rowOff>130408</xdr:rowOff>
    </xdr:from>
    <xdr:to>
      <xdr:col>2</xdr:col>
      <xdr:colOff>2024012</xdr:colOff>
      <xdr:row>528</xdr:row>
      <xdr:rowOff>55491</xdr:rowOff>
    </xdr:to>
    <xdr:grpSp>
      <xdr:nvGrpSpPr>
        <xdr:cNvPr id="102" name="GrafDemo_Bis7_1_leyenda"/>
        <xdr:cNvGrpSpPr/>
      </xdr:nvGrpSpPr>
      <xdr:grpSpPr>
        <a:xfrm>
          <a:off x="2403475" y="109248808"/>
          <a:ext cx="1897012" cy="1258583"/>
          <a:chOff x="1651000" y="109248808"/>
          <a:chExt cx="1897012" cy="1258583"/>
        </a:xfrm>
      </xdr:grpSpPr>
      <xdr:cxnSp macro="">
        <xdr:nvCxnSpPr>
          <xdr:cNvPr id="98" name="GrafDemo_Bis7_1_barra_percepcion_general"/>
          <xdr:cNvCxnSpPr/>
        </xdr:nvCxnSpPr>
        <xdr:spPr>
          <a:xfrm>
            <a:off x="1651000" y="110066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3" name="GrafDemo_Bis7_1_anio1"/>
          <xdr:cNvSpPr/>
        </xdr:nvSpPr>
        <xdr:spPr>
          <a:xfrm>
            <a:off x="1651000" y="109308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4" name="GrafDemo_Bis7_1_textbox_anio1"/>
          <xdr:cNvSpPr txBox="1"/>
        </xdr:nvSpPr>
        <xdr:spPr>
          <a:xfrm>
            <a:off x="2286000" y="109248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95" name="GrafDemo_Bis7_1_anio2"/>
          <xdr:cNvSpPr/>
        </xdr:nvSpPr>
        <xdr:spPr>
          <a:xfrm>
            <a:off x="1651000" y="109626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6" name="GrafDemo_Bis7_1_textbox_anio2"/>
          <xdr:cNvSpPr txBox="1"/>
        </xdr:nvSpPr>
        <xdr:spPr>
          <a:xfrm>
            <a:off x="2286000" y="109566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7" name="GrafDemo_Bis7_1_circulo_percepcion_general"/>
          <xdr:cNvSpPr/>
        </xdr:nvSpPr>
        <xdr:spPr>
          <a:xfrm>
            <a:off x="1760800" y="109943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9" name="GrafDemo_Bis7_1_textbox_percepcion_general"/>
          <xdr:cNvSpPr txBox="1"/>
        </xdr:nvSpPr>
        <xdr:spPr>
          <a:xfrm>
            <a:off x="2286000" y="109942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0" name="GrafDemo_Bis7_1_barra_promedio_general"/>
          <xdr:cNvCxnSpPr/>
        </xdr:nvCxnSpPr>
        <xdr:spPr>
          <a:xfrm>
            <a:off x="1651000" y="110383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1" name="GrafDemo_Bis7_1_textbox_promedio_general"/>
          <xdr:cNvSpPr txBox="1"/>
        </xdr:nvSpPr>
        <xdr:spPr>
          <a:xfrm>
            <a:off x="2286000" y="110260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517</xdr:row>
      <xdr:rowOff>0</xdr:rowOff>
    </xdr:from>
    <xdr:to>
      <xdr:col>9</xdr:col>
      <xdr:colOff>1193800</xdr:colOff>
      <xdr:row>530</xdr:row>
      <xdr:rowOff>63500</xdr:rowOff>
    </xdr:to>
    <xdr:graphicFrame macro="">
      <xdr:nvGraphicFramePr>
        <xdr:cNvPr id="10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548</xdr:row>
      <xdr:rowOff>0</xdr:rowOff>
    </xdr:from>
    <xdr:to>
      <xdr:col>10</xdr:col>
      <xdr:colOff>254000</xdr:colOff>
      <xdr:row>574</xdr:row>
      <xdr:rowOff>0</xdr:rowOff>
    </xdr:to>
    <xdr:grpSp>
      <xdr:nvGrpSpPr>
        <xdr:cNvPr id="106" name="GrafDemo8"/>
        <xdr:cNvGrpSpPr/>
      </xdr:nvGrpSpPr>
      <xdr:grpSpPr>
        <a:xfrm>
          <a:off x="2276475" y="115481100"/>
          <a:ext cx="11169650" cy="4953000"/>
          <a:chOff x="1524000" y="115481100"/>
          <a:chExt cx="6350000" cy="4953000"/>
        </a:xfrm>
      </xdr:grpSpPr>
      <xdr:graphicFrame macro="">
        <xdr:nvGraphicFramePr>
          <xdr:cNvPr id="104" name="GrafDemo8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105" name="GrafDemo8_fondo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2</xdr:col>
      <xdr:colOff>127000</xdr:colOff>
      <xdr:row>612</xdr:row>
      <xdr:rowOff>130408</xdr:rowOff>
    </xdr:from>
    <xdr:to>
      <xdr:col>2</xdr:col>
      <xdr:colOff>2024012</xdr:colOff>
      <xdr:row>619</xdr:row>
      <xdr:rowOff>55491</xdr:rowOff>
    </xdr:to>
    <xdr:grpSp>
      <xdr:nvGrpSpPr>
        <xdr:cNvPr id="116" name="GrafDemo_Bis8_leyenda"/>
        <xdr:cNvGrpSpPr/>
      </xdr:nvGrpSpPr>
      <xdr:grpSpPr>
        <a:xfrm>
          <a:off x="2403475" y="127803508"/>
          <a:ext cx="1897012" cy="1258583"/>
          <a:chOff x="1651000" y="127803508"/>
          <a:chExt cx="1897012" cy="1258583"/>
        </a:xfrm>
      </xdr:grpSpPr>
      <xdr:cxnSp macro="">
        <xdr:nvCxnSpPr>
          <xdr:cNvPr id="112" name="GrafDemo_Bis8_barra_percepcion_general"/>
          <xdr:cNvCxnSpPr/>
        </xdr:nvCxnSpPr>
        <xdr:spPr>
          <a:xfrm>
            <a:off x="1651000" y="1286209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7" name="GrafDemo_Bis8_anio1"/>
          <xdr:cNvSpPr/>
        </xdr:nvSpPr>
        <xdr:spPr>
          <a:xfrm>
            <a:off x="1651000" y="1278636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08" name="GrafDemo_Bis8_textbox_anio1"/>
          <xdr:cNvSpPr txBox="1"/>
        </xdr:nvSpPr>
        <xdr:spPr>
          <a:xfrm>
            <a:off x="2286000" y="127803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9" name="GrafDemo_Bis8_anio2"/>
          <xdr:cNvSpPr/>
        </xdr:nvSpPr>
        <xdr:spPr>
          <a:xfrm>
            <a:off x="1651000" y="1281811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0" name="GrafDemo_Bis8_textbox_anio2"/>
          <xdr:cNvSpPr txBox="1"/>
        </xdr:nvSpPr>
        <xdr:spPr>
          <a:xfrm>
            <a:off x="2286000" y="128121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1" name="GrafDemo_Bis8_circulo_percepcion_general"/>
          <xdr:cNvSpPr/>
        </xdr:nvSpPr>
        <xdr:spPr>
          <a:xfrm>
            <a:off x="1760800" y="1284986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3" name="GrafDemo_Bis8_textbox_percepcion_general"/>
          <xdr:cNvSpPr txBox="1"/>
        </xdr:nvSpPr>
        <xdr:spPr>
          <a:xfrm>
            <a:off x="2286000" y="1284974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4" name="GrafDemo_Bis8_barra_promedio_general"/>
          <xdr:cNvCxnSpPr/>
        </xdr:nvCxnSpPr>
        <xdr:spPr>
          <a:xfrm>
            <a:off x="1651000" y="1289384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5" name="GrafDemo_Bis8_textbox_promedio_general"/>
          <xdr:cNvSpPr txBox="1"/>
        </xdr:nvSpPr>
        <xdr:spPr>
          <a:xfrm>
            <a:off x="2286000" y="1288149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608</xdr:row>
      <xdr:rowOff>0</xdr:rowOff>
    </xdr:from>
    <xdr:to>
      <xdr:col>9</xdr:col>
      <xdr:colOff>1193800</xdr:colOff>
      <xdr:row>621</xdr:row>
      <xdr:rowOff>63500</xdr:rowOff>
    </xdr:to>
    <xdr:graphicFrame macro="">
      <xdr:nvGraphicFramePr>
        <xdr:cNvPr id="11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639</xdr:row>
      <xdr:rowOff>0</xdr:rowOff>
    </xdr:from>
    <xdr:to>
      <xdr:col>10</xdr:col>
      <xdr:colOff>254000</xdr:colOff>
      <xdr:row>665</xdr:row>
      <xdr:rowOff>0</xdr:rowOff>
    </xdr:to>
    <xdr:grpSp>
      <xdr:nvGrpSpPr>
        <xdr:cNvPr id="120" name="GrafDemo9"/>
        <xdr:cNvGrpSpPr/>
      </xdr:nvGrpSpPr>
      <xdr:grpSpPr>
        <a:xfrm>
          <a:off x="2276475" y="133797675"/>
          <a:ext cx="11169650" cy="4953000"/>
          <a:chOff x="1524000" y="133797675"/>
          <a:chExt cx="6350000" cy="4953000"/>
        </a:xfrm>
      </xdr:grpSpPr>
      <xdr:graphicFrame macro="">
        <xdr:nvGraphicFramePr>
          <xdr:cNvPr id="118" name="GrafDemo9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119" name="GrafDemo9_fondo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2</xdr:col>
      <xdr:colOff>127000</xdr:colOff>
      <xdr:row>703</xdr:row>
      <xdr:rowOff>130408</xdr:rowOff>
    </xdr:from>
    <xdr:to>
      <xdr:col>2</xdr:col>
      <xdr:colOff>2024012</xdr:colOff>
      <xdr:row>710</xdr:row>
      <xdr:rowOff>55491</xdr:rowOff>
    </xdr:to>
    <xdr:grpSp>
      <xdr:nvGrpSpPr>
        <xdr:cNvPr id="130" name="GrafDemo_Bis9_leyenda"/>
        <xdr:cNvGrpSpPr/>
      </xdr:nvGrpSpPr>
      <xdr:grpSpPr>
        <a:xfrm>
          <a:off x="2403475" y="146120083"/>
          <a:ext cx="1897012" cy="1258583"/>
          <a:chOff x="1651000" y="146120083"/>
          <a:chExt cx="1897012" cy="1258583"/>
        </a:xfrm>
      </xdr:grpSpPr>
      <xdr:cxnSp macro="">
        <xdr:nvCxnSpPr>
          <xdr:cNvPr id="126" name="GrafDemo_Bis9_barra_percepcion_general"/>
          <xdr:cNvCxnSpPr/>
        </xdr:nvCxnSpPr>
        <xdr:spPr>
          <a:xfrm>
            <a:off x="1651000" y="1469375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GrafDemo_Bis9_anio1"/>
          <xdr:cNvSpPr/>
        </xdr:nvSpPr>
        <xdr:spPr>
          <a:xfrm>
            <a:off x="1651000" y="1461801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22" name="GrafDemo_Bis9_textbox_anio1"/>
          <xdr:cNvSpPr txBox="1"/>
        </xdr:nvSpPr>
        <xdr:spPr>
          <a:xfrm>
            <a:off x="2286000" y="146120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3" name="GrafDemo_Bis9_anio2"/>
          <xdr:cNvSpPr/>
        </xdr:nvSpPr>
        <xdr:spPr>
          <a:xfrm>
            <a:off x="1651000" y="1464976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24" name="GrafDemo_Bis9_textbox_anio2"/>
          <xdr:cNvSpPr txBox="1"/>
        </xdr:nvSpPr>
        <xdr:spPr>
          <a:xfrm>
            <a:off x="2286000" y="146437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25" name="GrafDemo_Bis9_circulo_percepcion_general"/>
          <xdr:cNvSpPr/>
        </xdr:nvSpPr>
        <xdr:spPr>
          <a:xfrm>
            <a:off x="1760800" y="1468151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27" name="GrafDemo_Bis9_textbox_percepcion_general"/>
          <xdr:cNvSpPr txBox="1"/>
        </xdr:nvSpPr>
        <xdr:spPr>
          <a:xfrm>
            <a:off x="2286000" y="1468139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8" name="GrafDemo_Bis9_barra_promedio_general"/>
          <xdr:cNvCxnSpPr/>
        </xdr:nvCxnSpPr>
        <xdr:spPr>
          <a:xfrm>
            <a:off x="1651000" y="1472550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9" name="GrafDemo_Bis9_textbox_promedio_general"/>
          <xdr:cNvSpPr txBox="1"/>
        </xdr:nvSpPr>
        <xdr:spPr>
          <a:xfrm>
            <a:off x="2286000" y="1471314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699</xdr:row>
      <xdr:rowOff>0</xdr:rowOff>
    </xdr:from>
    <xdr:to>
      <xdr:col>9</xdr:col>
      <xdr:colOff>1193800</xdr:colOff>
      <xdr:row>712</xdr:row>
      <xdr:rowOff>63500</xdr:rowOff>
    </xdr:to>
    <xdr:graphicFrame macro="">
      <xdr:nvGraphicFramePr>
        <xdr:cNvPr id="1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730</xdr:row>
      <xdr:rowOff>0</xdr:rowOff>
    </xdr:from>
    <xdr:to>
      <xdr:col>10</xdr:col>
      <xdr:colOff>254000</xdr:colOff>
      <xdr:row>756</xdr:row>
      <xdr:rowOff>0</xdr:rowOff>
    </xdr:to>
    <xdr:grpSp>
      <xdr:nvGrpSpPr>
        <xdr:cNvPr id="134" name="GrafDemo10"/>
        <xdr:cNvGrpSpPr/>
      </xdr:nvGrpSpPr>
      <xdr:grpSpPr>
        <a:xfrm>
          <a:off x="2276475" y="152781000"/>
          <a:ext cx="11169650" cy="4953000"/>
          <a:chOff x="1524000" y="152781000"/>
          <a:chExt cx="6350000" cy="4953000"/>
        </a:xfrm>
      </xdr:grpSpPr>
      <xdr:graphicFrame macro="">
        <xdr:nvGraphicFramePr>
          <xdr:cNvPr id="132" name="GrafDemo10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133" name="GrafDemo10_fondo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 editAs="oneCell">
    <xdr:from>
      <xdr:col>2</xdr:col>
      <xdr:colOff>127000</xdr:colOff>
      <xdr:row>794</xdr:row>
      <xdr:rowOff>130408</xdr:rowOff>
    </xdr:from>
    <xdr:to>
      <xdr:col>2</xdr:col>
      <xdr:colOff>2024012</xdr:colOff>
      <xdr:row>801</xdr:row>
      <xdr:rowOff>55491</xdr:rowOff>
    </xdr:to>
    <xdr:grpSp>
      <xdr:nvGrpSpPr>
        <xdr:cNvPr id="144" name="GrafDemo_Bis10_leyenda"/>
        <xdr:cNvGrpSpPr/>
      </xdr:nvGrpSpPr>
      <xdr:grpSpPr>
        <a:xfrm>
          <a:off x="2403475" y="165103408"/>
          <a:ext cx="1897012" cy="1258583"/>
          <a:chOff x="1651000" y="165103408"/>
          <a:chExt cx="1897012" cy="1258583"/>
        </a:xfrm>
      </xdr:grpSpPr>
      <xdr:cxnSp macro="">
        <xdr:nvCxnSpPr>
          <xdr:cNvPr id="140" name="GrafDemo_Bis10_barra_percepcion_general"/>
          <xdr:cNvCxnSpPr/>
        </xdr:nvCxnSpPr>
        <xdr:spPr>
          <a:xfrm>
            <a:off x="1651000" y="1659208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5" name="GrafDemo_Bis10_anio1"/>
          <xdr:cNvSpPr/>
        </xdr:nvSpPr>
        <xdr:spPr>
          <a:xfrm>
            <a:off x="1651000" y="1651635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36" name="GrafDemo_Bis10_textbox_anio1"/>
          <xdr:cNvSpPr txBox="1"/>
        </xdr:nvSpPr>
        <xdr:spPr>
          <a:xfrm>
            <a:off x="2286000" y="165103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37" name="GrafDemo_Bis10_anio2"/>
          <xdr:cNvSpPr/>
        </xdr:nvSpPr>
        <xdr:spPr>
          <a:xfrm>
            <a:off x="1651000" y="1654810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38" name="GrafDemo_Bis10_textbox_anio2"/>
          <xdr:cNvSpPr txBox="1"/>
        </xdr:nvSpPr>
        <xdr:spPr>
          <a:xfrm>
            <a:off x="2286000" y="165420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9" name="GrafDemo_Bis10_circulo_percepcion_general"/>
          <xdr:cNvSpPr/>
        </xdr:nvSpPr>
        <xdr:spPr>
          <a:xfrm>
            <a:off x="1760800" y="1657985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41" name="GrafDemo_Bis10_textbox_percepcion_general"/>
          <xdr:cNvSpPr txBox="1"/>
        </xdr:nvSpPr>
        <xdr:spPr>
          <a:xfrm>
            <a:off x="2286000" y="1657973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42" name="GrafDemo_Bis10_barra_promedio_general"/>
          <xdr:cNvCxnSpPr/>
        </xdr:nvCxnSpPr>
        <xdr:spPr>
          <a:xfrm>
            <a:off x="1651000" y="1662383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GrafDemo_Bis10_textbox_promedio_general"/>
          <xdr:cNvSpPr txBox="1"/>
        </xdr:nvSpPr>
        <xdr:spPr>
          <a:xfrm>
            <a:off x="2286000" y="1661148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790</xdr:row>
      <xdr:rowOff>0</xdr:rowOff>
    </xdr:from>
    <xdr:to>
      <xdr:col>9</xdr:col>
      <xdr:colOff>1193800</xdr:colOff>
      <xdr:row>803</xdr:row>
      <xdr:rowOff>63500</xdr:rowOff>
    </xdr:to>
    <xdr:graphicFrame macro="">
      <xdr:nvGraphicFramePr>
        <xdr:cNvPr id="14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4698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(1965)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(248)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4667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0.27388</cdr:y>
    </cdr:from>
    <cdr:to>
      <cdr:x>0.05075</cdr:x>
      <cdr:y>0.37388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9564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(2382)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(2476)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(2218)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(2191)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4690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(360)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(2318)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(2276)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(1467)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(1542)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AR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4649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(979)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(386)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0.12196</cdr:y>
    </cdr:from>
    <cdr:to>
      <cdr:x>0.05075</cdr:x>
      <cdr:y>0.22196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0978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(572)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(536)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(444)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(396)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4670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0.39755</cdr:y>
    </cdr:from>
    <cdr:to>
      <cdr:x>0.05075</cdr:x>
      <cdr:y>0.49755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977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(305)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(1202)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(1198)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(481)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(719)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(2535)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(2612)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(170)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(99)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(1432)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(1478)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4149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(2773)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(2444)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(1088)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0.028</cdr:x>
      <cdr:y>0.8984</cdr:y>
    </cdr:from>
    <cdr:to>
      <cdr:x>0.068</cdr:x>
      <cdr:y>0.93686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449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0.8984</cdr:y>
    </cdr:from>
    <cdr:to>
      <cdr:x>0.118</cdr:x>
      <cdr:y>0.93686</cdr:y>
    </cdr:to>
    <cdr:sp macro="" textlink="">
      <cdr:nvSpPr>
        <cdr:cNvPr id="4" name="GrafDemo9_rectangulo2017"/>
        <cdr:cNvSpPr/>
      </cdr:nvSpPr>
      <cdr:spPr>
        <a:xfrm xmlns:a="http://schemas.openxmlformats.org/drawingml/2006/main">
          <a:off x="495300" y="4449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0.078</cdr:x>
      <cdr:y>0.94968</cdr:y>
    </cdr:from>
    <cdr:to>
      <cdr:x>0.118</cdr:x>
      <cdr:y>0.98814</cdr:y>
    </cdr:to>
    <cdr:sp macro="" textlink="">
      <cdr:nvSpPr>
        <cdr:cNvPr id="5" name="GrafDemo9_rectangulo2016"/>
        <cdr:cNvSpPr/>
      </cdr:nvSpPr>
      <cdr:spPr>
        <a:xfrm xmlns:a="http://schemas.openxmlformats.org/drawingml/2006/main">
          <a:off x="4953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0.118</cdr:x>
      <cdr:y>0.8984</cdr:y>
    </cdr:from>
    <cdr:to>
      <cdr:x>0.238</cdr:x>
      <cdr:y>0.93686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449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0.94968</cdr:y>
    </cdr:from>
    <cdr:to>
      <cdr:x>0.238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03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0.8984</cdr:y>
    </cdr:from>
    <cdr:to>
      <cdr:x>0.558</cdr:x>
      <cdr:y>0.93686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449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3932</a:t>
          </a:r>
        </a:p>
      </cdr:txBody>
    </cdr:sp>
  </cdr:relSizeAnchor>
  <cdr:relSizeAnchor xmlns:cdr="http://schemas.openxmlformats.org/drawingml/2006/chartDrawing">
    <cdr:from>
      <cdr:x>0.258</cdr:x>
      <cdr:y>0.94968</cdr:y>
    </cdr:from>
    <cdr:to>
      <cdr:x>0.558</cdr:x>
      <cdr:y>0.98814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4577</a:t>
          </a:r>
        </a:p>
      </cdr:txBody>
    </cdr:sp>
  </cdr:relSizeAnchor>
  <cdr:relSizeAnchor xmlns:cdr="http://schemas.openxmlformats.org/drawingml/2006/chartDrawing">
    <cdr:from>
      <cdr:x>0.428</cdr:x>
      <cdr:y>0.34071</cdr:y>
    </cdr:from>
    <cdr:to>
      <cdr:x>0.598</cdr:x>
      <cdr:y>0.57147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17800" y="1687512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AR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(940)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(2149)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(218)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1839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(789)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(283)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(450)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(317)</a:t>
          </a: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076450" y="25400000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076450" y="30480000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076450" y="35560000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076450" y="40640000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076450" y="45720000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55" name="GraficoSintesis1"/>
        <xdr:cNvGrpSpPr/>
      </xdr:nvGrpSpPr>
      <xdr:grpSpPr>
        <a:xfrm>
          <a:off x="1822450" y="87382350"/>
          <a:ext cx="11366500" cy="5016500"/>
          <a:chOff x="1270000" y="87382350"/>
          <a:chExt cx="11366500" cy="5016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FDB533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658D1B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FDB533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658D1B"/>
                  </a:solidFill>
                  <a:latin typeface="Arial" panose="020B0604020202020204" pitchFamily="34" charset="0"/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DB533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69" t="s">
        <v>6</v>
      </c>
      <c r="G2" s="169"/>
      <c r="H2" s="169"/>
      <c r="J2" s="169" t="s">
        <v>7</v>
      </c>
      <c r="K2" s="169"/>
      <c r="L2" s="169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172</v>
      </c>
      <c r="J4" s="9" t="s">
        <v>143</v>
      </c>
      <c r="K4" s="27" t="s">
        <v>8</v>
      </c>
      <c r="L4" s="27" t="s">
        <v>172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283</v>
      </c>
      <c r="G6" s="28" t="s">
        <v>8</v>
      </c>
      <c r="H6" s="28" t="s">
        <v>96</v>
      </c>
      <c r="J6" s="5" t="s">
        <v>9</v>
      </c>
      <c r="K6" s="28" t="s">
        <v>8</v>
      </c>
      <c r="L6" s="28" t="s">
        <v>96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activeCell="L5" sqref="L5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 ht="53.25" customHeight="1" x14ac:dyDescent="0.25">
      <c r="A1" s="193" t="s">
        <v>173</v>
      </c>
      <c r="B1" s="193"/>
      <c r="C1" s="32"/>
      <c r="D1" s="179" t="s">
        <v>144</v>
      </c>
      <c r="E1" s="180"/>
      <c r="F1" s="180"/>
      <c r="G1" s="180"/>
      <c r="H1" s="180"/>
      <c r="I1" s="180"/>
      <c r="J1" s="180"/>
      <c r="K1" s="45"/>
      <c r="L1" s="179" t="s">
        <v>27</v>
      </c>
      <c r="M1" s="180"/>
      <c r="N1" s="180"/>
      <c r="O1" s="180"/>
      <c r="P1" s="181"/>
      <c r="Q1" s="45"/>
      <c r="R1" s="179" t="s">
        <v>28</v>
      </c>
      <c r="S1" s="181"/>
      <c r="T1" s="45"/>
      <c r="U1" s="179" t="s">
        <v>114</v>
      </c>
      <c r="V1" s="180"/>
      <c r="W1" s="180"/>
      <c r="X1" s="180"/>
      <c r="Y1" s="181"/>
      <c r="Z1" s="45"/>
      <c r="AA1" s="179" t="s">
        <v>174</v>
      </c>
      <c r="AB1" s="180"/>
      <c r="AC1" s="180"/>
      <c r="AD1" s="180"/>
      <c r="AE1" s="180"/>
      <c r="AF1" s="180"/>
      <c r="AG1" s="180"/>
      <c r="AH1" s="180"/>
      <c r="AI1" s="180"/>
      <c r="AJ1" s="181"/>
      <c r="AK1" s="45"/>
      <c r="AL1" s="179" t="s">
        <v>115</v>
      </c>
      <c r="AM1" s="180"/>
      <c r="AN1" s="180"/>
      <c r="AO1" s="180"/>
      <c r="AP1" s="180"/>
      <c r="AQ1" s="181"/>
      <c r="AR1" s="45"/>
      <c r="AS1" s="179" t="s">
        <v>175</v>
      </c>
      <c r="AT1" s="180"/>
      <c r="AU1" s="180"/>
      <c r="AV1" s="180"/>
      <c r="AW1" s="180"/>
      <c r="AX1" s="180"/>
      <c r="AY1" s="180"/>
      <c r="AZ1" s="180"/>
      <c r="BA1" s="180"/>
      <c r="BB1" s="180"/>
      <c r="BC1" s="180"/>
      <c r="BD1" s="180"/>
      <c r="BE1" s="180"/>
      <c r="BF1" s="181"/>
      <c r="BG1" s="45"/>
      <c r="BH1" s="179" t="s">
        <v>116</v>
      </c>
      <c r="BI1" s="180"/>
      <c r="BJ1" s="180"/>
      <c r="BK1" s="181"/>
      <c r="BL1" s="45"/>
      <c r="BM1" s="179" t="s">
        <v>97</v>
      </c>
      <c r="BN1" s="180"/>
      <c r="BO1" s="180"/>
      <c r="BP1" s="180"/>
      <c r="BQ1" s="181"/>
      <c r="BR1" s="45"/>
      <c r="BS1" s="179" t="s">
        <v>117</v>
      </c>
      <c r="BT1" s="180"/>
      <c r="BU1" s="180"/>
      <c r="BV1" s="181"/>
    </row>
    <row r="2" spans="1:74" ht="86.25" customHeight="1" x14ac:dyDescent="0.25">
      <c r="A2" s="191" t="s">
        <v>176</v>
      </c>
      <c r="B2" s="191"/>
      <c r="C2" s="192"/>
      <c r="D2" s="33">
        <v>2016</v>
      </c>
      <c r="E2" s="33">
        <v>2015</v>
      </c>
      <c r="F2" s="33" t="s">
        <v>177</v>
      </c>
      <c r="G2" s="33" t="s">
        <v>178</v>
      </c>
      <c r="H2" s="33" t="s">
        <v>179</v>
      </c>
      <c r="I2" s="33" t="s">
        <v>180</v>
      </c>
      <c r="J2" s="33" t="s">
        <v>181</v>
      </c>
      <c r="K2" s="45"/>
      <c r="L2" s="33" t="s">
        <v>222</v>
      </c>
      <c r="M2" s="33" t="s">
        <v>223</v>
      </c>
      <c r="N2" s="33" t="s">
        <v>224</v>
      </c>
      <c r="O2" s="33" t="s">
        <v>225</v>
      </c>
      <c r="P2" s="33" t="s">
        <v>226</v>
      </c>
      <c r="Q2" s="45"/>
      <c r="R2" s="33" t="s">
        <v>227</v>
      </c>
      <c r="S2" s="33" t="s">
        <v>228</v>
      </c>
      <c r="T2" s="45"/>
      <c r="U2" s="33" t="s">
        <v>229</v>
      </c>
      <c r="V2" s="33" t="s">
        <v>230</v>
      </c>
      <c r="W2" s="33" t="s">
        <v>231</v>
      </c>
      <c r="X2" s="33" t="s">
        <v>232</v>
      </c>
      <c r="Y2" s="33" t="s">
        <v>233</v>
      </c>
      <c r="Z2" s="45"/>
      <c r="AA2" s="46" t="s">
        <v>234</v>
      </c>
      <c r="AB2" s="46" t="s">
        <v>235</v>
      </c>
      <c r="AC2" s="46" t="s">
        <v>236</v>
      </c>
      <c r="AD2" s="46" t="s">
        <v>237</v>
      </c>
      <c r="AE2" s="46" t="s">
        <v>238</v>
      </c>
      <c r="AF2" s="46" t="s">
        <v>239</v>
      </c>
      <c r="AG2" s="46" t="s">
        <v>240</v>
      </c>
      <c r="AH2" s="46" t="s">
        <v>241</v>
      </c>
      <c r="AI2" s="46" t="s">
        <v>242</v>
      </c>
      <c r="AJ2" s="46" t="s">
        <v>243</v>
      </c>
      <c r="AK2" s="45"/>
      <c r="AL2" s="33" t="s">
        <v>244</v>
      </c>
      <c r="AM2" s="33" t="s">
        <v>245</v>
      </c>
      <c r="AN2" s="33" t="s">
        <v>246</v>
      </c>
      <c r="AO2" s="33" t="s">
        <v>247</v>
      </c>
      <c r="AP2" s="33" t="s">
        <v>248</v>
      </c>
      <c r="AQ2" s="33" t="s">
        <v>249</v>
      </c>
      <c r="AR2" s="45"/>
      <c r="AS2" s="33" t="s">
        <v>250</v>
      </c>
      <c r="AT2" s="33" t="s">
        <v>251</v>
      </c>
      <c r="AU2" s="33" t="s">
        <v>252</v>
      </c>
      <c r="AV2" s="33" t="s">
        <v>253</v>
      </c>
      <c r="AW2" s="33" t="s">
        <v>254</v>
      </c>
      <c r="AX2" s="33" t="s">
        <v>255</v>
      </c>
      <c r="AY2" s="33" t="s">
        <v>256</v>
      </c>
      <c r="AZ2" s="33" t="s">
        <v>257</v>
      </c>
      <c r="BA2" s="33" t="s">
        <v>258</v>
      </c>
      <c r="BB2" s="33" t="s">
        <v>259</v>
      </c>
      <c r="BC2" s="33" t="s">
        <v>260</v>
      </c>
      <c r="BD2" s="33" t="s">
        <v>261</v>
      </c>
      <c r="BE2" s="33" t="s">
        <v>262</v>
      </c>
      <c r="BF2" s="33" t="s">
        <v>263</v>
      </c>
      <c r="BG2" s="45"/>
      <c r="BH2" s="33" t="s">
        <v>264</v>
      </c>
      <c r="BI2" s="33" t="s">
        <v>265</v>
      </c>
      <c r="BJ2" s="33" t="s">
        <v>266</v>
      </c>
      <c r="BK2" s="33" t="s">
        <v>267</v>
      </c>
      <c r="BL2" s="45"/>
      <c r="BM2" s="33" t="s">
        <v>268</v>
      </c>
      <c r="BN2" s="33" t="s">
        <v>269</v>
      </c>
      <c r="BO2" s="33" t="s">
        <v>270</v>
      </c>
      <c r="BP2" s="33" t="s">
        <v>271</v>
      </c>
      <c r="BQ2" s="33" t="s">
        <v>272</v>
      </c>
      <c r="BR2" s="45"/>
      <c r="BS2" s="33" t="s">
        <v>273</v>
      </c>
      <c r="BT2" s="33" t="s">
        <v>265</v>
      </c>
      <c r="BU2" s="33" t="s">
        <v>266</v>
      </c>
      <c r="BV2" s="33" t="s">
        <v>267</v>
      </c>
    </row>
    <row r="3" spans="1:74" ht="15" customHeight="1" x14ac:dyDescent="0.25">
      <c r="A3" s="34"/>
      <c r="B3" s="34"/>
      <c r="C3" s="35" t="s">
        <v>145</v>
      </c>
      <c r="D3" s="36">
        <v>4886</v>
      </c>
      <c r="E3" s="36">
        <v>4735</v>
      </c>
      <c r="F3" s="36"/>
      <c r="G3" s="36"/>
      <c r="H3" s="36"/>
      <c r="I3" s="36"/>
      <c r="J3" s="36"/>
      <c r="K3" s="45"/>
      <c r="L3" s="36">
        <v>292</v>
      </c>
      <c r="M3" s="36">
        <v>1996</v>
      </c>
      <c r="N3" s="36">
        <v>1426</v>
      </c>
      <c r="O3" s="36">
        <v>736</v>
      </c>
      <c r="P3" s="36">
        <v>248</v>
      </c>
      <c r="Q3" s="45"/>
      <c r="R3" s="36">
        <v>2476</v>
      </c>
      <c r="S3" s="36">
        <v>2191</v>
      </c>
      <c r="T3" s="45"/>
      <c r="U3" s="36">
        <v>12</v>
      </c>
      <c r="V3" s="36">
        <v>360</v>
      </c>
      <c r="W3" s="36">
        <v>2276</v>
      </c>
      <c r="X3" s="36">
        <v>1542</v>
      </c>
      <c r="Y3" s="36">
        <v>500</v>
      </c>
      <c r="Z3" s="45"/>
      <c r="AA3" s="36">
        <v>74</v>
      </c>
      <c r="AB3" s="36">
        <v>139</v>
      </c>
      <c r="AC3" s="36">
        <v>979</v>
      </c>
      <c r="AD3" s="36">
        <v>794</v>
      </c>
      <c r="AE3" s="36">
        <v>386</v>
      </c>
      <c r="AF3" s="36">
        <v>426</v>
      </c>
      <c r="AG3" s="36">
        <v>536</v>
      </c>
      <c r="AH3" s="36">
        <v>877</v>
      </c>
      <c r="AI3" s="36">
        <v>396</v>
      </c>
      <c r="AJ3" s="36">
        <v>42</v>
      </c>
      <c r="AK3" s="45"/>
      <c r="AL3" s="36">
        <v>425</v>
      </c>
      <c r="AM3" s="36">
        <v>1125</v>
      </c>
      <c r="AN3" s="36">
        <v>1198</v>
      </c>
      <c r="AO3" s="36">
        <v>412</v>
      </c>
      <c r="AP3" s="36">
        <v>791</v>
      </c>
      <c r="AQ3" s="36">
        <v>719</v>
      </c>
      <c r="AR3" s="45"/>
      <c r="AS3" s="36">
        <v>8</v>
      </c>
      <c r="AT3" s="36">
        <v>14</v>
      </c>
      <c r="AU3" s="36">
        <v>41</v>
      </c>
      <c r="AV3" s="36">
        <v>199</v>
      </c>
      <c r="AW3" s="36">
        <v>2612</v>
      </c>
      <c r="AX3" s="36">
        <v>95</v>
      </c>
      <c r="AY3" s="36">
        <v>21</v>
      </c>
      <c r="AZ3" s="36">
        <v>170</v>
      </c>
      <c r="BA3" s="36">
        <v>102</v>
      </c>
      <c r="BB3" s="36">
        <v>60</v>
      </c>
      <c r="BC3" s="36">
        <v>1478</v>
      </c>
      <c r="BD3" s="36">
        <v>73</v>
      </c>
      <c r="BE3" s="36">
        <v>3</v>
      </c>
      <c r="BF3" s="36">
        <v>10</v>
      </c>
      <c r="BG3" s="45"/>
      <c r="BH3" s="36">
        <v>2444</v>
      </c>
      <c r="BI3" s="36">
        <v>1088</v>
      </c>
      <c r="BJ3" s="36">
        <v>501</v>
      </c>
      <c r="BK3" s="36">
        <v>116</v>
      </c>
      <c r="BL3" s="45"/>
      <c r="BM3" s="36">
        <v>680</v>
      </c>
      <c r="BN3" s="36">
        <v>940</v>
      </c>
      <c r="BO3" s="36">
        <v>101</v>
      </c>
      <c r="BP3" s="36">
        <v>1993</v>
      </c>
      <c r="BQ3" s="36">
        <v>218</v>
      </c>
      <c r="BR3" s="45"/>
      <c r="BS3" s="36">
        <v>789</v>
      </c>
      <c r="BT3" s="36">
        <v>283</v>
      </c>
      <c r="BU3" s="36">
        <v>450</v>
      </c>
      <c r="BV3" s="36">
        <v>317</v>
      </c>
    </row>
    <row r="4" spans="1:74" ht="15" customHeight="1" x14ac:dyDescent="0.25">
      <c r="A4" s="47"/>
      <c r="B4" s="47"/>
      <c r="C4" s="48" t="s">
        <v>166</v>
      </c>
      <c r="D4" s="49">
        <v>5231</v>
      </c>
      <c r="E4" s="49">
        <v>5159</v>
      </c>
      <c r="F4" s="49"/>
      <c r="G4" s="49"/>
      <c r="H4" s="49"/>
      <c r="I4" s="49"/>
      <c r="J4" s="49"/>
      <c r="K4" s="45"/>
      <c r="L4" s="49"/>
      <c r="M4" s="49"/>
      <c r="N4" s="49"/>
      <c r="O4" s="49"/>
      <c r="P4" s="49"/>
      <c r="Q4" s="45"/>
      <c r="R4" s="49"/>
      <c r="S4" s="49"/>
      <c r="T4" s="45"/>
      <c r="U4" s="49"/>
      <c r="V4" s="49"/>
      <c r="W4" s="49"/>
      <c r="X4" s="49"/>
      <c r="Y4" s="49"/>
      <c r="Z4" s="45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5"/>
      <c r="AL4" s="49"/>
      <c r="AM4" s="49"/>
      <c r="AN4" s="49"/>
      <c r="AO4" s="49"/>
      <c r="AP4" s="49"/>
      <c r="AQ4" s="49"/>
      <c r="AR4" s="45"/>
      <c r="AS4" s="49">
        <v>9</v>
      </c>
      <c r="AT4" s="49">
        <v>22</v>
      </c>
      <c r="AU4" s="49">
        <v>43</v>
      </c>
      <c r="AV4" s="49">
        <v>219</v>
      </c>
      <c r="AW4" s="49">
        <v>2790</v>
      </c>
      <c r="AX4" s="49">
        <v>97</v>
      </c>
      <c r="AY4" s="49">
        <v>21</v>
      </c>
      <c r="AZ4" s="49">
        <v>179</v>
      </c>
      <c r="BA4" s="49">
        <v>109</v>
      </c>
      <c r="BB4" s="49">
        <v>62</v>
      </c>
      <c r="BC4" s="49">
        <v>1587</v>
      </c>
      <c r="BD4" s="49">
        <v>77</v>
      </c>
      <c r="BE4" s="49">
        <v>4</v>
      </c>
      <c r="BF4" s="49">
        <v>12</v>
      </c>
      <c r="BG4" s="45"/>
      <c r="BH4" s="49"/>
      <c r="BI4" s="49"/>
      <c r="BJ4" s="49"/>
      <c r="BK4" s="49"/>
      <c r="BL4" s="45"/>
      <c r="BM4" s="49"/>
      <c r="BN4" s="49"/>
      <c r="BO4" s="49"/>
      <c r="BP4" s="49"/>
      <c r="BQ4" s="49"/>
      <c r="BR4" s="45"/>
      <c r="BS4" s="49"/>
      <c r="BT4" s="49"/>
      <c r="BU4" s="49"/>
      <c r="BV4" s="49"/>
    </row>
    <row r="5" spans="1:74" ht="15" customHeight="1" x14ac:dyDescent="0.25">
      <c r="A5" s="50"/>
      <c r="B5" s="50"/>
      <c r="C5" s="51" t="s">
        <v>167</v>
      </c>
      <c r="D5" s="52">
        <v>4735</v>
      </c>
      <c r="E5" s="52">
        <v>4504</v>
      </c>
      <c r="F5" s="52"/>
      <c r="G5" s="52"/>
      <c r="H5" s="52"/>
      <c r="I5" s="52"/>
      <c r="J5" s="52"/>
      <c r="K5" s="45"/>
      <c r="L5" s="52">
        <v>249</v>
      </c>
      <c r="M5" s="52">
        <v>1965</v>
      </c>
      <c r="N5" s="52">
        <v>1426</v>
      </c>
      <c r="O5" s="52">
        <v>733</v>
      </c>
      <c r="P5" s="52">
        <v>256</v>
      </c>
      <c r="Q5" s="45"/>
      <c r="R5" s="52">
        <v>2382</v>
      </c>
      <c r="S5" s="52">
        <v>2218</v>
      </c>
      <c r="T5" s="45"/>
      <c r="U5" s="52">
        <v>14</v>
      </c>
      <c r="V5" s="52">
        <v>413</v>
      </c>
      <c r="W5" s="52">
        <v>2318</v>
      </c>
      <c r="X5" s="52">
        <v>1467</v>
      </c>
      <c r="Y5" s="52">
        <v>425</v>
      </c>
      <c r="Z5" s="45"/>
      <c r="AA5" s="52">
        <v>65</v>
      </c>
      <c r="AB5" s="52">
        <v>121</v>
      </c>
      <c r="AC5" s="52">
        <v>895</v>
      </c>
      <c r="AD5" s="52">
        <v>768</v>
      </c>
      <c r="AE5" s="52">
        <v>265</v>
      </c>
      <c r="AF5" s="52">
        <v>519</v>
      </c>
      <c r="AG5" s="52">
        <v>572</v>
      </c>
      <c r="AH5" s="52">
        <v>937</v>
      </c>
      <c r="AI5" s="52">
        <v>444</v>
      </c>
      <c r="AJ5" s="52" t="s">
        <v>146</v>
      </c>
      <c r="AK5" s="45"/>
      <c r="AL5" s="52">
        <v>305</v>
      </c>
      <c r="AM5" s="52">
        <v>1135</v>
      </c>
      <c r="AN5" s="52">
        <v>1202</v>
      </c>
      <c r="AO5" s="52">
        <v>481</v>
      </c>
      <c r="AP5" s="52">
        <v>715</v>
      </c>
      <c r="AQ5" s="52">
        <v>773</v>
      </c>
      <c r="AR5" s="45"/>
      <c r="AS5" s="52">
        <v>22</v>
      </c>
      <c r="AT5" s="52">
        <v>10</v>
      </c>
      <c r="AU5" s="52">
        <v>47</v>
      </c>
      <c r="AV5" s="52">
        <v>187</v>
      </c>
      <c r="AW5" s="52">
        <v>2535</v>
      </c>
      <c r="AX5" s="52">
        <v>89</v>
      </c>
      <c r="AY5" s="52" t="s">
        <v>146</v>
      </c>
      <c r="AZ5" s="52">
        <v>159</v>
      </c>
      <c r="BA5" s="52">
        <v>99</v>
      </c>
      <c r="BB5" s="52">
        <v>55</v>
      </c>
      <c r="BC5" s="52">
        <v>1432</v>
      </c>
      <c r="BD5" s="52">
        <v>77</v>
      </c>
      <c r="BE5" s="52">
        <v>5</v>
      </c>
      <c r="BF5" s="52">
        <v>11</v>
      </c>
      <c r="BG5" s="45"/>
      <c r="BH5" s="52">
        <v>2773</v>
      </c>
      <c r="BI5" s="52">
        <v>1087</v>
      </c>
      <c r="BJ5" s="52">
        <v>595</v>
      </c>
      <c r="BK5" s="52">
        <v>110</v>
      </c>
      <c r="BL5" s="45"/>
      <c r="BM5" s="52">
        <v>764</v>
      </c>
      <c r="BN5" s="52">
        <v>1235</v>
      </c>
      <c r="BO5" s="52">
        <v>132</v>
      </c>
      <c r="BP5" s="52">
        <v>2149</v>
      </c>
      <c r="BQ5" s="52">
        <v>297</v>
      </c>
      <c r="BR5" s="45"/>
      <c r="BS5" s="52" t="s">
        <v>146</v>
      </c>
      <c r="BT5" s="52" t="s">
        <v>146</v>
      </c>
      <c r="BU5" s="52" t="s">
        <v>146</v>
      </c>
      <c r="BV5" s="52" t="s">
        <v>146</v>
      </c>
    </row>
    <row r="6" spans="1:74" ht="4.5" customHeight="1" x14ac:dyDescent="0.25">
      <c r="A6" s="53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</row>
    <row r="7" spans="1:74" ht="15" customHeight="1" x14ac:dyDescent="0.25">
      <c r="A7" s="194" t="s">
        <v>147</v>
      </c>
      <c r="B7" s="195"/>
      <c r="C7" s="196"/>
      <c r="D7" s="54">
        <v>85.93</v>
      </c>
      <c r="E7" s="54">
        <v>82.67</v>
      </c>
      <c r="F7" s="54">
        <v>89.46</v>
      </c>
      <c r="G7" s="54">
        <v>79.150000000000006</v>
      </c>
      <c r="H7" s="55">
        <v>3.2600000000000051</v>
      </c>
      <c r="I7" s="55">
        <v>-3.5299999999999869</v>
      </c>
      <c r="J7" s="55">
        <v>6.7800000000000011</v>
      </c>
      <c r="K7" s="45"/>
      <c r="L7" s="54">
        <v>90.45</v>
      </c>
      <c r="M7" s="54">
        <v>86.08</v>
      </c>
      <c r="N7" s="54">
        <v>84.35</v>
      </c>
      <c r="O7" s="54">
        <v>87.74</v>
      </c>
      <c r="P7" s="54">
        <v>90.43</v>
      </c>
      <c r="Q7" s="45"/>
      <c r="R7" s="54">
        <v>86.53</v>
      </c>
      <c r="S7" s="54">
        <v>86.24</v>
      </c>
      <c r="T7" s="45"/>
      <c r="U7" s="54">
        <v>76.19</v>
      </c>
      <c r="V7" s="54">
        <v>87.14</v>
      </c>
      <c r="W7" s="54">
        <v>86.86</v>
      </c>
      <c r="X7" s="54">
        <v>85.18</v>
      </c>
      <c r="Y7" s="54">
        <v>87.05</v>
      </c>
      <c r="Z7" s="45"/>
      <c r="AA7" s="54">
        <v>93.53</v>
      </c>
      <c r="AB7" s="54">
        <v>91.83</v>
      </c>
      <c r="AC7" s="54">
        <v>88.97</v>
      </c>
      <c r="AD7" s="54">
        <v>83.86</v>
      </c>
      <c r="AE7" s="54">
        <v>84.1</v>
      </c>
      <c r="AF7" s="54">
        <v>78.73</v>
      </c>
      <c r="AG7" s="54">
        <v>86.35</v>
      </c>
      <c r="AH7" s="54">
        <v>87.52</v>
      </c>
      <c r="AI7" s="54">
        <v>90.4</v>
      </c>
      <c r="AJ7" s="54">
        <v>79.88</v>
      </c>
      <c r="AK7" s="45"/>
      <c r="AL7" s="54">
        <v>91.75</v>
      </c>
      <c r="AM7" s="54">
        <v>87.14</v>
      </c>
      <c r="AN7" s="54">
        <v>84.41</v>
      </c>
      <c r="AO7" s="54">
        <v>79.94</v>
      </c>
      <c r="AP7" s="54">
        <v>87.42</v>
      </c>
      <c r="AQ7" s="54">
        <v>88.24</v>
      </c>
      <c r="AR7" s="45"/>
      <c r="AS7" s="54">
        <v>70.28</v>
      </c>
      <c r="AT7" s="54">
        <v>93.52</v>
      </c>
      <c r="AU7" s="54">
        <v>81.7</v>
      </c>
      <c r="AV7" s="54">
        <v>85.8</v>
      </c>
      <c r="AW7" s="54">
        <v>86.78</v>
      </c>
      <c r="AX7" s="54">
        <v>83.81</v>
      </c>
      <c r="AY7" s="54">
        <v>96.24</v>
      </c>
      <c r="AZ7" s="54">
        <v>90.49</v>
      </c>
      <c r="BA7" s="54">
        <v>78.42</v>
      </c>
      <c r="BB7" s="54">
        <v>89.17</v>
      </c>
      <c r="BC7" s="54">
        <v>84.63</v>
      </c>
      <c r="BD7" s="54">
        <v>81.78</v>
      </c>
      <c r="BE7" s="54" t="s">
        <v>148</v>
      </c>
      <c r="BF7" s="54">
        <v>97.14</v>
      </c>
      <c r="BG7" s="45"/>
      <c r="BH7" s="54">
        <v>92.06</v>
      </c>
      <c r="BI7" s="54">
        <v>82.99</v>
      </c>
      <c r="BJ7" s="54">
        <v>73.010000000000005</v>
      </c>
      <c r="BK7" s="54">
        <v>58.22</v>
      </c>
      <c r="BL7" s="45"/>
      <c r="BM7" s="54">
        <v>88.46</v>
      </c>
      <c r="BN7" s="54">
        <v>81.81</v>
      </c>
      <c r="BO7" s="54">
        <v>69.47</v>
      </c>
      <c r="BP7" s="54">
        <v>90.75</v>
      </c>
      <c r="BQ7" s="54">
        <v>71.900000000000006</v>
      </c>
      <c r="BR7" s="45"/>
      <c r="BS7" s="54">
        <v>93.66</v>
      </c>
      <c r="BT7" s="54">
        <v>88.03</v>
      </c>
      <c r="BU7" s="54">
        <v>82.62</v>
      </c>
      <c r="BV7" s="54">
        <v>65.010000000000005</v>
      </c>
    </row>
    <row r="8" spans="1:74" ht="15" customHeight="1" x14ac:dyDescent="0.25">
      <c r="A8" s="197" t="s">
        <v>149</v>
      </c>
      <c r="B8" s="198"/>
      <c r="C8" s="199"/>
      <c r="D8" s="54">
        <v>81.56</v>
      </c>
      <c r="E8" s="54">
        <v>77.59</v>
      </c>
      <c r="F8" s="54">
        <v>88.6</v>
      </c>
      <c r="G8" s="54">
        <v>77.23</v>
      </c>
      <c r="H8" s="55">
        <v>3.9699999999999989</v>
      </c>
      <c r="I8" s="55">
        <v>-7.039999999999992</v>
      </c>
      <c r="J8" s="55">
        <v>4.3299999999999983</v>
      </c>
      <c r="K8" s="45"/>
      <c r="L8" s="54">
        <v>84.9</v>
      </c>
      <c r="M8" s="54">
        <v>80.59</v>
      </c>
      <c r="N8" s="54">
        <v>81</v>
      </c>
      <c r="O8" s="54">
        <v>84.36</v>
      </c>
      <c r="P8" s="54">
        <v>87.34</v>
      </c>
      <c r="Q8" s="45"/>
      <c r="R8" s="54">
        <v>82.52</v>
      </c>
      <c r="S8" s="54">
        <v>81.34</v>
      </c>
      <c r="T8" s="45"/>
      <c r="U8" s="54">
        <v>78.209999999999994</v>
      </c>
      <c r="V8" s="54">
        <v>80.63</v>
      </c>
      <c r="W8" s="54">
        <v>81.92</v>
      </c>
      <c r="X8" s="54">
        <v>81.260000000000005</v>
      </c>
      <c r="Y8" s="54">
        <v>85.26</v>
      </c>
      <c r="Z8" s="45"/>
      <c r="AA8" s="54">
        <v>93.66</v>
      </c>
      <c r="AB8" s="54">
        <v>89.43</v>
      </c>
      <c r="AC8" s="54">
        <v>85.92</v>
      </c>
      <c r="AD8" s="54">
        <v>81.99</v>
      </c>
      <c r="AE8" s="54">
        <v>79.41</v>
      </c>
      <c r="AF8" s="54">
        <v>74.709999999999994</v>
      </c>
      <c r="AG8" s="54">
        <v>79.209999999999994</v>
      </c>
      <c r="AH8" s="54">
        <v>81.94</v>
      </c>
      <c r="AI8" s="54">
        <v>82.09</v>
      </c>
      <c r="AJ8" s="54">
        <v>80.540000000000006</v>
      </c>
      <c r="AK8" s="45"/>
      <c r="AL8" s="54">
        <v>87.01</v>
      </c>
      <c r="AM8" s="54">
        <v>82.15</v>
      </c>
      <c r="AN8" s="54">
        <v>78.97</v>
      </c>
      <c r="AO8" s="54">
        <v>76.930000000000007</v>
      </c>
      <c r="AP8" s="54">
        <v>83.93</v>
      </c>
      <c r="AQ8" s="54">
        <v>84.79</v>
      </c>
      <c r="AR8" s="45"/>
      <c r="AS8" s="54">
        <v>62.23</v>
      </c>
      <c r="AT8" s="54">
        <v>94.29</v>
      </c>
      <c r="AU8" s="54">
        <v>80.44</v>
      </c>
      <c r="AV8" s="54">
        <v>83.68</v>
      </c>
      <c r="AW8" s="54">
        <v>81.459999999999994</v>
      </c>
      <c r="AX8" s="54">
        <v>84.28</v>
      </c>
      <c r="AY8" s="54">
        <v>91.48</v>
      </c>
      <c r="AZ8" s="54">
        <v>90.16</v>
      </c>
      <c r="BA8" s="54">
        <v>79.81</v>
      </c>
      <c r="BB8" s="54">
        <v>87.3</v>
      </c>
      <c r="BC8" s="54">
        <v>79.87</v>
      </c>
      <c r="BD8" s="54">
        <v>83.85</v>
      </c>
      <c r="BE8" s="54" t="s">
        <v>148</v>
      </c>
      <c r="BF8" s="54">
        <v>95.38</v>
      </c>
      <c r="BG8" s="45"/>
      <c r="BH8" s="54">
        <v>87.65</v>
      </c>
      <c r="BI8" s="54">
        <v>78.34</v>
      </c>
      <c r="BJ8" s="54">
        <v>69.09</v>
      </c>
      <c r="BK8" s="54">
        <v>54.71</v>
      </c>
      <c r="BL8" s="45"/>
      <c r="BM8" s="54">
        <v>84.45</v>
      </c>
      <c r="BN8" s="54">
        <v>75.67</v>
      </c>
      <c r="BO8" s="54">
        <v>62.34</v>
      </c>
      <c r="BP8" s="54">
        <v>87.24</v>
      </c>
      <c r="BQ8" s="54">
        <v>66.099999999999994</v>
      </c>
      <c r="BR8" s="45"/>
      <c r="BS8" s="54">
        <v>89.83</v>
      </c>
      <c r="BT8" s="54">
        <v>83.54</v>
      </c>
      <c r="BU8" s="54">
        <v>77.73</v>
      </c>
      <c r="BV8" s="54">
        <v>61.02</v>
      </c>
    </row>
    <row r="9" spans="1:74" ht="15" customHeight="1" x14ac:dyDescent="0.25">
      <c r="A9" s="182" t="s">
        <v>150</v>
      </c>
      <c r="B9" s="183"/>
      <c r="C9" s="184"/>
      <c r="D9" s="54">
        <v>77.78</v>
      </c>
      <c r="E9" s="54">
        <v>73.56</v>
      </c>
      <c r="F9" s="54">
        <v>84.91</v>
      </c>
      <c r="G9" s="54">
        <v>75.44</v>
      </c>
      <c r="H9" s="55">
        <v>4.2199999999999989</v>
      </c>
      <c r="I9" s="55">
        <v>-7.1299999999999955</v>
      </c>
      <c r="J9" s="55">
        <v>2.3400000000000034</v>
      </c>
      <c r="K9" s="45"/>
      <c r="L9" s="54">
        <v>85.2</v>
      </c>
      <c r="M9" s="54">
        <v>77.400000000000006</v>
      </c>
      <c r="N9" s="54">
        <v>75.959999999999994</v>
      </c>
      <c r="O9" s="54">
        <v>79.81</v>
      </c>
      <c r="P9" s="54">
        <v>83.12</v>
      </c>
      <c r="Q9" s="45"/>
      <c r="R9" s="54">
        <v>78.27</v>
      </c>
      <c r="S9" s="54">
        <v>78.02</v>
      </c>
      <c r="T9" s="45"/>
      <c r="U9" s="54">
        <v>80.489999999999995</v>
      </c>
      <c r="V9" s="54">
        <v>78.47</v>
      </c>
      <c r="W9" s="54">
        <v>78.739999999999995</v>
      </c>
      <c r="X9" s="54">
        <v>76.790000000000006</v>
      </c>
      <c r="Y9" s="54">
        <v>79.03</v>
      </c>
      <c r="Z9" s="45"/>
      <c r="AA9" s="54">
        <v>87.16</v>
      </c>
      <c r="AB9" s="54">
        <v>83.33</v>
      </c>
      <c r="AC9" s="54">
        <v>81.790000000000006</v>
      </c>
      <c r="AD9" s="54">
        <v>75.37</v>
      </c>
      <c r="AE9" s="54">
        <v>74.319999999999993</v>
      </c>
      <c r="AF9" s="54">
        <v>69.97</v>
      </c>
      <c r="AG9" s="54">
        <v>77.64</v>
      </c>
      <c r="AH9" s="54">
        <v>79.180000000000007</v>
      </c>
      <c r="AI9" s="54">
        <v>83.27</v>
      </c>
      <c r="AJ9" s="54">
        <v>72.260000000000005</v>
      </c>
      <c r="AK9" s="45"/>
      <c r="AL9" s="54">
        <v>87.17</v>
      </c>
      <c r="AM9" s="54">
        <v>79.760000000000005</v>
      </c>
      <c r="AN9" s="54">
        <v>74.66</v>
      </c>
      <c r="AO9" s="54">
        <v>72.42</v>
      </c>
      <c r="AP9" s="54">
        <v>77.63</v>
      </c>
      <c r="AQ9" s="54">
        <v>80.38</v>
      </c>
      <c r="AR9" s="45"/>
      <c r="AS9" s="54">
        <v>67.959999999999994</v>
      </c>
      <c r="AT9" s="54">
        <v>91.07</v>
      </c>
      <c r="AU9" s="54">
        <v>74.040000000000006</v>
      </c>
      <c r="AV9" s="54">
        <v>74.45</v>
      </c>
      <c r="AW9" s="54">
        <v>78.72</v>
      </c>
      <c r="AX9" s="54">
        <v>76.58</v>
      </c>
      <c r="AY9" s="54">
        <v>81.349999999999994</v>
      </c>
      <c r="AZ9" s="54">
        <v>80.63</v>
      </c>
      <c r="BA9" s="54">
        <v>70.56</v>
      </c>
      <c r="BB9" s="54">
        <v>81.760000000000005</v>
      </c>
      <c r="BC9" s="54">
        <v>76.849999999999994</v>
      </c>
      <c r="BD9" s="54">
        <v>73.540000000000006</v>
      </c>
      <c r="BE9" s="54" t="s">
        <v>148</v>
      </c>
      <c r="BF9" s="54">
        <v>85</v>
      </c>
      <c r="BG9" s="45"/>
      <c r="BH9" s="54">
        <v>83.2</v>
      </c>
      <c r="BI9" s="54">
        <v>74.31</v>
      </c>
      <c r="BJ9" s="54">
        <v>66.7</v>
      </c>
      <c r="BK9" s="54">
        <v>56.94</v>
      </c>
      <c r="BL9" s="45"/>
      <c r="BM9" s="54">
        <v>79.25</v>
      </c>
      <c r="BN9" s="54">
        <v>73.47</v>
      </c>
      <c r="BO9" s="54">
        <v>59.43</v>
      </c>
      <c r="BP9" s="54">
        <v>82.97</v>
      </c>
      <c r="BQ9" s="54">
        <v>62.41</v>
      </c>
      <c r="BR9" s="45"/>
      <c r="BS9" s="54">
        <v>85.29</v>
      </c>
      <c r="BT9" s="54">
        <v>79.36</v>
      </c>
      <c r="BU9" s="54">
        <v>73.209999999999994</v>
      </c>
      <c r="BV9" s="54">
        <v>61.49</v>
      </c>
    </row>
    <row r="10" spans="1:74" ht="15" customHeight="1" x14ac:dyDescent="0.25">
      <c r="A10" s="185" t="s">
        <v>151</v>
      </c>
      <c r="B10" s="186"/>
      <c r="C10" s="187"/>
      <c r="D10" s="54">
        <v>83.3</v>
      </c>
      <c r="E10" s="54">
        <v>78.540000000000006</v>
      </c>
      <c r="F10" s="54">
        <v>90.36</v>
      </c>
      <c r="G10" s="54">
        <v>80.28</v>
      </c>
      <c r="H10" s="55">
        <v>4.7599999999999909</v>
      </c>
      <c r="I10" s="55">
        <v>-7.0600000000000023</v>
      </c>
      <c r="J10" s="55">
        <v>3.019999999999996</v>
      </c>
      <c r="K10" s="45"/>
      <c r="L10" s="54">
        <v>83.54</v>
      </c>
      <c r="M10" s="54">
        <v>81.03</v>
      </c>
      <c r="N10" s="54">
        <v>83.26</v>
      </c>
      <c r="O10" s="54">
        <v>88.56</v>
      </c>
      <c r="P10" s="54">
        <v>91.07</v>
      </c>
      <c r="Q10" s="45"/>
      <c r="R10" s="54">
        <v>83.68</v>
      </c>
      <c r="S10" s="54">
        <v>83.52</v>
      </c>
      <c r="T10" s="45"/>
      <c r="U10" s="54">
        <v>84.38</v>
      </c>
      <c r="V10" s="54">
        <v>84.66</v>
      </c>
      <c r="W10" s="54">
        <v>83.78</v>
      </c>
      <c r="X10" s="54">
        <v>82.02</v>
      </c>
      <c r="Y10" s="54">
        <v>86.82</v>
      </c>
      <c r="Z10" s="45"/>
      <c r="AA10" s="54">
        <v>94.93</v>
      </c>
      <c r="AB10" s="54">
        <v>92.27</v>
      </c>
      <c r="AC10" s="54">
        <v>89.09</v>
      </c>
      <c r="AD10" s="54">
        <v>82.97</v>
      </c>
      <c r="AE10" s="54">
        <v>81.58</v>
      </c>
      <c r="AF10" s="54">
        <v>76.73</v>
      </c>
      <c r="AG10" s="54">
        <v>80.61</v>
      </c>
      <c r="AH10" s="54">
        <v>83.49</v>
      </c>
      <c r="AI10" s="54">
        <v>80.66</v>
      </c>
      <c r="AJ10" s="54">
        <v>76.23</v>
      </c>
      <c r="AK10" s="45"/>
      <c r="AL10" s="54">
        <v>86.67</v>
      </c>
      <c r="AM10" s="54">
        <v>82.73</v>
      </c>
      <c r="AN10" s="54">
        <v>79.88</v>
      </c>
      <c r="AO10" s="54">
        <v>80.069999999999993</v>
      </c>
      <c r="AP10" s="54">
        <v>86.61</v>
      </c>
      <c r="AQ10" s="54">
        <v>88.62</v>
      </c>
      <c r="AR10" s="45"/>
      <c r="AS10" s="54">
        <v>72.989999999999995</v>
      </c>
      <c r="AT10" s="54">
        <v>99.04</v>
      </c>
      <c r="AU10" s="54">
        <v>80</v>
      </c>
      <c r="AV10" s="54">
        <v>84.75</v>
      </c>
      <c r="AW10" s="54">
        <v>83.95</v>
      </c>
      <c r="AX10" s="54">
        <v>89.61</v>
      </c>
      <c r="AY10" s="54">
        <v>93.45</v>
      </c>
      <c r="AZ10" s="54">
        <v>88.73</v>
      </c>
      <c r="BA10" s="54">
        <v>76.319999999999993</v>
      </c>
      <c r="BB10" s="54">
        <v>90.11</v>
      </c>
      <c r="BC10" s="54">
        <v>80.97</v>
      </c>
      <c r="BD10" s="54">
        <v>81.84</v>
      </c>
      <c r="BE10" s="54" t="s">
        <v>148</v>
      </c>
      <c r="BF10" s="54">
        <v>96.25</v>
      </c>
      <c r="BG10" s="45"/>
      <c r="BH10" s="54">
        <v>87.6</v>
      </c>
      <c r="BI10" s="54">
        <v>81.8</v>
      </c>
      <c r="BJ10" s="54">
        <v>71.7</v>
      </c>
      <c r="BK10" s="54">
        <v>66.19</v>
      </c>
      <c r="BL10" s="45"/>
      <c r="BM10" s="54">
        <v>84.85</v>
      </c>
      <c r="BN10" s="54">
        <v>75.930000000000007</v>
      </c>
      <c r="BO10" s="54">
        <v>67.13</v>
      </c>
      <c r="BP10" s="54">
        <v>89.76</v>
      </c>
      <c r="BQ10" s="54">
        <v>66.989999999999995</v>
      </c>
      <c r="BR10" s="45"/>
      <c r="BS10" s="54">
        <v>89.45</v>
      </c>
      <c r="BT10" s="54">
        <v>84.49</v>
      </c>
      <c r="BU10" s="54">
        <v>80.319999999999993</v>
      </c>
      <c r="BV10" s="54">
        <v>67.36</v>
      </c>
    </row>
    <row r="11" spans="1:74" ht="15" customHeight="1" x14ac:dyDescent="0.25">
      <c r="A11" s="188" t="s">
        <v>152</v>
      </c>
      <c r="B11" s="189"/>
      <c r="C11" s="190"/>
      <c r="D11" s="54">
        <v>86.19</v>
      </c>
      <c r="E11" s="54">
        <v>81.86</v>
      </c>
      <c r="F11" s="54">
        <v>92.63</v>
      </c>
      <c r="G11" s="54">
        <v>83.31</v>
      </c>
      <c r="H11" s="55">
        <v>4.3299999999999983</v>
      </c>
      <c r="I11" s="55">
        <v>-6.4399999999999977</v>
      </c>
      <c r="J11" s="55">
        <v>2.8799999999999955</v>
      </c>
      <c r="K11" s="45"/>
      <c r="L11" s="54">
        <v>90.58</v>
      </c>
      <c r="M11" s="54">
        <v>85.89</v>
      </c>
      <c r="N11" s="54">
        <v>85.08</v>
      </c>
      <c r="O11" s="54">
        <v>88.42</v>
      </c>
      <c r="P11" s="54">
        <v>90.24</v>
      </c>
      <c r="Q11" s="45"/>
      <c r="R11" s="54">
        <v>86.39</v>
      </c>
      <c r="S11" s="54">
        <v>86.83</v>
      </c>
      <c r="T11" s="45"/>
      <c r="U11" s="54">
        <v>78.33</v>
      </c>
      <c r="V11" s="54">
        <v>85.6</v>
      </c>
      <c r="W11" s="54">
        <v>86.75</v>
      </c>
      <c r="X11" s="54">
        <v>85.69</v>
      </c>
      <c r="Y11" s="54">
        <v>89.35</v>
      </c>
      <c r="Z11" s="45"/>
      <c r="AA11" s="54">
        <v>94.86</v>
      </c>
      <c r="AB11" s="54">
        <v>92.88</v>
      </c>
      <c r="AC11" s="54">
        <v>90.23</v>
      </c>
      <c r="AD11" s="54">
        <v>86.42</v>
      </c>
      <c r="AE11" s="54">
        <v>83.34</v>
      </c>
      <c r="AF11" s="54">
        <v>79.400000000000006</v>
      </c>
      <c r="AG11" s="54">
        <v>84.13</v>
      </c>
      <c r="AH11" s="54">
        <v>86.8</v>
      </c>
      <c r="AI11" s="54">
        <v>89.26</v>
      </c>
      <c r="AJ11" s="54">
        <v>80.28</v>
      </c>
      <c r="AK11" s="45"/>
      <c r="AL11" s="54">
        <v>91.77</v>
      </c>
      <c r="AM11" s="54">
        <v>87.67</v>
      </c>
      <c r="AN11" s="54">
        <v>83.75</v>
      </c>
      <c r="AO11" s="54">
        <v>81.36</v>
      </c>
      <c r="AP11" s="54">
        <v>88.32</v>
      </c>
      <c r="AQ11" s="54">
        <v>88.26</v>
      </c>
      <c r="AR11" s="45"/>
      <c r="AS11" s="54">
        <v>60.71</v>
      </c>
      <c r="AT11" s="54">
        <v>98.57</v>
      </c>
      <c r="AU11" s="54">
        <v>79.77</v>
      </c>
      <c r="AV11" s="54">
        <v>87.66</v>
      </c>
      <c r="AW11" s="54">
        <v>86.3</v>
      </c>
      <c r="AX11" s="54">
        <v>90.11</v>
      </c>
      <c r="AY11" s="54">
        <v>93.76</v>
      </c>
      <c r="AZ11" s="54">
        <v>92.57</v>
      </c>
      <c r="BA11" s="54">
        <v>79.37</v>
      </c>
      <c r="BB11" s="54">
        <v>91.39</v>
      </c>
      <c r="BC11" s="54">
        <v>85.14</v>
      </c>
      <c r="BD11" s="54">
        <v>86.85</v>
      </c>
      <c r="BE11" s="54" t="s">
        <v>148</v>
      </c>
      <c r="BF11" s="54">
        <v>91</v>
      </c>
      <c r="BG11" s="45"/>
      <c r="BH11" s="54">
        <v>90.98</v>
      </c>
      <c r="BI11" s="54">
        <v>84.03</v>
      </c>
      <c r="BJ11" s="54">
        <v>75.88</v>
      </c>
      <c r="BK11" s="54">
        <v>65.92</v>
      </c>
      <c r="BL11" s="45"/>
      <c r="BM11" s="54">
        <v>88.44</v>
      </c>
      <c r="BN11" s="54">
        <v>81.05</v>
      </c>
      <c r="BO11" s="54">
        <v>68.94</v>
      </c>
      <c r="BP11" s="54">
        <v>91.63</v>
      </c>
      <c r="BQ11" s="54">
        <v>70.739999999999995</v>
      </c>
      <c r="BR11" s="45"/>
      <c r="BS11" s="54">
        <v>93.27</v>
      </c>
      <c r="BT11" s="54">
        <v>88.22</v>
      </c>
      <c r="BU11" s="54">
        <v>84</v>
      </c>
      <c r="BV11" s="54">
        <v>70.72</v>
      </c>
    </row>
    <row r="12" spans="1:74" ht="13.5" customHeight="1" x14ac:dyDescent="0.25">
      <c r="A12" s="56" t="s">
        <v>168</v>
      </c>
      <c r="B12" s="38">
        <v>58</v>
      </c>
      <c r="C12" s="39" t="s">
        <v>153</v>
      </c>
      <c r="D12" s="57">
        <v>84.08</v>
      </c>
      <c r="E12" s="57">
        <v>79.319999999999993</v>
      </c>
      <c r="F12" s="57">
        <v>91.62</v>
      </c>
      <c r="G12" s="57">
        <v>82.28</v>
      </c>
      <c r="H12" s="58">
        <v>4.7600000000000051</v>
      </c>
      <c r="I12" s="58">
        <v>-7.5400000000000063</v>
      </c>
      <c r="J12" s="58">
        <v>1.7999999999999972</v>
      </c>
      <c r="K12" s="45"/>
      <c r="L12" s="57">
        <v>87.33</v>
      </c>
      <c r="M12" s="57">
        <v>82.4</v>
      </c>
      <c r="N12" s="57">
        <v>83.7</v>
      </c>
      <c r="O12" s="57">
        <v>87.89</v>
      </c>
      <c r="P12" s="57">
        <v>93.55</v>
      </c>
      <c r="Q12" s="45"/>
      <c r="R12" s="57">
        <v>85.32</v>
      </c>
      <c r="S12" s="57">
        <v>83.78</v>
      </c>
      <c r="T12" s="45"/>
      <c r="U12" s="57">
        <v>75</v>
      </c>
      <c r="V12" s="57">
        <v>86.11</v>
      </c>
      <c r="W12" s="57">
        <v>84.66</v>
      </c>
      <c r="X12" s="57">
        <v>82.38</v>
      </c>
      <c r="Y12" s="57">
        <v>89.58</v>
      </c>
      <c r="Z12" s="45"/>
      <c r="AA12" s="57">
        <v>98.65</v>
      </c>
      <c r="AB12" s="57">
        <v>94.24</v>
      </c>
      <c r="AC12" s="57">
        <v>89.27</v>
      </c>
      <c r="AD12" s="57">
        <v>85.34</v>
      </c>
      <c r="AE12" s="57">
        <v>81.61</v>
      </c>
      <c r="AF12" s="57">
        <v>80</v>
      </c>
      <c r="AG12" s="57">
        <v>81.459999999999994</v>
      </c>
      <c r="AH12" s="57">
        <v>82.78</v>
      </c>
      <c r="AI12" s="57">
        <v>82.83</v>
      </c>
      <c r="AJ12" s="57">
        <v>76.19</v>
      </c>
      <c r="AK12" s="45"/>
      <c r="AL12" s="57">
        <v>90.59</v>
      </c>
      <c r="AM12" s="57">
        <v>84.53</v>
      </c>
      <c r="AN12" s="57">
        <v>80.75</v>
      </c>
      <c r="AO12" s="57">
        <v>79.08</v>
      </c>
      <c r="AP12" s="57">
        <v>86.71</v>
      </c>
      <c r="AQ12" s="57">
        <v>89.28</v>
      </c>
      <c r="AR12" s="45"/>
      <c r="AS12" s="57">
        <v>75</v>
      </c>
      <c r="AT12" s="57">
        <v>100</v>
      </c>
      <c r="AU12" s="57">
        <v>75.61</v>
      </c>
      <c r="AV12" s="57">
        <v>86.36</v>
      </c>
      <c r="AW12" s="57">
        <v>83.41</v>
      </c>
      <c r="AX12" s="57">
        <v>91.58</v>
      </c>
      <c r="AY12" s="57">
        <v>100</v>
      </c>
      <c r="AZ12" s="57">
        <v>91.12</v>
      </c>
      <c r="BA12" s="57">
        <v>81.37</v>
      </c>
      <c r="BB12" s="57">
        <v>91.53</v>
      </c>
      <c r="BC12" s="57">
        <v>83.23</v>
      </c>
      <c r="BD12" s="57">
        <v>87.67</v>
      </c>
      <c r="BE12" s="57" t="s">
        <v>148</v>
      </c>
      <c r="BF12" s="57">
        <v>100</v>
      </c>
      <c r="BG12" s="45"/>
      <c r="BH12" s="57">
        <v>89.51</v>
      </c>
      <c r="BI12" s="57">
        <v>82.26</v>
      </c>
      <c r="BJ12" s="57">
        <v>70.599999999999994</v>
      </c>
      <c r="BK12" s="57">
        <v>68.099999999999994</v>
      </c>
      <c r="BL12" s="45"/>
      <c r="BM12" s="57">
        <v>87.3</v>
      </c>
      <c r="BN12" s="57">
        <v>77.290000000000006</v>
      </c>
      <c r="BO12" s="57">
        <v>65.349999999999994</v>
      </c>
      <c r="BP12" s="57">
        <v>91.62</v>
      </c>
      <c r="BQ12" s="57">
        <v>61.47</v>
      </c>
      <c r="BR12" s="45"/>
      <c r="BS12" s="57">
        <v>93.54</v>
      </c>
      <c r="BT12" s="57">
        <v>87.99</v>
      </c>
      <c r="BU12" s="57">
        <v>81.739999999999995</v>
      </c>
      <c r="BV12" s="57">
        <v>63.29</v>
      </c>
    </row>
    <row r="13" spans="1:74" ht="15" customHeight="1" x14ac:dyDescent="0.25">
      <c r="A13" s="173" t="s">
        <v>154</v>
      </c>
      <c r="B13" s="174"/>
      <c r="C13" s="175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45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45"/>
      <c r="R13" s="26">
        <v>83.48</v>
      </c>
      <c r="S13" s="26">
        <v>83.12</v>
      </c>
      <c r="T13" s="45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45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45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45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148</v>
      </c>
      <c r="BF13" s="26">
        <v>93.1</v>
      </c>
      <c r="BG13" s="45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45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45"/>
      <c r="BS13" s="26">
        <v>90.42</v>
      </c>
      <c r="BT13" s="26">
        <v>84.77</v>
      </c>
      <c r="BU13" s="26">
        <v>79.48</v>
      </c>
      <c r="BV13" s="26">
        <v>64.67</v>
      </c>
    </row>
    <row r="14" spans="1:74" ht="15" customHeight="1" x14ac:dyDescent="0.25">
      <c r="A14" s="50"/>
      <c r="B14" s="50"/>
      <c r="C14" s="51" t="s">
        <v>169</v>
      </c>
      <c r="D14" s="59">
        <v>78.88</v>
      </c>
      <c r="E14" s="59">
        <v>73.930000000000007</v>
      </c>
      <c r="F14" s="59"/>
      <c r="G14" s="59"/>
      <c r="H14" s="59"/>
      <c r="I14" s="59"/>
      <c r="J14" s="59"/>
      <c r="K14" s="60"/>
      <c r="L14" s="59">
        <v>82.41</v>
      </c>
      <c r="M14" s="59">
        <v>77.44</v>
      </c>
      <c r="N14" s="59">
        <v>78.069999999999993</v>
      </c>
      <c r="O14" s="59">
        <v>82.57</v>
      </c>
      <c r="P14" s="59">
        <v>86.36</v>
      </c>
      <c r="Q14" s="60"/>
      <c r="R14" s="59">
        <v>79.62</v>
      </c>
      <c r="S14" s="59">
        <v>78.790000000000006</v>
      </c>
      <c r="T14" s="60"/>
      <c r="U14" s="59">
        <v>68.069999999999993</v>
      </c>
      <c r="V14" s="59">
        <v>79.69</v>
      </c>
      <c r="W14" s="59">
        <v>79.13</v>
      </c>
      <c r="X14" s="59">
        <v>78.17</v>
      </c>
      <c r="Y14" s="59">
        <v>82.9</v>
      </c>
      <c r="Z14" s="60"/>
      <c r="AA14" s="59">
        <v>91.91</v>
      </c>
      <c r="AB14" s="59">
        <v>88.05</v>
      </c>
      <c r="AC14" s="59">
        <v>86.33</v>
      </c>
      <c r="AD14" s="59">
        <v>77.510000000000005</v>
      </c>
      <c r="AE14" s="59">
        <v>73.2</v>
      </c>
      <c r="AF14" s="59">
        <v>71.02</v>
      </c>
      <c r="AG14" s="59">
        <v>74.760000000000005</v>
      </c>
      <c r="AH14" s="59">
        <v>80.2</v>
      </c>
      <c r="AI14" s="59">
        <v>80.39</v>
      </c>
      <c r="AJ14" s="59" t="s">
        <v>148</v>
      </c>
      <c r="AK14" s="60"/>
      <c r="AL14" s="59">
        <v>83.99</v>
      </c>
      <c r="AM14" s="59">
        <v>78.19</v>
      </c>
      <c r="AN14" s="59">
        <v>76.42</v>
      </c>
      <c r="AO14" s="59">
        <v>76.36</v>
      </c>
      <c r="AP14" s="59">
        <v>80.75</v>
      </c>
      <c r="AQ14" s="59">
        <v>84.02</v>
      </c>
      <c r="AR14" s="60"/>
      <c r="AS14" s="59">
        <v>71.709999999999994</v>
      </c>
      <c r="AT14" s="59">
        <v>94.66</v>
      </c>
      <c r="AU14" s="59">
        <v>78.58</v>
      </c>
      <c r="AV14" s="59">
        <v>74.38</v>
      </c>
      <c r="AW14" s="59">
        <v>80.41</v>
      </c>
      <c r="AX14" s="59">
        <v>84.16</v>
      </c>
      <c r="AY14" s="59" t="s">
        <v>148</v>
      </c>
      <c r="AZ14" s="59">
        <v>87.49</v>
      </c>
      <c r="BA14" s="59">
        <v>80.099999999999994</v>
      </c>
      <c r="BB14" s="59">
        <v>77.22</v>
      </c>
      <c r="BC14" s="59">
        <v>75.45</v>
      </c>
      <c r="BD14" s="59">
        <v>82.2</v>
      </c>
      <c r="BE14" s="59" t="s">
        <v>148</v>
      </c>
      <c r="BF14" s="59">
        <v>91.82</v>
      </c>
      <c r="BG14" s="60"/>
      <c r="BH14" s="59">
        <v>84.86</v>
      </c>
      <c r="BI14" s="59">
        <v>74.510000000000005</v>
      </c>
      <c r="BJ14" s="59">
        <v>66.599999999999994</v>
      </c>
      <c r="BK14" s="59">
        <v>55.18</v>
      </c>
      <c r="BL14" s="60"/>
      <c r="BM14" s="59">
        <v>80.739999999999995</v>
      </c>
      <c r="BN14" s="59">
        <v>74.11</v>
      </c>
      <c r="BO14" s="59">
        <v>60.51</v>
      </c>
      <c r="BP14" s="59">
        <v>85.59</v>
      </c>
      <c r="BQ14" s="59">
        <v>59.82</v>
      </c>
      <c r="BR14" s="60"/>
      <c r="BS14" s="59" t="s">
        <v>148</v>
      </c>
      <c r="BT14" s="59" t="s">
        <v>148</v>
      </c>
      <c r="BU14" s="59" t="s">
        <v>148</v>
      </c>
      <c r="BV14" s="59" t="s">
        <v>148</v>
      </c>
    </row>
    <row r="15" spans="1:74" ht="4.5" customHeight="1" x14ac:dyDescent="0.25"/>
    <row r="16" spans="1:74" ht="15" customHeight="1" x14ac:dyDescent="0.25">
      <c r="A16" s="34"/>
      <c r="B16" s="34"/>
      <c r="C16" s="35" t="s">
        <v>170</v>
      </c>
      <c r="D16" s="36"/>
      <c r="E16" s="36"/>
      <c r="F16" s="36"/>
      <c r="G16" s="36"/>
      <c r="H16" s="36"/>
      <c r="I16" s="36"/>
      <c r="J16" s="36"/>
      <c r="K16" s="45"/>
      <c r="L16" s="176">
        <f>+SUM(L3:P3)</f>
        <v>4698</v>
      </c>
      <c r="M16" s="177"/>
      <c r="N16" s="177"/>
      <c r="O16" s="177"/>
      <c r="P16" s="178"/>
      <c r="Q16" s="45"/>
      <c r="R16" s="176">
        <f>+SUM(R3:S3)</f>
        <v>4667</v>
      </c>
      <c r="S16" s="178"/>
      <c r="T16" s="45"/>
      <c r="U16" s="176">
        <f>+SUM(U3:Y3)</f>
        <v>4690</v>
      </c>
      <c r="V16" s="177"/>
      <c r="W16" s="177"/>
      <c r="X16" s="177"/>
      <c r="Y16" s="178"/>
      <c r="Z16" s="45"/>
      <c r="AA16" s="176">
        <f>+SUM(AA3:AJ3)</f>
        <v>4649</v>
      </c>
      <c r="AB16" s="177"/>
      <c r="AC16" s="177"/>
      <c r="AD16" s="177"/>
      <c r="AE16" s="177"/>
      <c r="AF16" s="177"/>
      <c r="AG16" s="177"/>
      <c r="AH16" s="177"/>
      <c r="AI16" s="177"/>
      <c r="AJ16" s="178"/>
      <c r="AK16" s="45"/>
      <c r="AL16" s="176">
        <f>+SUM(AL3:AQ3)</f>
        <v>4670</v>
      </c>
      <c r="AM16" s="177"/>
      <c r="AN16" s="177"/>
      <c r="AO16" s="177"/>
      <c r="AP16" s="177"/>
      <c r="AQ16" s="178"/>
      <c r="AR16" s="45"/>
      <c r="AS16" s="176">
        <f>+SUM(AS3:BF3)</f>
        <v>4886</v>
      </c>
      <c r="AT16" s="177"/>
      <c r="AU16" s="177"/>
      <c r="AV16" s="177"/>
      <c r="AW16" s="177"/>
      <c r="AX16" s="177"/>
      <c r="AY16" s="177"/>
      <c r="AZ16" s="177"/>
      <c r="BA16" s="177"/>
      <c r="BB16" s="177"/>
      <c r="BC16" s="177"/>
      <c r="BD16" s="177"/>
      <c r="BE16" s="177"/>
      <c r="BF16" s="178"/>
      <c r="BG16" s="45"/>
      <c r="BH16" s="176">
        <f>+SUM(BH3:BK3)</f>
        <v>4149</v>
      </c>
      <c r="BI16" s="177"/>
      <c r="BJ16" s="177"/>
      <c r="BK16" s="178"/>
      <c r="BL16" s="45"/>
      <c r="BM16" s="176">
        <f>+SUM(BM3:BQ3)</f>
        <v>3932</v>
      </c>
      <c r="BN16" s="177"/>
      <c r="BO16" s="177"/>
      <c r="BP16" s="177"/>
      <c r="BQ16" s="178"/>
      <c r="BR16" s="45"/>
      <c r="BS16" s="176">
        <f>+SUM(BS3:BV3)</f>
        <v>1839</v>
      </c>
      <c r="BT16" s="177"/>
      <c r="BU16" s="177"/>
      <c r="BV16" s="178"/>
    </row>
    <row r="17" spans="1:74" ht="15" customHeight="1" x14ac:dyDescent="0.25">
      <c r="A17" s="47"/>
      <c r="B17" s="47"/>
      <c r="C17" s="48" t="s">
        <v>171</v>
      </c>
      <c r="D17" s="147"/>
      <c r="E17" s="147"/>
      <c r="F17" s="147"/>
      <c r="G17" s="147"/>
      <c r="H17" s="147"/>
      <c r="I17" s="147"/>
      <c r="J17" s="147"/>
      <c r="K17" s="45"/>
      <c r="L17" s="162">
        <f>+L3/$L$16*100</f>
        <v>6.215410813111963</v>
      </c>
      <c r="M17" s="162">
        <f>+M3/$L$16*100</f>
        <v>42.486164325244786</v>
      </c>
      <c r="N17" s="162">
        <f>+N3/$L$16*100</f>
        <v>30.353341847594724</v>
      </c>
      <c r="O17" s="162">
        <f>+O3/$L$16*100</f>
        <v>15.666240953597274</v>
      </c>
      <c r="P17" s="162">
        <f>+P3/$L$16*100</f>
        <v>5.2788420604512565</v>
      </c>
      <c r="Q17" s="45"/>
      <c r="R17" s="162">
        <f>+R3/$L$16*100</f>
        <v>52.703277990634312</v>
      </c>
      <c r="S17" s="162">
        <f>+S3/$L$16*100</f>
        <v>46.636866751809279</v>
      </c>
      <c r="T17" s="45"/>
      <c r="U17" s="162">
        <f>+U3/$L$16*100</f>
        <v>0.2554278416347382</v>
      </c>
      <c r="V17" s="162">
        <f>+V3/$L$16*100</f>
        <v>7.6628352490421454</v>
      </c>
      <c r="W17" s="162">
        <f>+W3/$L$16*100</f>
        <v>48.44614729672201</v>
      </c>
      <c r="X17" s="162">
        <f>+X3/$L$16*100</f>
        <v>32.82247765006386</v>
      </c>
      <c r="Y17" s="162">
        <f>+Y3/$L$16*100</f>
        <v>10.642826734780758</v>
      </c>
      <c r="Z17" s="45"/>
      <c r="AA17" s="162">
        <f>+AA3/$L$16*100</f>
        <v>1.5751383567475523</v>
      </c>
      <c r="AB17" s="162">
        <f>+AB3/$L$16*100</f>
        <v>2.9587058322690507</v>
      </c>
      <c r="AC17" s="162">
        <f>+AC3/$L$16*100</f>
        <v>20.838654746700726</v>
      </c>
      <c r="AD17" s="162">
        <f>+AD3/$L$16*100</f>
        <v>16.900808854831844</v>
      </c>
      <c r="AE17" s="162">
        <f>+AE3/$L$16*100</f>
        <v>8.2162622392507441</v>
      </c>
      <c r="AF17" s="162">
        <f>+AF3/$L$16*100</f>
        <v>9.0676883780332069</v>
      </c>
      <c r="AG17" s="162">
        <f>+AG3/$L$16*100</f>
        <v>11.409110259684972</v>
      </c>
      <c r="AH17" s="162">
        <f>+AH3/$L$16*100</f>
        <v>18.667518092805448</v>
      </c>
      <c r="AI17" s="162">
        <f>+AI3/$L$16*100</f>
        <v>8.4291187739463602</v>
      </c>
      <c r="AJ17" s="162">
        <f>+AJ3/$L$16*100</f>
        <v>0.89399744572158357</v>
      </c>
      <c r="AK17" s="45"/>
      <c r="AL17" s="162">
        <f>+AL3/$L$16*100</f>
        <v>9.0464027245636451</v>
      </c>
      <c r="AM17" s="162">
        <f>+AM3/$L$16*100</f>
        <v>23.946360153256705</v>
      </c>
      <c r="AN17" s="162">
        <f>+AN3/$L$16*100</f>
        <v>25.500212856534691</v>
      </c>
      <c r="AO17" s="162">
        <f>+AO3/$L$16*100</f>
        <v>8.7696892294593454</v>
      </c>
      <c r="AP17" s="162">
        <f>+AP3/$L$16*100</f>
        <v>16.836951894423159</v>
      </c>
      <c r="AQ17" s="162">
        <f>+AQ3/$L$16*100</f>
        <v>15.304384844614729</v>
      </c>
      <c r="AR17" s="45"/>
      <c r="AS17" s="162">
        <f>+AS3/$L$16*100</f>
        <v>0.17028522775649213</v>
      </c>
      <c r="AT17" s="162">
        <f>+AT3/$L$16*100</f>
        <v>0.29799914857386123</v>
      </c>
      <c r="AU17" s="162">
        <f>+AU3/$L$16*100</f>
        <v>0.87271179225202211</v>
      </c>
      <c r="AV17" s="162">
        <f>+AV3/$L$16*100</f>
        <v>4.235845040442741</v>
      </c>
      <c r="AW17" s="162">
        <f>+AW3/$L$16*100</f>
        <v>55.598126862494681</v>
      </c>
      <c r="AX17" s="162">
        <f>+AX3/$L$16*100</f>
        <v>2.0221370796083442</v>
      </c>
      <c r="AY17" s="162">
        <f>+AY3/$L$16*100</f>
        <v>0.44699872286079179</v>
      </c>
      <c r="AZ17" s="162">
        <f>+AZ3/$L$16*100</f>
        <v>3.6185610898254574</v>
      </c>
      <c r="BA17" s="162">
        <f>+BA3/$L$16*100</f>
        <v>2.1711366538952745</v>
      </c>
      <c r="BB17" s="162">
        <f>+BB3/$L$16*100</f>
        <v>1.277139208173691</v>
      </c>
      <c r="BC17" s="162">
        <f>+BC3/$L$16*100</f>
        <v>31.460195828011923</v>
      </c>
      <c r="BD17" s="162">
        <f>+BD3/$L$16*100</f>
        <v>1.5538527032779907</v>
      </c>
      <c r="BE17" s="162">
        <f>+BE3/$L$16*100</f>
        <v>6.3856960408684549E-2</v>
      </c>
      <c r="BF17" s="162">
        <f>+BF3/$L$16*100</f>
        <v>0.21285653469561516</v>
      </c>
      <c r="BG17" s="45"/>
      <c r="BH17" s="162">
        <f>+BH3/$L$16*100</f>
        <v>52.022137079608342</v>
      </c>
      <c r="BI17" s="162">
        <f>+BI3/$L$16*100</f>
        <v>23.15879097488293</v>
      </c>
      <c r="BJ17" s="162">
        <f>+BJ3/$L$16*100</f>
        <v>10.664112388250318</v>
      </c>
      <c r="BK17" s="162">
        <f>+BK3/$L$16*100</f>
        <v>2.4691358024691357</v>
      </c>
      <c r="BL17" s="45"/>
      <c r="BM17" s="162">
        <f>+BM3/$L$16*100</f>
        <v>14.47424435930183</v>
      </c>
      <c r="BN17" s="162">
        <f>+BN3/$L$16*100</f>
        <v>20.008514261387823</v>
      </c>
      <c r="BO17" s="162">
        <f>+BO3/$L$16*100</f>
        <v>2.1498510004257132</v>
      </c>
      <c r="BP17" s="162">
        <f>+BP3/$L$16*100</f>
        <v>42.422307364836101</v>
      </c>
      <c r="BQ17" s="162">
        <f>+BQ3/$L$16*100</f>
        <v>4.6402724563644107</v>
      </c>
      <c r="BR17" s="45"/>
      <c r="BS17" s="162">
        <f>+BS3/$L$16*100</f>
        <v>16.794380587484035</v>
      </c>
      <c r="BT17" s="162">
        <f>+BT3/$L$16*100</f>
        <v>6.0238399318859086</v>
      </c>
      <c r="BU17" s="162">
        <f>+BU3/$L$16*100</f>
        <v>9.5785440613026829</v>
      </c>
      <c r="BV17" s="162">
        <f>+BV3/$L$16*100</f>
        <v>6.7475521498510007</v>
      </c>
    </row>
    <row r="18" spans="1:74" ht="15" customHeight="1" x14ac:dyDescent="0.25">
      <c r="A18" s="47"/>
      <c r="B18" s="47"/>
      <c r="C18" s="48" t="s">
        <v>182</v>
      </c>
      <c r="D18" s="49"/>
      <c r="E18" s="49"/>
      <c r="F18" s="49"/>
      <c r="G18" s="49"/>
      <c r="H18" s="49"/>
      <c r="I18" s="49"/>
      <c r="J18" s="49"/>
      <c r="K18" s="45"/>
      <c r="L18" s="49"/>
      <c r="M18" s="49"/>
      <c r="N18" s="49"/>
      <c r="O18" s="49"/>
      <c r="P18" s="49"/>
      <c r="Q18" s="45"/>
      <c r="R18" s="49"/>
      <c r="S18" s="49"/>
      <c r="T18" s="45"/>
      <c r="U18" s="49"/>
      <c r="V18" s="49"/>
      <c r="W18" s="49"/>
      <c r="X18" s="49"/>
      <c r="Y18" s="49"/>
      <c r="Z18" s="45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5"/>
      <c r="AL18" s="49"/>
      <c r="AM18" s="49"/>
      <c r="AN18" s="49"/>
      <c r="AO18" s="49"/>
      <c r="AP18" s="49"/>
      <c r="AQ18" s="49"/>
      <c r="AR18" s="45"/>
      <c r="AS18" s="140">
        <f>+AS3/AS4</f>
        <v>0.88888888888888884</v>
      </c>
      <c r="AT18" s="140">
        <f t="shared" ref="AT18:BF18" si="0">+AT3/AT4</f>
        <v>0.63636363636363635</v>
      </c>
      <c r="AU18" s="140">
        <f t="shared" si="0"/>
        <v>0.95348837209302328</v>
      </c>
      <c r="AV18" s="140">
        <f t="shared" si="0"/>
        <v>0.908675799086758</v>
      </c>
      <c r="AW18" s="140">
        <f t="shared" si="0"/>
        <v>0.93620071684587813</v>
      </c>
      <c r="AX18" s="140">
        <f t="shared" si="0"/>
        <v>0.97938144329896903</v>
      </c>
      <c r="AY18" s="140">
        <f t="shared" si="0"/>
        <v>1</v>
      </c>
      <c r="AZ18" s="140">
        <f t="shared" si="0"/>
        <v>0.94972067039106145</v>
      </c>
      <c r="BA18" s="140">
        <f t="shared" si="0"/>
        <v>0.93577981651376152</v>
      </c>
      <c r="BB18" s="140">
        <f t="shared" si="0"/>
        <v>0.967741935483871</v>
      </c>
      <c r="BC18" s="140">
        <f t="shared" si="0"/>
        <v>0.93131695022054195</v>
      </c>
      <c r="BD18" s="140">
        <f t="shared" si="0"/>
        <v>0.94805194805194803</v>
      </c>
      <c r="BE18" s="140">
        <f t="shared" si="0"/>
        <v>0.75</v>
      </c>
      <c r="BF18" s="140">
        <f t="shared" si="0"/>
        <v>0.83333333333333337</v>
      </c>
      <c r="BG18" s="45"/>
      <c r="BH18" s="49"/>
      <c r="BI18" s="49"/>
      <c r="BJ18" s="49"/>
      <c r="BK18" s="49"/>
      <c r="BL18" s="45"/>
      <c r="BM18" s="49"/>
      <c r="BN18" s="49"/>
      <c r="BO18" s="49"/>
      <c r="BP18" s="49"/>
      <c r="BQ18" s="49"/>
      <c r="BR18" s="45"/>
      <c r="BS18" s="49"/>
      <c r="BT18" s="49"/>
      <c r="BU18" s="49"/>
      <c r="BV18" s="49"/>
    </row>
    <row r="19" spans="1:74" ht="15" customHeight="1" x14ac:dyDescent="0.25">
      <c r="A19" s="50"/>
      <c r="B19" s="50"/>
      <c r="C19" s="51" t="s">
        <v>183</v>
      </c>
      <c r="D19" s="52"/>
      <c r="E19" s="52"/>
      <c r="F19" s="52"/>
      <c r="G19" s="52"/>
      <c r="H19" s="52"/>
      <c r="I19" s="52"/>
      <c r="J19" s="52"/>
      <c r="K19" s="45"/>
      <c r="L19" s="52"/>
      <c r="M19" s="52"/>
      <c r="N19" s="52"/>
      <c r="O19" s="52"/>
      <c r="P19" s="52"/>
      <c r="Q19" s="45"/>
      <c r="R19" s="52"/>
      <c r="S19" s="52"/>
      <c r="T19" s="45"/>
      <c r="U19" s="52"/>
      <c r="V19" s="52"/>
      <c r="W19" s="52"/>
      <c r="X19" s="52"/>
      <c r="Y19" s="52"/>
      <c r="Z19" s="45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45"/>
      <c r="AL19" s="52"/>
      <c r="AM19" s="52"/>
      <c r="AN19" s="52"/>
      <c r="AO19" s="52"/>
      <c r="AP19" s="52"/>
      <c r="AQ19" s="52"/>
      <c r="AR19" s="45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45"/>
      <c r="BH19" s="52"/>
      <c r="BI19" s="52"/>
      <c r="BJ19" s="52"/>
      <c r="BK19" s="52"/>
      <c r="BL19" s="45"/>
      <c r="BM19" s="170">
        <f>+SUM(BM5:BQ5)</f>
        <v>4577</v>
      </c>
      <c r="BN19" s="171"/>
      <c r="BO19" s="171"/>
      <c r="BP19" s="171"/>
      <c r="BQ19" s="172"/>
      <c r="BR19" s="45"/>
      <c r="BS19" s="52"/>
      <c r="BT19" s="52"/>
      <c r="BU19" s="52"/>
      <c r="BV19" s="52"/>
    </row>
    <row r="20" spans="1:74" ht="15" customHeight="1" x14ac:dyDescent="0.25">
      <c r="A20" s="50"/>
      <c r="B20" s="50"/>
      <c r="C20" s="51" t="s">
        <v>184</v>
      </c>
      <c r="D20" s="52"/>
      <c r="E20" s="52"/>
      <c r="F20" s="52"/>
      <c r="G20" s="52"/>
      <c r="H20" s="52"/>
      <c r="I20" s="52"/>
      <c r="J20" s="52"/>
      <c r="K20" s="45"/>
      <c r="L20" s="52"/>
      <c r="M20" s="52"/>
      <c r="N20" s="52"/>
      <c r="O20" s="52"/>
      <c r="P20" s="52"/>
      <c r="Q20" s="45"/>
      <c r="R20" s="52"/>
      <c r="S20" s="52"/>
      <c r="T20" s="45"/>
      <c r="U20" s="52"/>
      <c r="V20" s="52"/>
      <c r="W20" s="52"/>
      <c r="X20" s="52"/>
      <c r="Y20" s="52"/>
      <c r="Z20" s="45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45"/>
      <c r="AL20" s="52"/>
      <c r="AM20" s="52"/>
      <c r="AN20" s="52"/>
      <c r="AO20" s="52"/>
      <c r="AP20" s="52"/>
      <c r="AQ20" s="52"/>
      <c r="AR20" s="45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45"/>
      <c r="BH20" s="52"/>
      <c r="BI20" s="52"/>
      <c r="BJ20" s="52"/>
      <c r="BK20" s="52"/>
      <c r="BL20" s="45"/>
      <c r="BM20" s="165">
        <f>+BM5/$BM$19*100</f>
        <v>16.692156434345641</v>
      </c>
      <c r="BN20" s="165">
        <f>+BN5/$BM$19*100</f>
        <v>26.982739785885951</v>
      </c>
      <c r="BO20" s="165">
        <f>+BO5/$BM$19*100</f>
        <v>2.8839851431068384</v>
      </c>
      <c r="BP20" s="165">
        <f>+BP5/$BM$19*100</f>
        <v>46.952152064671182</v>
      </c>
      <c r="BQ20" s="165">
        <f>+BQ5/$BM$19*100</f>
        <v>6.4889665719903871</v>
      </c>
      <c r="BR20" s="45"/>
      <c r="BS20" s="52"/>
      <c r="BT20" s="52"/>
      <c r="BU20" s="52"/>
      <c r="BV20" s="52"/>
    </row>
  </sheetData>
  <mergeCells count="28">
    <mergeCell ref="A10:C10"/>
    <mergeCell ref="A11:C11"/>
    <mergeCell ref="A2:C2"/>
    <mergeCell ref="A1:B1"/>
    <mergeCell ref="A7:C7"/>
    <mergeCell ref="A8:C8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BM19:BQ19"/>
    <mergeCell ref="A13:C13"/>
    <mergeCell ref="L16:P16"/>
    <mergeCell ref="R16:S16"/>
    <mergeCell ref="U16:Y16"/>
    <mergeCell ref="AA16:AJ16"/>
  </mergeCells>
  <conditionalFormatting sqref="L7:P11">
    <cfRule type="cellIs" dxfId="83" priority="43" stopIfTrue="1" operator="lessThanOrEqual">
      <formula>44.49</formula>
    </cfRule>
    <cfRule type="cellIs" dxfId="82" priority="44" stopIfTrue="1" operator="greaterThanOrEqual">
      <formula>85.5</formula>
    </cfRule>
    <cfRule type="cellIs" dxfId="81" priority="45" stopIfTrue="1" operator="between">
      <formula>44.5</formula>
      <formula>60.49</formula>
    </cfRule>
  </conditionalFormatting>
  <conditionalFormatting sqref="D7:D11">
    <cfRule type="cellIs" dxfId="80" priority="40" stopIfTrue="1" operator="lessThanOrEqual">
      <formula>44.49</formula>
    </cfRule>
    <cfRule type="cellIs" dxfId="79" priority="41" stopIfTrue="1" operator="greaterThanOrEqual">
      <formula>85.5</formula>
    </cfRule>
    <cfRule type="cellIs" dxfId="78" priority="42" stopIfTrue="1" operator="between">
      <formula>44.5</formula>
      <formula>60.49</formula>
    </cfRule>
  </conditionalFormatting>
  <conditionalFormatting sqref="E7:E11">
    <cfRule type="cellIs" dxfId="77" priority="37" stopIfTrue="1" operator="lessThanOrEqual">
      <formula>44.49</formula>
    </cfRule>
    <cfRule type="cellIs" dxfId="76" priority="38" stopIfTrue="1" operator="greaterThanOrEqual">
      <formula>85.5</formula>
    </cfRule>
    <cfRule type="cellIs" dxfId="75" priority="39" stopIfTrue="1" operator="between">
      <formula>44.5</formula>
      <formula>60.49</formula>
    </cfRule>
  </conditionalFormatting>
  <conditionalFormatting sqref="F7:F11">
    <cfRule type="cellIs" dxfId="74" priority="34" stopIfTrue="1" operator="lessThanOrEqual">
      <formula>44.49</formula>
    </cfRule>
    <cfRule type="cellIs" dxfId="73" priority="35" stopIfTrue="1" operator="greaterThanOrEqual">
      <formula>85.5</formula>
    </cfRule>
    <cfRule type="cellIs" dxfId="72" priority="36" stopIfTrue="1" operator="between">
      <formula>44.5</formula>
      <formula>60.49</formula>
    </cfRule>
  </conditionalFormatting>
  <conditionalFormatting sqref="G7:G11">
    <cfRule type="cellIs" dxfId="71" priority="31" stopIfTrue="1" operator="lessThanOrEqual">
      <formula>44.49</formula>
    </cfRule>
    <cfRule type="cellIs" dxfId="70" priority="32" stopIfTrue="1" operator="greaterThanOrEqual">
      <formula>85.5</formula>
    </cfRule>
    <cfRule type="cellIs" dxfId="69" priority="33" stopIfTrue="1" operator="between">
      <formula>44.5</formula>
      <formula>60.49</formula>
    </cfRule>
  </conditionalFormatting>
  <conditionalFormatting sqref="R7:R11">
    <cfRule type="cellIs" dxfId="68" priority="28" stopIfTrue="1" operator="lessThanOrEqual">
      <formula>44.49</formula>
    </cfRule>
    <cfRule type="cellIs" dxfId="67" priority="29" stopIfTrue="1" operator="greaterThanOrEqual">
      <formula>85.5</formula>
    </cfRule>
    <cfRule type="cellIs" dxfId="66" priority="30" stopIfTrue="1" operator="between">
      <formula>44.5</formula>
      <formula>60.49</formula>
    </cfRule>
  </conditionalFormatting>
  <conditionalFormatting sqref="S7:S11">
    <cfRule type="cellIs" dxfId="65" priority="25" stopIfTrue="1" operator="lessThanOrEqual">
      <formula>44.49</formula>
    </cfRule>
    <cfRule type="cellIs" dxfId="64" priority="26" stopIfTrue="1" operator="greaterThanOrEqual">
      <formula>85.5</formula>
    </cfRule>
    <cfRule type="cellIs" dxfId="63" priority="27" stopIfTrue="1" operator="between">
      <formula>44.5</formula>
      <formula>60.49</formula>
    </cfRule>
  </conditionalFormatting>
  <conditionalFormatting sqref="U7:U11">
    <cfRule type="cellIs" dxfId="62" priority="22" stopIfTrue="1" operator="lessThanOrEqual">
      <formula>44.49</formula>
    </cfRule>
    <cfRule type="cellIs" dxfId="61" priority="23" stopIfTrue="1" operator="greaterThanOrEqual">
      <formula>85.5</formula>
    </cfRule>
    <cfRule type="cellIs" dxfId="60" priority="24" stopIfTrue="1" operator="between">
      <formula>44.5</formula>
      <formula>60.49</formula>
    </cfRule>
  </conditionalFormatting>
  <conditionalFormatting sqref="V7:Y11">
    <cfRule type="cellIs" dxfId="59" priority="19" stopIfTrue="1" operator="lessThanOrEqual">
      <formula>44.49</formula>
    </cfRule>
    <cfRule type="cellIs" dxfId="58" priority="20" stopIfTrue="1" operator="greaterThanOrEqual">
      <formula>85.5</formula>
    </cfRule>
    <cfRule type="cellIs" dxfId="57" priority="21" stopIfTrue="1" operator="between">
      <formula>44.5</formula>
      <formula>60.49</formula>
    </cfRule>
  </conditionalFormatting>
  <conditionalFormatting sqref="AA7:AJ11">
    <cfRule type="cellIs" dxfId="56" priority="16" stopIfTrue="1" operator="lessThanOrEqual">
      <formula>44.49</formula>
    </cfRule>
    <cfRule type="cellIs" dxfId="55" priority="17" stopIfTrue="1" operator="greaterThanOrEqual">
      <formula>85.5</formula>
    </cfRule>
    <cfRule type="cellIs" dxfId="54" priority="18" stopIfTrue="1" operator="between">
      <formula>44.5</formula>
      <formula>60.49</formula>
    </cfRule>
  </conditionalFormatting>
  <conditionalFormatting sqref="AL7:AQ11">
    <cfRule type="cellIs" dxfId="53" priority="13" stopIfTrue="1" operator="lessThanOrEqual">
      <formula>44.49</formula>
    </cfRule>
    <cfRule type="cellIs" dxfId="52" priority="14" stopIfTrue="1" operator="greaterThanOrEqual">
      <formula>85.5</formula>
    </cfRule>
    <cfRule type="cellIs" dxfId="51" priority="15" stopIfTrue="1" operator="between">
      <formula>44.5</formula>
      <formula>60.49</formula>
    </cfRule>
  </conditionalFormatting>
  <conditionalFormatting sqref="AS7:BD11 BF7:BF11">
    <cfRule type="cellIs" dxfId="50" priority="10" stopIfTrue="1" operator="lessThanOrEqual">
      <formula>44.49</formula>
    </cfRule>
    <cfRule type="cellIs" dxfId="49" priority="11" stopIfTrue="1" operator="greaterThanOrEqual">
      <formula>85.5</formula>
    </cfRule>
    <cfRule type="cellIs" dxfId="48" priority="12" stopIfTrue="1" operator="between">
      <formula>44.5</formula>
      <formula>60.49</formula>
    </cfRule>
  </conditionalFormatting>
  <conditionalFormatting sqref="BH7:BK11">
    <cfRule type="cellIs" dxfId="47" priority="7" stopIfTrue="1" operator="lessThanOrEqual">
      <formula>44.49</formula>
    </cfRule>
    <cfRule type="cellIs" dxfId="46" priority="8" stopIfTrue="1" operator="greaterThanOrEqual">
      <formula>85.5</formula>
    </cfRule>
    <cfRule type="cellIs" dxfId="45" priority="9" stopIfTrue="1" operator="between">
      <formula>44.5</formula>
      <formula>60.49</formula>
    </cfRule>
  </conditionalFormatting>
  <conditionalFormatting sqref="BM7:BQ11">
    <cfRule type="cellIs" dxfId="44" priority="4" stopIfTrue="1" operator="lessThanOrEqual">
      <formula>44.49</formula>
    </cfRule>
    <cfRule type="cellIs" dxfId="43" priority="5" stopIfTrue="1" operator="greaterThanOrEqual">
      <formula>85.5</formula>
    </cfRule>
    <cfRule type="cellIs" dxfId="42" priority="6" stopIfTrue="1" operator="between">
      <formula>44.5</formula>
      <formula>60.49</formula>
    </cfRule>
  </conditionalFormatting>
  <conditionalFormatting sqref="BS7:BV11">
    <cfRule type="cellIs" dxfId="41" priority="1" stopIfTrue="1" operator="lessThanOrEqual">
      <formula>44.49</formula>
    </cfRule>
    <cfRule type="cellIs" dxfId="40" priority="2" stopIfTrue="1" operator="greaterThanOrEqual">
      <formula>85.5</formula>
    </cfRule>
    <cfRule type="cellIs" dxfId="3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B107"/>
  <sheetViews>
    <sheetView topLeftCell="C64" zoomScale="80" zoomScaleNormal="80" workbookViewId="0">
      <selection activeCell="L65" sqref="L65"/>
    </sheetView>
  </sheetViews>
  <sheetFormatPr baseColWidth="10" defaultRowHeight="15" x14ac:dyDescent="0.25"/>
  <cols>
    <col min="1" max="1" width="6.5703125" customWidth="1"/>
    <col min="2" max="2" width="28.7109375" bestFit="1" customWidth="1"/>
    <col min="3" max="7" width="8" customWidth="1"/>
    <col min="8" max="8" width="9.28515625" customWidth="1"/>
    <col min="9" max="9" width="29.28515625" customWidth="1"/>
    <col min="10" max="10" width="3.85546875" customWidth="1"/>
    <col min="11" max="11" width="97.7109375" customWidth="1"/>
    <col min="12" max="14" width="8.5703125" customWidth="1"/>
    <col min="15" max="15" width="16.42578125" customWidth="1"/>
    <col min="16" max="17" width="9.140625" customWidth="1"/>
    <col min="18" max="18" width="8" customWidth="1"/>
    <col min="19" max="26" width="11.42578125" customWidth="1"/>
    <col min="27" max="27" width="9.140625" customWidth="1"/>
    <col min="28" max="28" width="27.42578125" bestFit="1" customWidth="1"/>
    <col min="29" max="40" width="9.140625" customWidth="1"/>
  </cols>
  <sheetData>
    <row r="1" spans="1:28" ht="37.5" customHeight="1" thickBot="1" x14ac:dyDescent="0.3">
      <c r="A1" s="112" t="s">
        <v>285</v>
      </c>
      <c r="B1" s="112" t="s">
        <v>286</v>
      </c>
      <c r="C1" s="112">
        <v>2016</v>
      </c>
      <c r="D1" s="112">
        <v>2016</v>
      </c>
      <c r="E1" s="112" t="s">
        <v>287</v>
      </c>
      <c r="F1" s="112" t="s">
        <v>288</v>
      </c>
      <c r="G1" s="112" t="s">
        <v>289</v>
      </c>
      <c r="H1" s="200" t="s">
        <v>286</v>
      </c>
      <c r="I1" s="200"/>
      <c r="J1" s="112" t="s">
        <v>290</v>
      </c>
      <c r="K1" s="112" t="s">
        <v>291</v>
      </c>
      <c r="L1" s="112">
        <v>2016</v>
      </c>
      <c r="M1" s="112">
        <v>2016</v>
      </c>
      <c r="N1" s="112" t="s">
        <v>287</v>
      </c>
      <c r="O1" s="37"/>
      <c r="P1" s="37"/>
      <c r="Q1" s="37"/>
      <c r="R1" s="113" t="s">
        <v>292</v>
      </c>
      <c r="S1" s="64" t="s">
        <v>293</v>
      </c>
      <c r="T1" s="65" t="s">
        <v>294</v>
      </c>
      <c r="U1" s="66" t="s">
        <v>295</v>
      </c>
      <c r="V1" s="67" t="s">
        <v>296</v>
      </c>
      <c r="W1" s="116" t="s">
        <v>297</v>
      </c>
      <c r="X1" s="68" t="s">
        <v>10</v>
      </c>
      <c r="Y1" s="68" t="s">
        <v>298</v>
      </c>
      <c r="Z1" s="68" t="s">
        <v>299</v>
      </c>
      <c r="AA1" s="37"/>
      <c r="AB1" s="69" t="s">
        <v>300</v>
      </c>
    </row>
    <row r="2" spans="1:28" ht="27" customHeight="1" thickBot="1" x14ac:dyDescent="0.3">
      <c r="A2" s="214" t="s">
        <v>301</v>
      </c>
      <c r="B2" s="217" t="s">
        <v>11</v>
      </c>
      <c r="C2" s="219">
        <v>86.53</v>
      </c>
      <c r="D2" s="219">
        <v>84.8</v>
      </c>
      <c r="E2" s="219">
        <v>77.650000000000006</v>
      </c>
      <c r="F2" s="206">
        <v>1.73</v>
      </c>
      <c r="G2" s="206">
        <v>8.8800000000000008</v>
      </c>
      <c r="H2" s="222" t="s">
        <v>11</v>
      </c>
      <c r="I2" s="201" t="s">
        <v>302</v>
      </c>
      <c r="J2" s="70">
        <v>1</v>
      </c>
      <c r="K2" s="71" t="s">
        <v>303</v>
      </c>
      <c r="L2" s="72">
        <v>85.48</v>
      </c>
      <c r="M2" s="72">
        <v>80.14</v>
      </c>
      <c r="N2" s="72">
        <v>71.930000000000007</v>
      </c>
      <c r="O2" s="117">
        <v>5.34</v>
      </c>
      <c r="P2" s="37"/>
      <c r="Q2" s="37"/>
      <c r="R2" s="118">
        <v>2016</v>
      </c>
      <c r="S2" s="118">
        <v>87.87</v>
      </c>
      <c r="T2" s="118">
        <v>90.01</v>
      </c>
      <c r="U2" s="118">
        <v>79.709999999999994</v>
      </c>
      <c r="V2" s="118">
        <v>88.39</v>
      </c>
      <c r="W2" s="118">
        <v>92.57</v>
      </c>
      <c r="X2" s="118">
        <v>86.07</v>
      </c>
      <c r="Y2" s="118">
        <v>87.57</v>
      </c>
      <c r="Z2" s="118">
        <v>89.36</v>
      </c>
      <c r="AA2" s="37"/>
      <c r="AB2" s="75" t="s">
        <v>304</v>
      </c>
    </row>
    <row r="3" spans="1:28" ht="27" customHeight="1" thickTop="1" thickBot="1" x14ac:dyDescent="0.3">
      <c r="A3" s="215"/>
      <c r="B3" s="218"/>
      <c r="C3" s="220"/>
      <c r="D3" s="220"/>
      <c r="E3" s="220"/>
      <c r="F3" s="204"/>
      <c r="G3" s="204"/>
      <c r="H3" s="212"/>
      <c r="I3" s="202"/>
      <c r="J3" s="70">
        <v>2</v>
      </c>
      <c r="K3" s="71" t="s">
        <v>305</v>
      </c>
      <c r="L3" s="72">
        <v>84.05</v>
      </c>
      <c r="M3" s="72">
        <v>80</v>
      </c>
      <c r="N3" s="72">
        <v>72.400000000000006</v>
      </c>
      <c r="O3" s="76">
        <v>4.05</v>
      </c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75" t="s">
        <v>145</v>
      </c>
    </row>
    <row r="4" spans="1:28" ht="27" customHeight="1" thickTop="1" thickBot="1" x14ac:dyDescent="0.3">
      <c r="A4" s="215"/>
      <c r="B4" s="218"/>
      <c r="C4" s="220"/>
      <c r="D4" s="220"/>
      <c r="E4" s="220"/>
      <c r="F4" s="204"/>
      <c r="G4" s="204"/>
      <c r="H4" s="212"/>
      <c r="I4" s="263" t="s">
        <v>306</v>
      </c>
      <c r="J4" s="70">
        <v>3</v>
      </c>
      <c r="K4" s="71" t="s">
        <v>307</v>
      </c>
      <c r="L4" s="73">
        <v>87.08</v>
      </c>
      <c r="M4" s="73">
        <v>88.28</v>
      </c>
      <c r="N4" s="72">
        <v>81.36</v>
      </c>
      <c r="O4" s="76">
        <v>-1.2</v>
      </c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75" t="s">
        <v>308</v>
      </c>
    </row>
    <row r="5" spans="1:28" ht="27" customHeight="1" thickTop="1" thickBot="1" x14ac:dyDescent="0.3">
      <c r="A5" s="215"/>
      <c r="B5" s="218"/>
      <c r="C5" s="221"/>
      <c r="D5" s="221"/>
      <c r="E5" s="221"/>
      <c r="F5" s="207"/>
      <c r="G5" s="207"/>
      <c r="H5" s="223"/>
      <c r="I5" s="202"/>
      <c r="J5" s="70">
        <v>4</v>
      </c>
      <c r="K5" s="71" t="s">
        <v>309</v>
      </c>
      <c r="L5" s="73">
        <v>89.51</v>
      </c>
      <c r="M5" s="73">
        <v>90.78</v>
      </c>
      <c r="N5" s="72">
        <v>84.9</v>
      </c>
      <c r="O5" s="76">
        <v>-1.27</v>
      </c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75" t="s">
        <v>310</v>
      </c>
    </row>
    <row r="6" spans="1:28" ht="27" customHeight="1" thickTop="1" thickBot="1" x14ac:dyDescent="0.3">
      <c r="A6" s="215"/>
      <c r="B6" s="218" t="s">
        <v>12</v>
      </c>
      <c r="C6" s="224">
        <v>85.75</v>
      </c>
      <c r="D6" s="224">
        <v>87.99</v>
      </c>
      <c r="E6" s="224">
        <v>79.209999999999994</v>
      </c>
      <c r="F6" s="203">
        <v>-2.2400000000000002</v>
      </c>
      <c r="G6" s="203">
        <v>6.54</v>
      </c>
      <c r="H6" s="211" t="s">
        <v>12</v>
      </c>
      <c r="I6" s="263" t="s">
        <v>311</v>
      </c>
      <c r="J6" s="70">
        <v>5</v>
      </c>
      <c r="K6" s="71" t="s">
        <v>312</v>
      </c>
      <c r="L6" s="73">
        <v>89.01</v>
      </c>
      <c r="M6" s="73">
        <v>87.14</v>
      </c>
      <c r="N6" s="72">
        <v>82.09</v>
      </c>
      <c r="O6" s="76">
        <v>1.87</v>
      </c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75" t="s">
        <v>313</v>
      </c>
    </row>
    <row r="7" spans="1:28" ht="27" customHeight="1" thickTop="1" thickBot="1" x14ac:dyDescent="0.3">
      <c r="A7" s="215"/>
      <c r="B7" s="218"/>
      <c r="C7" s="220"/>
      <c r="D7" s="220"/>
      <c r="E7" s="220"/>
      <c r="F7" s="204"/>
      <c r="G7" s="204"/>
      <c r="H7" s="212"/>
      <c r="I7" s="264"/>
      <c r="J7" s="70">
        <v>6</v>
      </c>
      <c r="K7" s="71" t="s">
        <v>314</v>
      </c>
      <c r="L7" s="72">
        <v>84.34</v>
      </c>
      <c r="M7" s="73">
        <v>92.91</v>
      </c>
      <c r="N7" s="72">
        <v>78.010000000000005</v>
      </c>
      <c r="O7" s="74">
        <v>-8.57</v>
      </c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75" t="s">
        <v>315</v>
      </c>
    </row>
    <row r="8" spans="1:28" ht="27" customHeight="1" thickTop="1" x14ac:dyDescent="0.25">
      <c r="A8" s="215"/>
      <c r="B8" s="218"/>
      <c r="C8" s="220"/>
      <c r="D8" s="220"/>
      <c r="E8" s="220"/>
      <c r="F8" s="204"/>
      <c r="G8" s="204"/>
      <c r="H8" s="212"/>
      <c r="I8" s="202"/>
      <c r="J8" s="70">
        <v>7</v>
      </c>
      <c r="K8" s="71" t="s">
        <v>316</v>
      </c>
      <c r="L8" s="72">
        <v>76.25</v>
      </c>
      <c r="M8" s="72">
        <v>82.01</v>
      </c>
      <c r="N8" s="72">
        <v>68.849999999999994</v>
      </c>
      <c r="O8" s="74">
        <v>-5.76</v>
      </c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</row>
    <row r="9" spans="1:28" ht="27" customHeight="1" x14ac:dyDescent="0.25">
      <c r="A9" s="215"/>
      <c r="B9" s="218"/>
      <c r="C9" s="220"/>
      <c r="D9" s="220"/>
      <c r="E9" s="220"/>
      <c r="F9" s="204"/>
      <c r="G9" s="204"/>
      <c r="H9" s="212"/>
      <c r="I9" s="263" t="s">
        <v>317</v>
      </c>
      <c r="J9" s="70">
        <v>8</v>
      </c>
      <c r="K9" s="71" t="s">
        <v>318</v>
      </c>
      <c r="L9" s="73">
        <v>87.18</v>
      </c>
      <c r="M9" s="73">
        <v>89.29</v>
      </c>
      <c r="N9" s="72">
        <v>82.88</v>
      </c>
      <c r="O9" s="76">
        <v>-2.11</v>
      </c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</row>
    <row r="10" spans="1:28" ht="27" customHeight="1" x14ac:dyDescent="0.25">
      <c r="A10" s="215"/>
      <c r="B10" s="218"/>
      <c r="C10" s="220"/>
      <c r="D10" s="220"/>
      <c r="E10" s="220"/>
      <c r="F10" s="204"/>
      <c r="G10" s="204"/>
      <c r="H10" s="212"/>
      <c r="I10" s="202"/>
      <c r="J10" s="70">
        <v>9</v>
      </c>
      <c r="K10" s="71" t="s">
        <v>319</v>
      </c>
      <c r="L10" s="73">
        <v>89.17</v>
      </c>
      <c r="M10" s="73">
        <v>95</v>
      </c>
      <c r="N10" s="73">
        <v>86.01</v>
      </c>
      <c r="O10" s="74">
        <v>-5.83</v>
      </c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</row>
    <row r="11" spans="1:28" ht="27" customHeight="1" x14ac:dyDescent="0.25">
      <c r="A11" s="215"/>
      <c r="B11" s="218"/>
      <c r="C11" s="221"/>
      <c r="D11" s="221"/>
      <c r="E11" s="221"/>
      <c r="F11" s="207"/>
      <c r="G11" s="207"/>
      <c r="H11" s="223"/>
      <c r="I11" s="115" t="s">
        <v>320</v>
      </c>
      <c r="J11" s="70">
        <v>10</v>
      </c>
      <c r="K11" s="71" t="s">
        <v>321</v>
      </c>
      <c r="L11" s="73">
        <v>88.56</v>
      </c>
      <c r="M11" s="72">
        <v>81.56</v>
      </c>
      <c r="N11" s="72">
        <v>77.41</v>
      </c>
      <c r="O11" s="117">
        <v>7</v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</row>
    <row r="12" spans="1:28" ht="27" customHeight="1" x14ac:dyDescent="0.25">
      <c r="A12" s="215"/>
      <c r="B12" s="218" t="s">
        <v>13</v>
      </c>
      <c r="C12" s="224">
        <v>85.61</v>
      </c>
      <c r="D12" s="224">
        <v>90.77</v>
      </c>
      <c r="E12" s="224">
        <v>79.099999999999994</v>
      </c>
      <c r="F12" s="203">
        <v>-5.16</v>
      </c>
      <c r="G12" s="203">
        <v>6.51</v>
      </c>
      <c r="H12" s="211" t="s">
        <v>13</v>
      </c>
      <c r="I12" s="263" t="s">
        <v>322</v>
      </c>
      <c r="J12" s="70">
        <v>11</v>
      </c>
      <c r="K12" s="71" t="s">
        <v>323</v>
      </c>
      <c r="L12" s="72">
        <v>82.4</v>
      </c>
      <c r="M12" s="73">
        <v>90.07</v>
      </c>
      <c r="N12" s="72">
        <v>74.319999999999993</v>
      </c>
      <c r="O12" s="74">
        <v>-7.67</v>
      </c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</row>
    <row r="13" spans="1:28" ht="27" customHeight="1" x14ac:dyDescent="0.25">
      <c r="A13" s="215"/>
      <c r="B13" s="218"/>
      <c r="C13" s="220"/>
      <c r="D13" s="220"/>
      <c r="E13" s="220"/>
      <c r="F13" s="204"/>
      <c r="G13" s="204"/>
      <c r="H13" s="212"/>
      <c r="I13" s="264"/>
      <c r="J13" s="70">
        <v>12</v>
      </c>
      <c r="K13" s="71" t="s">
        <v>324</v>
      </c>
      <c r="L13" s="72">
        <v>82.42</v>
      </c>
      <c r="M13" s="73">
        <v>85.82</v>
      </c>
      <c r="N13" s="72">
        <v>74.2</v>
      </c>
      <c r="O13" s="76">
        <v>-3.4</v>
      </c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</row>
    <row r="14" spans="1:28" ht="27" customHeight="1" x14ac:dyDescent="0.25">
      <c r="A14" s="215"/>
      <c r="B14" s="218"/>
      <c r="C14" s="220"/>
      <c r="D14" s="220"/>
      <c r="E14" s="220"/>
      <c r="F14" s="204"/>
      <c r="G14" s="204"/>
      <c r="H14" s="212"/>
      <c r="I14" s="202"/>
      <c r="J14" s="70">
        <v>13</v>
      </c>
      <c r="K14" s="71" t="s">
        <v>325</v>
      </c>
      <c r="L14" s="72">
        <v>85.31</v>
      </c>
      <c r="M14" s="73">
        <v>93.62</v>
      </c>
      <c r="N14" s="72">
        <v>81.02</v>
      </c>
      <c r="O14" s="74">
        <v>-8.31</v>
      </c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</row>
    <row r="15" spans="1:28" ht="27" customHeight="1" thickBot="1" x14ac:dyDescent="0.3">
      <c r="A15" s="216"/>
      <c r="B15" s="228"/>
      <c r="C15" s="229"/>
      <c r="D15" s="229"/>
      <c r="E15" s="229"/>
      <c r="F15" s="205"/>
      <c r="G15" s="205"/>
      <c r="H15" s="213"/>
      <c r="I15" s="115" t="s">
        <v>326</v>
      </c>
      <c r="J15" s="70">
        <v>14</v>
      </c>
      <c r="K15" s="71" t="s">
        <v>327</v>
      </c>
      <c r="L15" s="73">
        <v>92.33</v>
      </c>
      <c r="M15" s="73">
        <v>93.57</v>
      </c>
      <c r="N15" s="73">
        <v>86.87</v>
      </c>
      <c r="O15" s="76">
        <v>-1.24</v>
      </c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</row>
    <row r="16" spans="1:28" ht="37.5" customHeight="1" thickBot="1" x14ac:dyDescent="0.3">
      <c r="A16" s="112" t="s">
        <v>285</v>
      </c>
      <c r="B16" s="112" t="s">
        <v>286</v>
      </c>
      <c r="C16" s="112">
        <v>2016</v>
      </c>
      <c r="D16" s="112">
        <v>2016</v>
      </c>
      <c r="E16" s="112" t="s">
        <v>287</v>
      </c>
      <c r="F16" s="112" t="s">
        <v>288</v>
      </c>
      <c r="G16" s="112" t="s">
        <v>289</v>
      </c>
      <c r="H16" s="200" t="s">
        <v>286</v>
      </c>
      <c r="I16" s="200"/>
      <c r="J16" s="112" t="s">
        <v>290</v>
      </c>
      <c r="K16" s="112" t="s">
        <v>291</v>
      </c>
      <c r="L16" s="112">
        <v>2016</v>
      </c>
      <c r="M16" s="112">
        <v>2016</v>
      </c>
      <c r="N16" s="112" t="s">
        <v>287</v>
      </c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</row>
    <row r="17" spans="1:28" ht="27" customHeight="1" x14ac:dyDescent="0.25">
      <c r="A17" s="225" t="s">
        <v>328</v>
      </c>
      <c r="B17" s="217" t="s">
        <v>14</v>
      </c>
      <c r="C17" s="219">
        <v>82.03</v>
      </c>
      <c r="D17" s="219">
        <v>90.97</v>
      </c>
      <c r="E17" s="219">
        <v>76.66</v>
      </c>
      <c r="F17" s="206">
        <v>-8.94</v>
      </c>
      <c r="G17" s="206">
        <v>5.37</v>
      </c>
      <c r="H17" s="208" t="s">
        <v>14</v>
      </c>
      <c r="I17" s="265" t="s">
        <v>329</v>
      </c>
      <c r="J17" s="70">
        <v>15</v>
      </c>
      <c r="K17" s="71" t="s">
        <v>330</v>
      </c>
      <c r="L17" s="72">
        <v>79.709999999999994</v>
      </c>
      <c r="M17" s="73">
        <v>93.1</v>
      </c>
      <c r="N17" s="72">
        <v>73.25</v>
      </c>
      <c r="O17" s="74">
        <v>-13.39</v>
      </c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</row>
    <row r="18" spans="1:28" ht="27" customHeight="1" x14ac:dyDescent="0.25">
      <c r="A18" s="226"/>
      <c r="B18" s="218"/>
      <c r="C18" s="220"/>
      <c r="D18" s="220"/>
      <c r="E18" s="220"/>
      <c r="F18" s="204"/>
      <c r="G18" s="204"/>
      <c r="H18" s="209"/>
      <c r="I18" s="238"/>
      <c r="J18" s="70">
        <v>16</v>
      </c>
      <c r="K18" s="71" t="s">
        <v>331</v>
      </c>
      <c r="L18" s="72">
        <v>83.11</v>
      </c>
      <c r="M18" s="73">
        <v>96.55</v>
      </c>
      <c r="N18" s="72">
        <v>82.08</v>
      </c>
      <c r="O18" s="74">
        <v>-13.44</v>
      </c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</row>
    <row r="19" spans="1:28" ht="27" customHeight="1" x14ac:dyDescent="0.25">
      <c r="A19" s="226"/>
      <c r="B19" s="218"/>
      <c r="C19" s="220"/>
      <c r="D19" s="220"/>
      <c r="E19" s="220"/>
      <c r="F19" s="204"/>
      <c r="G19" s="204"/>
      <c r="H19" s="209"/>
      <c r="I19" s="237" t="s">
        <v>332</v>
      </c>
      <c r="J19" s="70">
        <v>17</v>
      </c>
      <c r="K19" s="71" t="s">
        <v>333</v>
      </c>
      <c r="L19" s="72">
        <v>79.77</v>
      </c>
      <c r="M19" s="72">
        <v>83.45</v>
      </c>
      <c r="N19" s="72">
        <v>70.37</v>
      </c>
      <c r="O19" s="76">
        <v>-3.68</v>
      </c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</row>
    <row r="20" spans="1:28" ht="27" customHeight="1" x14ac:dyDescent="0.25">
      <c r="A20" s="226"/>
      <c r="B20" s="218"/>
      <c r="C20" s="221"/>
      <c r="D20" s="221"/>
      <c r="E20" s="221"/>
      <c r="F20" s="207"/>
      <c r="G20" s="207"/>
      <c r="H20" s="210"/>
      <c r="I20" s="238"/>
      <c r="J20" s="70">
        <v>18</v>
      </c>
      <c r="K20" s="71" t="s">
        <v>334</v>
      </c>
      <c r="L20" s="73">
        <v>85.53</v>
      </c>
      <c r="M20" s="73">
        <v>90.78</v>
      </c>
      <c r="N20" s="72">
        <v>80.94</v>
      </c>
      <c r="O20" s="74">
        <v>-5.25</v>
      </c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</row>
    <row r="21" spans="1:28" ht="27" customHeight="1" x14ac:dyDescent="0.25">
      <c r="A21" s="226"/>
      <c r="B21" s="218" t="s">
        <v>15</v>
      </c>
      <c r="C21" s="224">
        <v>81.34</v>
      </c>
      <c r="D21" s="224">
        <v>83.97</v>
      </c>
      <c r="E21" s="224">
        <v>73.13</v>
      </c>
      <c r="F21" s="203">
        <v>-2.63</v>
      </c>
      <c r="G21" s="203">
        <v>8.2100000000000009</v>
      </c>
      <c r="H21" s="236" t="s">
        <v>15</v>
      </c>
      <c r="I21" s="237" t="s">
        <v>335</v>
      </c>
      <c r="J21" s="70">
        <v>19</v>
      </c>
      <c r="K21" s="71" t="s">
        <v>336</v>
      </c>
      <c r="L21" s="72">
        <v>83.52</v>
      </c>
      <c r="M21" s="73">
        <v>87.23</v>
      </c>
      <c r="N21" s="72">
        <v>76.94</v>
      </c>
      <c r="O21" s="76">
        <v>-3.71</v>
      </c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</row>
    <row r="22" spans="1:28" ht="27" customHeight="1" x14ac:dyDescent="0.25">
      <c r="A22" s="226"/>
      <c r="B22" s="218"/>
      <c r="C22" s="221"/>
      <c r="D22" s="221"/>
      <c r="E22" s="221"/>
      <c r="F22" s="207"/>
      <c r="G22" s="207"/>
      <c r="H22" s="210"/>
      <c r="I22" s="238"/>
      <c r="J22" s="70">
        <v>20</v>
      </c>
      <c r="K22" s="71" t="s">
        <v>337</v>
      </c>
      <c r="L22" s="72">
        <v>79.17</v>
      </c>
      <c r="M22" s="72">
        <v>80.709999999999994</v>
      </c>
      <c r="N22" s="72">
        <v>69.31</v>
      </c>
      <c r="O22" s="76">
        <v>-1.54</v>
      </c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</row>
    <row r="23" spans="1:28" ht="27" customHeight="1" x14ac:dyDescent="0.25">
      <c r="A23" s="226"/>
      <c r="B23" s="218" t="s">
        <v>16</v>
      </c>
      <c r="C23" s="224">
        <v>81.349999999999994</v>
      </c>
      <c r="D23" s="224">
        <v>91.19</v>
      </c>
      <c r="E23" s="224">
        <v>79.02</v>
      </c>
      <c r="F23" s="203">
        <v>-9.84</v>
      </c>
      <c r="G23" s="203">
        <v>2.33</v>
      </c>
      <c r="H23" s="236" t="s">
        <v>16</v>
      </c>
      <c r="I23" s="237" t="s">
        <v>338</v>
      </c>
      <c r="J23" s="70">
        <v>21</v>
      </c>
      <c r="K23" s="71" t="s">
        <v>339</v>
      </c>
      <c r="L23" s="73">
        <v>91.17</v>
      </c>
      <c r="M23" s="73">
        <v>97.93</v>
      </c>
      <c r="N23" s="73">
        <v>89.53</v>
      </c>
      <c r="O23" s="74">
        <v>-6.76</v>
      </c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</row>
    <row r="24" spans="1:28" ht="27" customHeight="1" x14ac:dyDescent="0.25">
      <c r="A24" s="226"/>
      <c r="B24" s="218"/>
      <c r="C24" s="220"/>
      <c r="D24" s="220"/>
      <c r="E24" s="220"/>
      <c r="F24" s="204"/>
      <c r="G24" s="204"/>
      <c r="H24" s="209"/>
      <c r="I24" s="266"/>
      <c r="J24" s="70">
        <v>22</v>
      </c>
      <c r="K24" s="71" t="s">
        <v>340</v>
      </c>
      <c r="L24" s="72">
        <v>69.52</v>
      </c>
      <c r="M24" s="73">
        <v>92.14</v>
      </c>
      <c r="N24" s="72">
        <v>76.599999999999994</v>
      </c>
      <c r="O24" s="74">
        <v>-22.62</v>
      </c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</row>
    <row r="25" spans="1:28" ht="27" customHeight="1" x14ac:dyDescent="0.25">
      <c r="A25" s="226"/>
      <c r="B25" s="218"/>
      <c r="C25" s="220"/>
      <c r="D25" s="220"/>
      <c r="E25" s="220"/>
      <c r="F25" s="204"/>
      <c r="G25" s="204"/>
      <c r="H25" s="209"/>
      <c r="I25" s="238"/>
      <c r="J25" s="70">
        <v>23</v>
      </c>
      <c r="K25" s="71" t="s">
        <v>341</v>
      </c>
      <c r="L25" s="72">
        <v>80.98</v>
      </c>
      <c r="M25" s="73">
        <v>97.87</v>
      </c>
      <c r="N25" s="72">
        <v>80.63</v>
      </c>
      <c r="O25" s="74">
        <v>-16.89</v>
      </c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</row>
    <row r="26" spans="1:28" ht="27" customHeight="1" x14ac:dyDescent="0.25">
      <c r="A26" s="226"/>
      <c r="B26" s="218"/>
      <c r="C26" s="220"/>
      <c r="D26" s="220"/>
      <c r="E26" s="220"/>
      <c r="F26" s="204"/>
      <c r="G26" s="204"/>
      <c r="H26" s="209"/>
      <c r="I26" s="237" t="s">
        <v>342</v>
      </c>
      <c r="J26" s="70">
        <v>24</v>
      </c>
      <c r="K26" s="71" t="s">
        <v>343</v>
      </c>
      <c r="L26" s="72">
        <v>84.76</v>
      </c>
      <c r="M26" s="73">
        <v>90.78</v>
      </c>
      <c r="N26" s="72">
        <v>84.95</v>
      </c>
      <c r="O26" s="74">
        <v>-6.02</v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</row>
    <row r="27" spans="1:28" ht="27" customHeight="1" x14ac:dyDescent="0.25">
      <c r="A27" s="226"/>
      <c r="B27" s="218"/>
      <c r="C27" s="220"/>
      <c r="D27" s="220"/>
      <c r="E27" s="220"/>
      <c r="F27" s="204"/>
      <c r="G27" s="204"/>
      <c r="H27" s="209"/>
      <c r="I27" s="266"/>
      <c r="J27" s="70">
        <v>25</v>
      </c>
      <c r="K27" s="71" t="s">
        <v>344</v>
      </c>
      <c r="L27" s="72">
        <v>75.88</v>
      </c>
      <c r="M27" s="72">
        <v>78.010000000000005</v>
      </c>
      <c r="N27" s="72">
        <v>70.97</v>
      </c>
      <c r="O27" s="76">
        <v>-2.13</v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</row>
    <row r="28" spans="1:28" ht="27" customHeight="1" x14ac:dyDescent="0.25">
      <c r="A28" s="226"/>
      <c r="B28" s="218"/>
      <c r="C28" s="220"/>
      <c r="D28" s="220"/>
      <c r="E28" s="220"/>
      <c r="F28" s="204"/>
      <c r="G28" s="204"/>
      <c r="H28" s="209"/>
      <c r="I28" s="266"/>
      <c r="J28" s="70">
        <v>26</v>
      </c>
      <c r="K28" s="71" t="s">
        <v>345</v>
      </c>
      <c r="L28" s="72">
        <v>85.43</v>
      </c>
      <c r="M28" s="73">
        <v>87.23</v>
      </c>
      <c r="N28" s="72">
        <v>78.45</v>
      </c>
      <c r="O28" s="76">
        <v>-1.8</v>
      </c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</row>
    <row r="29" spans="1:28" ht="27" customHeight="1" thickBot="1" x14ac:dyDescent="0.3">
      <c r="A29" s="227"/>
      <c r="B29" s="228"/>
      <c r="C29" s="229"/>
      <c r="D29" s="229"/>
      <c r="E29" s="229"/>
      <c r="F29" s="205"/>
      <c r="G29" s="205"/>
      <c r="H29" s="241"/>
      <c r="I29" s="267"/>
      <c r="J29" s="70">
        <v>27</v>
      </c>
      <c r="K29" s="71" t="s">
        <v>346</v>
      </c>
      <c r="L29" s="72">
        <v>81.680000000000007</v>
      </c>
      <c r="M29" s="73">
        <v>94.33</v>
      </c>
      <c r="N29" s="72">
        <v>72.040000000000006</v>
      </c>
      <c r="O29" s="74">
        <v>-12.65</v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</row>
    <row r="30" spans="1:28" ht="37.5" customHeight="1" thickBot="1" x14ac:dyDescent="0.3">
      <c r="A30" s="112" t="s">
        <v>285</v>
      </c>
      <c r="B30" s="112" t="s">
        <v>286</v>
      </c>
      <c r="C30" s="112">
        <v>2016</v>
      </c>
      <c r="D30" s="112">
        <v>2016</v>
      </c>
      <c r="E30" s="112" t="s">
        <v>287</v>
      </c>
      <c r="F30" s="112" t="s">
        <v>288</v>
      </c>
      <c r="G30" s="112" t="s">
        <v>289</v>
      </c>
      <c r="H30" s="200" t="s">
        <v>286</v>
      </c>
      <c r="I30" s="200"/>
      <c r="J30" s="112" t="s">
        <v>290</v>
      </c>
      <c r="K30" s="112" t="s">
        <v>291</v>
      </c>
      <c r="L30" s="112">
        <v>2016</v>
      </c>
      <c r="M30" s="112">
        <v>2016</v>
      </c>
      <c r="N30" s="112" t="s">
        <v>287</v>
      </c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</row>
    <row r="31" spans="1:28" ht="27" customHeight="1" x14ac:dyDescent="0.25">
      <c r="A31" s="230" t="s">
        <v>347</v>
      </c>
      <c r="B31" s="217" t="s">
        <v>17</v>
      </c>
      <c r="C31" s="219">
        <v>68.510000000000005</v>
      </c>
      <c r="D31" s="219">
        <v>66.22</v>
      </c>
      <c r="E31" s="219">
        <v>63.26</v>
      </c>
      <c r="F31" s="206">
        <v>2.29</v>
      </c>
      <c r="G31" s="206">
        <v>5.25</v>
      </c>
      <c r="H31" s="239" t="s">
        <v>17</v>
      </c>
      <c r="I31" s="242" t="s">
        <v>348</v>
      </c>
      <c r="J31" s="70">
        <v>28</v>
      </c>
      <c r="K31" s="71" t="s">
        <v>349</v>
      </c>
      <c r="L31" s="72">
        <v>63.94</v>
      </c>
      <c r="M31" s="78">
        <v>41.84</v>
      </c>
      <c r="N31" s="77">
        <v>51.79</v>
      </c>
      <c r="O31" s="117">
        <v>22.1</v>
      </c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</row>
    <row r="32" spans="1:28" ht="27" customHeight="1" x14ac:dyDescent="0.25">
      <c r="A32" s="231"/>
      <c r="B32" s="218"/>
      <c r="C32" s="220"/>
      <c r="D32" s="220"/>
      <c r="E32" s="220"/>
      <c r="F32" s="204"/>
      <c r="G32" s="204"/>
      <c r="H32" s="234"/>
      <c r="I32" s="243"/>
      <c r="J32" s="70">
        <v>29</v>
      </c>
      <c r="K32" s="71" t="s">
        <v>350</v>
      </c>
      <c r="L32" s="77">
        <v>45.85</v>
      </c>
      <c r="M32" s="78">
        <v>41.13</v>
      </c>
      <c r="N32" s="77">
        <v>44.68</v>
      </c>
      <c r="O32" s="76">
        <v>4.72</v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</row>
    <row r="33" spans="1:28" ht="27" customHeight="1" x14ac:dyDescent="0.25">
      <c r="A33" s="231"/>
      <c r="B33" s="218"/>
      <c r="C33" s="220"/>
      <c r="D33" s="220"/>
      <c r="E33" s="220"/>
      <c r="F33" s="204"/>
      <c r="G33" s="204"/>
      <c r="H33" s="234"/>
      <c r="I33" s="244" t="s">
        <v>351</v>
      </c>
      <c r="J33" s="70">
        <v>30</v>
      </c>
      <c r="K33" s="71" t="s">
        <v>352</v>
      </c>
      <c r="L33" s="72">
        <v>72.17</v>
      </c>
      <c r="M33" s="73">
        <v>87.59</v>
      </c>
      <c r="N33" s="72">
        <v>65.959999999999994</v>
      </c>
      <c r="O33" s="74">
        <v>-15.42</v>
      </c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</row>
    <row r="34" spans="1:28" ht="27" customHeight="1" x14ac:dyDescent="0.25">
      <c r="A34" s="231"/>
      <c r="B34" s="218"/>
      <c r="C34" s="221"/>
      <c r="D34" s="221"/>
      <c r="E34" s="221"/>
      <c r="F34" s="207"/>
      <c r="G34" s="207"/>
      <c r="H34" s="240"/>
      <c r="I34" s="243"/>
      <c r="J34" s="70">
        <v>31</v>
      </c>
      <c r="K34" s="71" t="s">
        <v>353</v>
      </c>
      <c r="L34" s="73">
        <v>92.08</v>
      </c>
      <c r="M34" s="73">
        <v>94.33</v>
      </c>
      <c r="N34" s="73">
        <v>90.62</v>
      </c>
      <c r="O34" s="76">
        <v>-2.25</v>
      </c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</row>
    <row r="35" spans="1:28" ht="27" customHeight="1" x14ac:dyDescent="0.25">
      <c r="A35" s="231"/>
      <c r="B35" s="218" t="s">
        <v>18</v>
      </c>
      <c r="C35" s="224">
        <v>67.98</v>
      </c>
      <c r="D35" s="224">
        <v>72.180000000000007</v>
      </c>
      <c r="E35" s="224">
        <v>64.150000000000006</v>
      </c>
      <c r="F35" s="203">
        <v>-4.2</v>
      </c>
      <c r="G35" s="203">
        <v>3.83</v>
      </c>
      <c r="H35" s="245" t="s">
        <v>18</v>
      </c>
      <c r="I35" s="246"/>
      <c r="J35" s="70">
        <v>32</v>
      </c>
      <c r="K35" s="71" t="s">
        <v>354</v>
      </c>
      <c r="L35" s="77">
        <v>58.81</v>
      </c>
      <c r="M35" s="72">
        <v>70.510000000000005</v>
      </c>
      <c r="N35" s="77">
        <v>59.33</v>
      </c>
      <c r="O35" s="74">
        <v>-11.7</v>
      </c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</row>
    <row r="36" spans="1:28" ht="27" customHeight="1" x14ac:dyDescent="0.25">
      <c r="A36" s="231"/>
      <c r="B36" s="218"/>
      <c r="C36" s="220"/>
      <c r="D36" s="220"/>
      <c r="E36" s="220"/>
      <c r="F36" s="204"/>
      <c r="G36" s="204"/>
      <c r="H36" s="245"/>
      <c r="I36" s="246"/>
      <c r="J36" s="70">
        <v>33</v>
      </c>
      <c r="K36" s="71" t="s">
        <v>355</v>
      </c>
      <c r="L36" s="72">
        <v>73.19</v>
      </c>
      <c r="M36" s="72">
        <v>71.94</v>
      </c>
      <c r="N36" s="72">
        <v>64.44</v>
      </c>
      <c r="O36" s="76">
        <v>1.25</v>
      </c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</row>
    <row r="37" spans="1:28" ht="27" customHeight="1" x14ac:dyDescent="0.25">
      <c r="A37" s="231"/>
      <c r="B37" s="218"/>
      <c r="C37" s="221"/>
      <c r="D37" s="221"/>
      <c r="E37" s="221"/>
      <c r="F37" s="207"/>
      <c r="G37" s="207"/>
      <c r="H37" s="247"/>
      <c r="I37" s="248"/>
      <c r="J37" s="70">
        <v>34</v>
      </c>
      <c r="K37" s="71" t="s">
        <v>356</v>
      </c>
      <c r="L37" s="72">
        <v>71.930000000000007</v>
      </c>
      <c r="M37" s="72">
        <v>74.099999999999994</v>
      </c>
      <c r="N37" s="72">
        <v>68.69</v>
      </c>
      <c r="O37" s="76">
        <v>-2.17</v>
      </c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</row>
    <row r="38" spans="1:28" ht="27" customHeight="1" x14ac:dyDescent="0.25">
      <c r="A38" s="231"/>
      <c r="B38" s="218" t="s">
        <v>19</v>
      </c>
      <c r="C38" s="224">
        <v>91.08</v>
      </c>
      <c r="D38" s="224">
        <v>95.01</v>
      </c>
      <c r="E38" s="224">
        <v>90.14</v>
      </c>
      <c r="F38" s="203">
        <v>-3.93</v>
      </c>
      <c r="G38" s="203">
        <v>0.94</v>
      </c>
      <c r="H38" s="233" t="s">
        <v>19</v>
      </c>
      <c r="I38" s="249" t="s">
        <v>357</v>
      </c>
      <c r="J38" s="70">
        <v>35</v>
      </c>
      <c r="K38" s="71" t="s">
        <v>358</v>
      </c>
      <c r="L38" s="72">
        <v>85.43</v>
      </c>
      <c r="M38" s="73">
        <v>92.09</v>
      </c>
      <c r="N38" s="73">
        <v>88.19</v>
      </c>
      <c r="O38" s="74">
        <v>-6.66</v>
      </c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</row>
    <row r="39" spans="1:28" ht="27" customHeight="1" x14ac:dyDescent="0.25">
      <c r="A39" s="231"/>
      <c r="B39" s="218"/>
      <c r="C39" s="220"/>
      <c r="D39" s="220"/>
      <c r="E39" s="220"/>
      <c r="F39" s="204"/>
      <c r="G39" s="204"/>
      <c r="H39" s="234"/>
      <c r="I39" s="250"/>
      <c r="J39" s="70">
        <v>36</v>
      </c>
      <c r="K39" s="71" t="s">
        <v>359</v>
      </c>
      <c r="L39" s="73">
        <v>96.52</v>
      </c>
      <c r="M39" s="73">
        <v>97.87</v>
      </c>
      <c r="N39" s="73">
        <v>94.83</v>
      </c>
      <c r="O39" s="76">
        <v>-1.35</v>
      </c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</row>
    <row r="40" spans="1:28" ht="27" customHeight="1" x14ac:dyDescent="0.25">
      <c r="A40" s="231"/>
      <c r="B40" s="218"/>
      <c r="C40" s="220"/>
      <c r="D40" s="220"/>
      <c r="E40" s="220"/>
      <c r="F40" s="204"/>
      <c r="G40" s="204"/>
      <c r="H40" s="234"/>
      <c r="I40" s="250"/>
      <c r="J40" s="70">
        <v>37</v>
      </c>
      <c r="K40" s="71" t="s">
        <v>360</v>
      </c>
      <c r="L40" s="73">
        <v>94.97</v>
      </c>
      <c r="M40" s="73">
        <v>98.58</v>
      </c>
      <c r="N40" s="73">
        <v>93.52</v>
      </c>
      <c r="O40" s="76">
        <v>-3.61</v>
      </c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</row>
    <row r="41" spans="1:28" ht="27" customHeight="1" x14ac:dyDescent="0.25">
      <c r="A41" s="231"/>
      <c r="B41" s="218"/>
      <c r="C41" s="220"/>
      <c r="D41" s="220"/>
      <c r="E41" s="220"/>
      <c r="F41" s="204"/>
      <c r="G41" s="204"/>
      <c r="H41" s="234"/>
      <c r="I41" s="243"/>
      <c r="J41" s="70">
        <v>38</v>
      </c>
      <c r="K41" s="71" t="s">
        <v>361</v>
      </c>
      <c r="L41" s="73">
        <v>93.83</v>
      </c>
      <c r="M41" s="73">
        <v>95.74</v>
      </c>
      <c r="N41" s="73">
        <v>92.24</v>
      </c>
      <c r="O41" s="76">
        <v>-1.91</v>
      </c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</row>
    <row r="42" spans="1:28" ht="27" customHeight="1" thickBot="1" x14ac:dyDescent="0.3">
      <c r="A42" s="232"/>
      <c r="B42" s="228"/>
      <c r="C42" s="229"/>
      <c r="D42" s="229"/>
      <c r="E42" s="229"/>
      <c r="F42" s="205"/>
      <c r="G42" s="205"/>
      <c r="H42" s="235"/>
      <c r="I42" s="114" t="s">
        <v>362</v>
      </c>
      <c r="J42" s="70">
        <v>39</v>
      </c>
      <c r="K42" s="71" t="s">
        <v>393</v>
      </c>
      <c r="L42" s="72">
        <v>84.65</v>
      </c>
      <c r="M42" s="73">
        <v>90.78</v>
      </c>
      <c r="N42" s="72">
        <v>81.91</v>
      </c>
      <c r="O42" s="74">
        <v>-6.13</v>
      </c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</row>
    <row r="43" spans="1:28" ht="37.5" customHeight="1" thickBot="1" x14ac:dyDescent="0.3">
      <c r="A43" s="112" t="s">
        <v>285</v>
      </c>
      <c r="B43" s="112" t="s">
        <v>286</v>
      </c>
      <c r="C43" s="112">
        <v>2016</v>
      </c>
      <c r="D43" s="112">
        <v>2016</v>
      </c>
      <c r="E43" s="112" t="s">
        <v>287</v>
      </c>
      <c r="F43" s="112" t="s">
        <v>288</v>
      </c>
      <c r="G43" s="112" t="s">
        <v>289</v>
      </c>
      <c r="H43" s="200" t="s">
        <v>286</v>
      </c>
      <c r="I43" s="200"/>
      <c r="J43" s="112" t="s">
        <v>290</v>
      </c>
      <c r="K43" s="112" t="s">
        <v>291</v>
      </c>
      <c r="L43" s="112">
        <v>2016</v>
      </c>
      <c r="M43" s="112">
        <v>2016</v>
      </c>
      <c r="N43" s="112" t="s">
        <v>287</v>
      </c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</row>
    <row r="44" spans="1:28" ht="27" customHeight="1" x14ac:dyDescent="0.25">
      <c r="A44" s="255" t="s">
        <v>363</v>
      </c>
      <c r="B44" s="217" t="s">
        <v>20</v>
      </c>
      <c r="C44" s="219">
        <v>80.63</v>
      </c>
      <c r="D44" s="219">
        <v>83.69</v>
      </c>
      <c r="E44" s="219">
        <v>76.319999999999993</v>
      </c>
      <c r="F44" s="206">
        <v>-3.06</v>
      </c>
      <c r="G44" s="206">
        <v>4.3099999999999996</v>
      </c>
      <c r="H44" s="251" t="s">
        <v>20</v>
      </c>
      <c r="I44" s="252"/>
      <c r="J44" s="70">
        <v>40</v>
      </c>
      <c r="K44" s="71" t="s">
        <v>364</v>
      </c>
      <c r="L44" s="72">
        <v>83.95</v>
      </c>
      <c r="M44" s="73">
        <v>87.23</v>
      </c>
      <c r="N44" s="72">
        <v>77.8</v>
      </c>
      <c r="O44" s="76">
        <v>-3.28</v>
      </c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</row>
    <row r="45" spans="1:28" ht="27" customHeight="1" x14ac:dyDescent="0.25">
      <c r="A45" s="256"/>
      <c r="B45" s="218"/>
      <c r="C45" s="221"/>
      <c r="D45" s="221"/>
      <c r="E45" s="221"/>
      <c r="F45" s="207"/>
      <c r="G45" s="207"/>
      <c r="H45" s="253"/>
      <c r="I45" s="254"/>
      <c r="J45" s="70">
        <v>41</v>
      </c>
      <c r="K45" s="71" t="s">
        <v>365</v>
      </c>
      <c r="L45" s="72">
        <v>77.3</v>
      </c>
      <c r="M45" s="72">
        <v>80.14</v>
      </c>
      <c r="N45" s="72">
        <v>74.849999999999994</v>
      </c>
      <c r="O45" s="76">
        <v>-2.84</v>
      </c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</row>
    <row r="46" spans="1:28" ht="27" customHeight="1" x14ac:dyDescent="0.25">
      <c r="A46" s="256"/>
      <c r="B46" s="218" t="s">
        <v>21</v>
      </c>
      <c r="C46" s="224">
        <v>83.99</v>
      </c>
      <c r="D46" s="224">
        <v>91.22</v>
      </c>
      <c r="E46" s="224">
        <v>80.14</v>
      </c>
      <c r="F46" s="203">
        <v>-7.23</v>
      </c>
      <c r="G46" s="203">
        <v>3.85</v>
      </c>
      <c r="H46" s="268" t="s">
        <v>21</v>
      </c>
      <c r="I46" s="269"/>
      <c r="J46" s="70">
        <v>42</v>
      </c>
      <c r="K46" s="71" t="s">
        <v>366</v>
      </c>
      <c r="L46" s="73">
        <v>90.85</v>
      </c>
      <c r="M46" s="73">
        <v>88.65</v>
      </c>
      <c r="N46" s="73">
        <v>87.31</v>
      </c>
      <c r="O46" s="76">
        <v>2.2000000000000002</v>
      </c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</row>
    <row r="47" spans="1:28" ht="27" customHeight="1" x14ac:dyDescent="0.25">
      <c r="A47" s="256"/>
      <c r="B47" s="218"/>
      <c r="C47" s="221"/>
      <c r="D47" s="221"/>
      <c r="E47" s="221"/>
      <c r="F47" s="207"/>
      <c r="G47" s="207"/>
      <c r="H47" s="253"/>
      <c r="I47" s="254"/>
      <c r="J47" s="70">
        <v>43</v>
      </c>
      <c r="K47" s="71" t="s">
        <v>367</v>
      </c>
      <c r="L47" s="72">
        <v>77.12</v>
      </c>
      <c r="M47" s="73">
        <v>93.79</v>
      </c>
      <c r="N47" s="72">
        <v>72.97</v>
      </c>
      <c r="O47" s="74">
        <v>-16.670000000000002</v>
      </c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</row>
    <row r="48" spans="1:28" ht="27" customHeight="1" x14ac:dyDescent="0.25">
      <c r="A48" s="256"/>
      <c r="B48" s="218" t="s">
        <v>22</v>
      </c>
      <c r="C48" s="224">
        <v>84.29</v>
      </c>
      <c r="D48" s="224">
        <v>89.33</v>
      </c>
      <c r="E48" s="224">
        <v>80.72</v>
      </c>
      <c r="F48" s="203">
        <v>-5.04</v>
      </c>
      <c r="G48" s="203">
        <v>3.57</v>
      </c>
      <c r="H48" s="268" t="s">
        <v>22</v>
      </c>
      <c r="I48" s="269"/>
      <c r="J48" s="70">
        <v>44</v>
      </c>
      <c r="K48" s="71" t="s">
        <v>368</v>
      </c>
      <c r="L48" s="73">
        <v>86.83</v>
      </c>
      <c r="M48" s="72">
        <v>80.849999999999994</v>
      </c>
      <c r="N48" s="72">
        <v>79.09</v>
      </c>
      <c r="O48" s="117">
        <v>5.98</v>
      </c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</row>
    <row r="49" spans="1:28" ht="27" customHeight="1" x14ac:dyDescent="0.25">
      <c r="A49" s="256"/>
      <c r="B49" s="218"/>
      <c r="C49" s="220"/>
      <c r="D49" s="220"/>
      <c r="E49" s="220"/>
      <c r="F49" s="204"/>
      <c r="G49" s="204"/>
      <c r="H49" s="270"/>
      <c r="I49" s="271"/>
      <c r="J49" s="70">
        <v>45</v>
      </c>
      <c r="K49" s="71" t="s">
        <v>369</v>
      </c>
      <c r="L49" s="73">
        <v>89.37</v>
      </c>
      <c r="M49" s="73">
        <v>94.33</v>
      </c>
      <c r="N49" s="73">
        <v>85.6</v>
      </c>
      <c r="O49" s="76">
        <v>-4.96</v>
      </c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</row>
    <row r="50" spans="1:28" ht="27" customHeight="1" x14ac:dyDescent="0.25">
      <c r="A50" s="256"/>
      <c r="B50" s="218"/>
      <c r="C50" s="220"/>
      <c r="D50" s="220"/>
      <c r="E50" s="220"/>
      <c r="F50" s="204"/>
      <c r="G50" s="204"/>
      <c r="H50" s="270"/>
      <c r="I50" s="271"/>
      <c r="J50" s="70">
        <v>46</v>
      </c>
      <c r="K50" s="71" t="s">
        <v>370</v>
      </c>
      <c r="L50" s="72">
        <v>79.180000000000007</v>
      </c>
      <c r="M50" s="73">
        <v>95</v>
      </c>
      <c r="N50" s="72">
        <v>78.81</v>
      </c>
      <c r="O50" s="74">
        <v>-15.82</v>
      </c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</row>
    <row r="51" spans="1:28" ht="27" customHeight="1" thickBot="1" x14ac:dyDescent="0.3">
      <c r="A51" s="257"/>
      <c r="B51" s="228"/>
      <c r="C51" s="229"/>
      <c r="D51" s="229"/>
      <c r="E51" s="229"/>
      <c r="F51" s="205"/>
      <c r="G51" s="205"/>
      <c r="H51" s="272"/>
      <c r="I51" s="273"/>
      <c r="J51" s="70">
        <v>47</v>
      </c>
      <c r="K51" s="71" t="s">
        <v>371</v>
      </c>
      <c r="L51" s="72">
        <v>81.77</v>
      </c>
      <c r="M51" s="73">
        <v>87.14</v>
      </c>
      <c r="N51" s="72">
        <v>79.37</v>
      </c>
      <c r="O51" s="74">
        <v>-5.37</v>
      </c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</row>
    <row r="52" spans="1:28" ht="37.5" customHeight="1" thickBot="1" x14ac:dyDescent="0.3">
      <c r="A52" s="112" t="s">
        <v>285</v>
      </c>
      <c r="B52" s="112" t="s">
        <v>286</v>
      </c>
      <c r="C52" s="112">
        <v>2016</v>
      </c>
      <c r="D52" s="112">
        <v>2016</v>
      </c>
      <c r="E52" s="112" t="s">
        <v>287</v>
      </c>
      <c r="F52" s="112" t="s">
        <v>288</v>
      </c>
      <c r="G52" s="112" t="s">
        <v>289</v>
      </c>
      <c r="H52" s="200" t="s">
        <v>286</v>
      </c>
      <c r="I52" s="200"/>
      <c r="J52" s="112" t="s">
        <v>290</v>
      </c>
      <c r="K52" s="112" t="s">
        <v>291</v>
      </c>
      <c r="L52" s="112">
        <v>2016</v>
      </c>
      <c r="M52" s="112">
        <v>2016</v>
      </c>
      <c r="N52" s="112" t="s">
        <v>287</v>
      </c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</row>
    <row r="53" spans="1:28" ht="27" customHeight="1" x14ac:dyDescent="0.25">
      <c r="A53" s="261" t="s">
        <v>372</v>
      </c>
      <c r="B53" s="217" t="s">
        <v>23</v>
      </c>
      <c r="C53" s="219">
        <v>87.27</v>
      </c>
      <c r="D53" s="219">
        <v>92.2</v>
      </c>
      <c r="E53" s="219">
        <v>84.71</v>
      </c>
      <c r="F53" s="206">
        <v>-4.93</v>
      </c>
      <c r="G53" s="206">
        <v>2.56</v>
      </c>
      <c r="H53" s="274" t="s">
        <v>23</v>
      </c>
      <c r="I53" s="275"/>
      <c r="J53" s="70">
        <v>48</v>
      </c>
      <c r="K53" s="71" t="s">
        <v>373</v>
      </c>
      <c r="L53" s="73">
        <v>89.81</v>
      </c>
      <c r="M53" s="73">
        <v>91.49</v>
      </c>
      <c r="N53" s="73">
        <v>87.45</v>
      </c>
      <c r="O53" s="76">
        <v>-1.68</v>
      </c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</row>
    <row r="54" spans="1:28" ht="27" customHeight="1" x14ac:dyDescent="0.25">
      <c r="A54" s="262"/>
      <c r="B54" s="218"/>
      <c r="C54" s="220"/>
      <c r="D54" s="220"/>
      <c r="E54" s="220"/>
      <c r="F54" s="204"/>
      <c r="G54" s="204"/>
      <c r="H54" s="276"/>
      <c r="I54" s="277"/>
      <c r="J54" s="70">
        <v>49</v>
      </c>
      <c r="K54" s="71" t="s">
        <v>374</v>
      </c>
      <c r="L54" s="73">
        <v>88.17</v>
      </c>
      <c r="M54" s="73">
        <v>90.07</v>
      </c>
      <c r="N54" s="72">
        <v>85.47</v>
      </c>
      <c r="O54" s="76">
        <v>-1.9</v>
      </c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</row>
    <row r="55" spans="1:28" ht="27" customHeight="1" x14ac:dyDescent="0.25">
      <c r="A55" s="262"/>
      <c r="B55" s="218"/>
      <c r="C55" s="221"/>
      <c r="D55" s="221"/>
      <c r="E55" s="221"/>
      <c r="F55" s="207"/>
      <c r="G55" s="207"/>
      <c r="H55" s="278"/>
      <c r="I55" s="279"/>
      <c r="J55" s="70">
        <v>50</v>
      </c>
      <c r="K55" s="71" t="s">
        <v>375</v>
      </c>
      <c r="L55" s="72">
        <v>83.84</v>
      </c>
      <c r="M55" s="73">
        <v>95.04</v>
      </c>
      <c r="N55" s="72">
        <v>81.22</v>
      </c>
      <c r="O55" s="74">
        <v>-11.2</v>
      </c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</row>
    <row r="56" spans="1:28" ht="27" customHeight="1" x14ac:dyDescent="0.25">
      <c r="A56" s="262"/>
      <c r="B56" s="218" t="s">
        <v>24</v>
      </c>
      <c r="C56" s="224">
        <v>88.28</v>
      </c>
      <c r="D56" s="224">
        <v>93.8</v>
      </c>
      <c r="E56" s="224">
        <v>86.6</v>
      </c>
      <c r="F56" s="203">
        <v>-5.52</v>
      </c>
      <c r="G56" s="203">
        <v>1.68</v>
      </c>
      <c r="H56" s="258" t="s">
        <v>24</v>
      </c>
      <c r="I56" s="280" t="s">
        <v>376</v>
      </c>
      <c r="J56" s="70">
        <v>51</v>
      </c>
      <c r="K56" s="71" t="s">
        <v>377</v>
      </c>
      <c r="L56" s="73">
        <v>90.49</v>
      </c>
      <c r="M56" s="73">
        <v>97.24</v>
      </c>
      <c r="N56" s="73">
        <v>89.51</v>
      </c>
      <c r="O56" s="74">
        <v>-6.75</v>
      </c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</row>
    <row r="57" spans="1:28" ht="27" customHeight="1" x14ac:dyDescent="0.25">
      <c r="A57" s="262"/>
      <c r="B57" s="218"/>
      <c r="C57" s="220"/>
      <c r="D57" s="220"/>
      <c r="E57" s="220"/>
      <c r="F57" s="204"/>
      <c r="G57" s="204"/>
      <c r="H57" s="259"/>
      <c r="I57" s="281"/>
      <c r="J57" s="70">
        <v>52</v>
      </c>
      <c r="K57" s="71" t="s">
        <v>378</v>
      </c>
      <c r="L57" s="72">
        <v>84.02</v>
      </c>
      <c r="M57" s="73">
        <v>92.2</v>
      </c>
      <c r="N57" s="72">
        <v>82.63</v>
      </c>
      <c r="O57" s="74">
        <v>-8.18</v>
      </c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</row>
    <row r="58" spans="1:28" ht="27" customHeight="1" x14ac:dyDescent="0.25">
      <c r="A58" s="262"/>
      <c r="B58" s="218"/>
      <c r="C58" s="220"/>
      <c r="D58" s="220"/>
      <c r="E58" s="220"/>
      <c r="F58" s="204"/>
      <c r="G58" s="204"/>
      <c r="H58" s="259"/>
      <c r="I58" s="282" t="s">
        <v>379</v>
      </c>
      <c r="J58" s="70">
        <v>53</v>
      </c>
      <c r="K58" s="71" t="s">
        <v>380</v>
      </c>
      <c r="L58" s="73">
        <v>93.54</v>
      </c>
      <c r="M58" s="73">
        <v>95.74</v>
      </c>
      <c r="N58" s="73">
        <v>91.37</v>
      </c>
      <c r="O58" s="76">
        <v>-2.2000000000000002</v>
      </c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</row>
    <row r="59" spans="1:28" ht="27" customHeight="1" x14ac:dyDescent="0.25">
      <c r="A59" s="262"/>
      <c r="B59" s="218"/>
      <c r="C59" s="221"/>
      <c r="D59" s="221"/>
      <c r="E59" s="221"/>
      <c r="F59" s="207"/>
      <c r="G59" s="207"/>
      <c r="H59" s="260"/>
      <c r="I59" s="281"/>
      <c r="J59" s="70">
        <v>54</v>
      </c>
      <c r="K59" s="71" t="s">
        <v>381</v>
      </c>
      <c r="L59" s="72">
        <v>85.06</v>
      </c>
      <c r="M59" s="73">
        <v>90</v>
      </c>
      <c r="N59" s="72">
        <v>82.91</v>
      </c>
      <c r="O59" s="76">
        <v>-4.9400000000000004</v>
      </c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</row>
    <row r="60" spans="1:28" ht="27" customHeight="1" x14ac:dyDescent="0.25">
      <c r="A60" s="262"/>
      <c r="B60" s="218" t="s">
        <v>25</v>
      </c>
      <c r="C60" s="224">
        <v>82.3</v>
      </c>
      <c r="D60" s="224">
        <v>91.3</v>
      </c>
      <c r="E60" s="224">
        <v>78.11</v>
      </c>
      <c r="F60" s="203">
        <v>-9</v>
      </c>
      <c r="G60" s="203">
        <v>4.1900000000000004</v>
      </c>
      <c r="H60" s="276" t="s">
        <v>25</v>
      </c>
      <c r="I60" s="277"/>
      <c r="J60" s="70">
        <v>55</v>
      </c>
      <c r="K60" s="71" t="s">
        <v>382</v>
      </c>
      <c r="L60" s="72">
        <v>81.8</v>
      </c>
      <c r="M60" s="73">
        <v>90.07</v>
      </c>
      <c r="N60" s="72">
        <v>77.45</v>
      </c>
      <c r="O60" s="74">
        <v>-8.27</v>
      </c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</row>
    <row r="61" spans="1:28" ht="27" customHeight="1" x14ac:dyDescent="0.25">
      <c r="A61" s="262"/>
      <c r="B61" s="218"/>
      <c r="C61" s="220"/>
      <c r="D61" s="220"/>
      <c r="E61" s="220"/>
      <c r="F61" s="204"/>
      <c r="G61" s="204"/>
      <c r="H61" s="276"/>
      <c r="I61" s="277"/>
      <c r="J61" s="70">
        <v>56</v>
      </c>
      <c r="K61" s="71" t="s">
        <v>383</v>
      </c>
      <c r="L61" s="72">
        <v>81.81</v>
      </c>
      <c r="M61" s="73">
        <v>88.65</v>
      </c>
      <c r="N61" s="72">
        <v>75.42</v>
      </c>
      <c r="O61" s="74">
        <v>-6.84</v>
      </c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</row>
    <row r="62" spans="1:28" ht="27" customHeight="1" x14ac:dyDescent="0.25">
      <c r="A62" s="262"/>
      <c r="B62" s="218"/>
      <c r="C62" s="221"/>
      <c r="D62" s="221"/>
      <c r="E62" s="221"/>
      <c r="F62" s="207"/>
      <c r="G62" s="207"/>
      <c r="H62" s="278"/>
      <c r="I62" s="279"/>
      <c r="J62" s="70">
        <v>57</v>
      </c>
      <c r="K62" s="71" t="s">
        <v>384</v>
      </c>
      <c r="L62" s="72">
        <v>83.31</v>
      </c>
      <c r="M62" s="73">
        <v>95.17</v>
      </c>
      <c r="N62" s="72">
        <v>81.459999999999994</v>
      </c>
      <c r="O62" s="74">
        <v>-11.86</v>
      </c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</row>
    <row r="63" spans="1:28" ht="15.75" customHeight="1" thickBot="1" x14ac:dyDescent="0.3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</row>
    <row r="64" spans="1:28" ht="35.25" customHeight="1" thickBot="1" x14ac:dyDescent="0.3">
      <c r="A64" s="37"/>
      <c r="B64" s="37"/>
      <c r="C64" s="37"/>
      <c r="D64" s="37"/>
      <c r="E64" s="37"/>
      <c r="F64" s="37"/>
      <c r="G64" s="37"/>
      <c r="H64" s="37"/>
      <c r="I64" s="283" t="s">
        <v>385</v>
      </c>
      <c r="J64" s="112" t="s">
        <v>290</v>
      </c>
      <c r="K64" s="112" t="s">
        <v>291</v>
      </c>
      <c r="L64" s="112">
        <v>2016</v>
      </c>
      <c r="M64" s="112">
        <v>2016</v>
      </c>
      <c r="N64" s="112" t="s">
        <v>287</v>
      </c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</row>
    <row r="65" spans="1:28" ht="27" customHeight="1" x14ac:dyDescent="0.25">
      <c r="A65" s="37"/>
      <c r="B65" s="37"/>
      <c r="C65" s="37"/>
      <c r="D65" s="37"/>
      <c r="E65" s="37"/>
      <c r="F65" s="37"/>
      <c r="G65" s="37"/>
      <c r="H65" s="37"/>
      <c r="I65" s="283"/>
      <c r="J65" s="70">
        <v>58</v>
      </c>
      <c r="K65" s="71" t="s">
        <v>153</v>
      </c>
      <c r="L65" s="72">
        <v>84.08</v>
      </c>
      <c r="M65" s="73">
        <v>89.36</v>
      </c>
      <c r="N65" s="72">
        <v>81.900000000000006</v>
      </c>
      <c r="O65" s="76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</row>
    <row r="66" spans="1:28" ht="16.5" customHeight="1" x14ac:dyDescent="0.25">
      <c r="A66" s="37"/>
      <c r="B66" s="37"/>
      <c r="C66" s="37"/>
      <c r="D66" s="37"/>
      <c r="E66" s="37"/>
      <c r="F66" s="37"/>
      <c r="G66" s="37"/>
      <c r="H66" s="37"/>
      <c r="I66" s="283"/>
      <c r="J66" s="79"/>
      <c r="K66" s="79" t="s">
        <v>154</v>
      </c>
      <c r="L66" s="80">
        <v>82.91</v>
      </c>
      <c r="M66" s="80">
        <v>87.57</v>
      </c>
      <c r="N66" s="80">
        <v>78.569999999999993</v>
      </c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</row>
    <row r="67" spans="1:28" ht="15" customHeight="1" x14ac:dyDescent="0.25">
      <c r="A67" s="37"/>
      <c r="B67" s="37"/>
      <c r="C67" s="37"/>
      <c r="D67" s="37"/>
      <c r="E67" s="37"/>
      <c r="F67" s="37"/>
      <c r="G67" s="37"/>
      <c r="H67" s="37"/>
      <c r="I67" s="283"/>
      <c r="J67" s="81"/>
      <c r="K67" s="81" t="s">
        <v>164</v>
      </c>
      <c r="L67" s="82">
        <v>81.97</v>
      </c>
      <c r="M67" s="82">
        <v>86.07</v>
      </c>
      <c r="N67" s="82">
        <v>77.040000000000006</v>
      </c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</row>
    <row r="68" spans="1:28" ht="15.75" customHeight="1" thickBot="1" x14ac:dyDescent="0.3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</row>
    <row r="69" spans="1:28" ht="35.25" customHeight="1" thickBot="1" x14ac:dyDescent="0.3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112">
        <v>2016</v>
      </c>
      <c r="M69" s="112">
        <v>2016</v>
      </c>
      <c r="N69" s="112" t="s">
        <v>287</v>
      </c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</row>
    <row r="70" spans="1:28" ht="14.25" customHeight="1" x14ac:dyDescent="0.25">
      <c r="A70" s="37"/>
      <c r="B70" s="37"/>
      <c r="C70" s="37"/>
      <c r="D70" s="37"/>
      <c r="E70" s="37"/>
      <c r="F70" s="37"/>
      <c r="G70" s="37"/>
      <c r="H70" s="37"/>
      <c r="I70" s="284" t="s">
        <v>26</v>
      </c>
      <c r="J70" s="285" t="s">
        <v>147</v>
      </c>
      <c r="K70" s="286"/>
      <c r="L70" s="83">
        <v>85.93</v>
      </c>
      <c r="M70" s="83">
        <v>87.87</v>
      </c>
      <c r="N70" s="83">
        <v>78.73</v>
      </c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</row>
    <row r="71" spans="1:28" ht="14.25" customHeight="1" x14ac:dyDescent="0.25">
      <c r="A71" s="37"/>
      <c r="B71" s="37"/>
      <c r="C71" s="37"/>
      <c r="D71" s="37"/>
      <c r="E71" s="37"/>
      <c r="F71" s="37"/>
      <c r="G71" s="37"/>
      <c r="H71" s="37"/>
      <c r="I71" s="284"/>
      <c r="J71" s="285" t="s">
        <v>149</v>
      </c>
      <c r="K71" s="286"/>
      <c r="L71" s="84">
        <v>81.56</v>
      </c>
      <c r="M71" s="84">
        <v>90.01</v>
      </c>
      <c r="N71" s="84">
        <v>77.39</v>
      </c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</row>
    <row r="72" spans="1:28" ht="14.25" customHeight="1" x14ac:dyDescent="0.25">
      <c r="A72" s="37"/>
      <c r="B72" s="37"/>
      <c r="C72" s="37"/>
      <c r="D72" s="37"/>
      <c r="E72" s="37"/>
      <c r="F72" s="37"/>
      <c r="G72" s="37"/>
      <c r="H72" s="37"/>
      <c r="I72" s="284"/>
      <c r="J72" s="285" t="s">
        <v>150</v>
      </c>
      <c r="K72" s="286"/>
      <c r="L72" s="85">
        <v>77.78</v>
      </c>
      <c r="M72" s="85">
        <v>79.709999999999994</v>
      </c>
      <c r="N72" s="85">
        <v>74.680000000000007</v>
      </c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</row>
    <row r="73" spans="1:28" ht="14.25" customHeight="1" x14ac:dyDescent="0.25">
      <c r="A73" s="37"/>
      <c r="B73" s="37"/>
      <c r="C73" s="37"/>
      <c r="D73" s="37"/>
      <c r="E73" s="37"/>
      <c r="F73" s="37"/>
      <c r="G73" s="37"/>
      <c r="H73" s="37"/>
      <c r="I73" s="284"/>
      <c r="J73" s="285" t="s">
        <v>151</v>
      </c>
      <c r="K73" s="286"/>
      <c r="L73" s="86">
        <v>83.3</v>
      </c>
      <c r="M73" s="86">
        <v>88.39</v>
      </c>
      <c r="N73" s="86">
        <v>79.47</v>
      </c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</row>
    <row r="74" spans="1:28" ht="14.25" customHeight="1" x14ac:dyDescent="0.25">
      <c r="A74" s="37"/>
      <c r="B74" s="37"/>
      <c r="C74" s="37"/>
      <c r="D74" s="37"/>
      <c r="E74" s="37"/>
      <c r="F74" s="37"/>
      <c r="G74" s="37"/>
      <c r="H74" s="37"/>
      <c r="I74" s="284"/>
      <c r="J74" s="285" t="s">
        <v>152</v>
      </c>
      <c r="K74" s="286"/>
      <c r="L74" s="87">
        <v>86.19</v>
      </c>
      <c r="M74" s="87">
        <v>92.57</v>
      </c>
      <c r="N74" s="87">
        <v>83.49</v>
      </c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</row>
    <row r="75" spans="1:28" ht="15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</row>
    <row r="76" spans="1:28" ht="1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</row>
    <row r="77" spans="1:28" ht="24.75" customHeight="1" x14ac:dyDescent="0.25">
      <c r="A77" s="37"/>
      <c r="B77" s="37"/>
      <c r="C77" s="37"/>
      <c r="D77" s="37"/>
      <c r="E77" s="37"/>
      <c r="F77" s="37"/>
      <c r="G77" s="292" t="s">
        <v>130</v>
      </c>
      <c r="H77" s="292"/>
      <c r="I77" s="119" t="s">
        <v>286</v>
      </c>
      <c r="J77" s="119" t="s">
        <v>290</v>
      </c>
      <c r="K77" s="119" t="s">
        <v>291</v>
      </c>
      <c r="L77" s="119">
        <v>2016</v>
      </c>
      <c r="M77" s="119" t="s">
        <v>386</v>
      </c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</row>
    <row r="78" spans="1:28" ht="24.75" customHeight="1" x14ac:dyDescent="0.25">
      <c r="A78" s="37"/>
      <c r="B78" s="37"/>
      <c r="C78" s="37"/>
      <c r="D78" s="37"/>
      <c r="E78" s="37"/>
      <c r="F78" s="120">
        <v>1</v>
      </c>
      <c r="G78" s="288" t="s">
        <v>131</v>
      </c>
      <c r="H78" s="288"/>
      <c r="I78" s="121" t="s">
        <v>357</v>
      </c>
      <c r="J78" s="122">
        <v>36</v>
      </c>
      <c r="K78" s="122" t="s">
        <v>359</v>
      </c>
      <c r="L78" s="123">
        <v>96.52</v>
      </c>
      <c r="M78" s="123">
        <v>13.61</v>
      </c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</row>
    <row r="79" spans="1:28" ht="24.75" customHeight="1" x14ac:dyDescent="0.25">
      <c r="A79" s="37"/>
      <c r="B79" s="37"/>
      <c r="C79" s="37"/>
      <c r="D79" s="37"/>
      <c r="E79" s="37"/>
      <c r="F79" s="120">
        <v>2</v>
      </c>
      <c r="G79" s="288" t="s">
        <v>131</v>
      </c>
      <c r="H79" s="288"/>
      <c r="I79" s="121" t="s">
        <v>357</v>
      </c>
      <c r="J79" s="122">
        <v>37</v>
      </c>
      <c r="K79" s="122" t="s">
        <v>360</v>
      </c>
      <c r="L79" s="123">
        <v>94.97</v>
      </c>
      <c r="M79" s="123">
        <v>12.06</v>
      </c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</row>
    <row r="80" spans="1:28" ht="24.75" customHeight="1" x14ac:dyDescent="0.25">
      <c r="A80" s="37"/>
      <c r="B80" s="37"/>
      <c r="C80" s="37"/>
      <c r="D80" s="37"/>
      <c r="E80" s="37"/>
      <c r="F80" s="120">
        <v>3</v>
      </c>
      <c r="G80" s="293" t="s">
        <v>131</v>
      </c>
      <c r="H80" s="293"/>
      <c r="I80" s="121" t="s">
        <v>357</v>
      </c>
      <c r="J80" s="122">
        <v>38</v>
      </c>
      <c r="K80" s="122" t="s">
        <v>361</v>
      </c>
      <c r="L80" s="123">
        <v>93.83</v>
      </c>
      <c r="M80" s="123">
        <v>10.92</v>
      </c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</row>
    <row r="81" spans="1:28" ht="24.75" customHeight="1" x14ac:dyDescent="0.25">
      <c r="A81" s="37"/>
      <c r="B81" s="37"/>
      <c r="C81" s="37"/>
      <c r="D81" s="37"/>
      <c r="E81" s="37"/>
      <c r="F81" s="120">
        <v>4</v>
      </c>
      <c r="G81" s="290" t="s">
        <v>387</v>
      </c>
      <c r="H81" s="290"/>
      <c r="I81" s="124" t="s">
        <v>379</v>
      </c>
      <c r="J81" s="125">
        <v>53</v>
      </c>
      <c r="K81" s="125" t="s">
        <v>380</v>
      </c>
      <c r="L81" s="126">
        <v>93.54</v>
      </c>
      <c r="M81" s="126">
        <v>10.63</v>
      </c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</row>
    <row r="82" spans="1:28" ht="24.75" customHeight="1" x14ac:dyDescent="0.25">
      <c r="A82" s="37"/>
      <c r="B82" s="37"/>
      <c r="C82" s="37"/>
      <c r="D82" s="37"/>
      <c r="E82" s="37"/>
      <c r="F82" s="120">
        <v>5</v>
      </c>
      <c r="G82" s="291" t="s">
        <v>132</v>
      </c>
      <c r="H82" s="291"/>
      <c r="I82" s="127" t="s">
        <v>326</v>
      </c>
      <c r="J82" s="128">
        <v>14</v>
      </c>
      <c r="K82" s="128" t="s">
        <v>327</v>
      </c>
      <c r="L82" s="129">
        <v>92.33</v>
      </c>
      <c r="M82" s="129">
        <v>9.42</v>
      </c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</row>
    <row r="83" spans="1:28" ht="24.75" customHeight="1" x14ac:dyDescent="0.25">
      <c r="A83" s="37"/>
      <c r="B83" s="37"/>
      <c r="C83" s="37"/>
      <c r="D83" s="37"/>
      <c r="E83" s="37"/>
      <c r="F83" s="120">
        <v>6</v>
      </c>
      <c r="G83" s="289" t="s">
        <v>131</v>
      </c>
      <c r="H83" s="289"/>
      <c r="I83" s="121" t="s">
        <v>351</v>
      </c>
      <c r="J83" s="122">
        <v>31</v>
      </c>
      <c r="K83" s="122" t="s">
        <v>353</v>
      </c>
      <c r="L83" s="123">
        <v>92.08</v>
      </c>
      <c r="M83" s="123">
        <v>9.17</v>
      </c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</row>
    <row r="84" spans="1:28" ht="24.75" customHeight="1" x14ac:dyDescent="0.25">
      <c r="A84" s="37"/>
      <c r="B84" s="37"/>
      <c r="C84" s="37"/>
      <c r="D84" s="37"/>
      <c r="E84" s="37"/>
      <c r="F84" s="120">
        <v>7</v>
      </c>
      <c r="G84" s="297" t="s">
        <v>133</v>
      </c>
      <c r="H84" s="297"/>
      <c r="I84" s="130" t="s">
        <v>338</v>
      </c>
      <c r="J84" s="131">
        <v>21</v>
      </c>
      <c r="K84" s="131" t="s">
        <v>339</v>
      </c>
      <c r="L84" s="132">
        <v>91.17</v>
      </c>
      <c r="M84" s="132">
        <v>8.26</v>
      </c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</row>
    <row r="85" spans="1:28" ht="24.75" customHeight="1" x14ac:dyDescent="0.25">
      <c r="A85" s="37"/>
      <c r="B85" s="37"/>
      <c r="C85" s="37"/>
      <c r="D85" s="37"/>
      <c r="E85" s="37"/>
      <c r="F85" s="120">
        <v>8</v>
      </c>
      <c r="G85" s="298" t="s">
        <v>142</v>
      </c>
      <c r="H85" s="298"/>
      <c r="I85" s="133" t="s">
        <v>21</v>
      </c>
      <c r="J85" s="134">
        <v>42</v>
      </c>
      <c r="K85" s="134" t="s">
        <v>366</v>
      </c>
      <c r="L85" s="135">
        <v>90.85</v>
      </c>
      <c r="M85" s="135">
        <v>7.94</v>
      </c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</row>
    <row r="86" spans="1:28" ht="24.75" customHeight="1" x14ac:dyDescent="0.25">
      <c r="A86" s="37"/>
      <c r="B86" s="37"/>
      <c r="C86" s="37"/>
      <c r="D86" s="37"/>
      <c r="E86" s="37"/>
      <c r="F86" s="120">
        <v>9</v>
      </c>
      <c r="G86" s="299" t="s">
        <v>387</v>
      </c>
      <c r="H86" s="299"/>
      <c r="I86" s="124" t="s">
        <v>376</v>
      </c>
      <c r="J86" s="125">
        <v>51</v>
      </c>
      <c r="K86" s="125" t="s">
        <v>377</v>
      </c>
      <c r="L86" s="126">
        <v>90.49</v>
      </c>
      <c r="M86" s="126">
        <v>7.57</v>
      </c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</row>
    <row r="87" spans="1:28" ht="24.75" customHeight="1" x14ac:dyDescent="0.25">
      <c r="A87" s="37"/>
      <c r="B87" s="37"/>
      <c r="C87" s="37"/>
      <c r="D87" s="37"/>
      <c r="E87" s="37"/>
      <c r="F87" s="120">
        <v>10</v>
      </c>
      <c r="G87" s="300" t="s">
        <v>387</v>
      </c>
      <c r="H87" s="300"/>
      <c r="I87" s="124" t="s">
        <v>23</v>
      </c>
      <c r="J87" s="125">
        <v>48</v>
      </c>
      <c r="K87" s="125" t="s">
        <v>373</v>
      </c>
      <c r="L87" s="126">
        <v>89.81</v>
      </c>
      <c r="M87" s="126">
        <v>6.9</v>
      </c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</row>
    <row r="88" spans="1:28" ht="15" customHeight="1" x14ac:dyDescent="0.25">
      <c r="A88" s="37"/>
      <c r="B88" s="37"/>
      <c r="C88" s="37"/>
      <c r="D88" s="37"/>
      <c r="E88" s="37"/>
      <c r="F88" s="37"/>
      <c r="G88" s="136"/>
      <c r="H88" s="136"/>
      <c r="I88" s="136"/>
      <c r="J88" s="136"/>
      <c r="K88" s="136"/>
      <c r="L88" s="136"/>
      <c r="M88" s="136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</row>
    <row r="89" spans="1:28" ht="24.75" customHeight="1" x14ac:dyDescent="0.25">
      <c r="A89" s="37"/>
      <c r="B89" s="37"/>
      <c r="C89" s="37"/>
      <c r="D89" s="37"/>
      <c r="E89" s="37"/>
      <c r="F89" s="37"/>
      <c r="G89" s="292" t="s">
        <v>130</v>
      </c>
      <c r="H89" s="292"/>
      <c r="I89" s="119" t="s">
        <v>286</v>
      </c>
      <c r="J89" s="119" t="s">
        <v>290</v>
      </c>
      <c r="K89" s="119" t="s">
        <v>291</v>
      </c>
      <c r="L89" s="119">
        <v>2016</v>
      </c>
      <c r="M89" s="119" t="s">
        <v>386</v>
      </c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</row>
    <row r="90" spans="1:28" ht="24.75" customHeight="1" x14ac:dyDescent="0.25">
      <c r="A90" s="37"/>
      <c r="B90" s="37"/>
      <c r="C90" s="37"/>
      <c r="D90" s="37"/>
      <c r="E90" s="37"/>
      <c r="F90" s="120">
        <v>1</v>
      </c>
      <c r="G90" s="288" t="s">
        <v>131</v>
      </c>
      <c r="H90" s="288"/>
      <c r="I90" s="121" t="s">
        <v>348</v>
      </c>
      <c r="J90" s="122">
        <v>29</v>
      </c>
      <c r="K90" s="122" t="s">
        <v>350</v>
      </c>
      <c r="L90" s="123">
        <v>45.85</v>
      </c>
      <c r="M90" s="123">
        <v>-37.06</v>
      </c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</row>
    <row r="91" spans="1:28" ht="24.75" customHeight="1" x14ac:dyDescent="0.25">
      <c r="A91" s="37"/>
      <c r="B91" s="37"/>
      <c r="C91" s="37"/>
      <c r="D91" s="37"/>
      <c r="E91" s="37"/>
      <c r="F91" s="120">
        <v>2</v>
      </c>
      <c r="G91" s="288" t="s">
        <v>131</v>
      </c>
      <c r="H91" s="288"/>
      <c r="I91" s="121" t="s">
        <v>18</v>
      </c>
      <c r="J91" s="122">
        <v>32</v>
      </c>
      <c r="K91" s="122" t="s">
        <v>354</v>
      </c>
      <c r="L91" s="123">
        <v>58.81</v>
      </c>
      <c r="M91" s="123">
        <v>-24.11</v>
      </c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</row>
    <row r="92" spans="1:28" ht="24.75" customHeight="1" x14ac:dyDescent="0.25">
      <c r="A92" s="37"/>
      <c r="B92" s="37"/>
      <c r="C92" s="37"/>
      <c r="D92" s="37"/>
      <c r="E92" s="37"/>
      <c r="F92" s="120">
        <v>3</v>
      </c>
      <c r="G92" s="289" t="s">
        <v>131</v>
      </c>
      <c r="H92" s="289"/>
      <c r="I92" s="121" t="s">
        <v>348</v>
      </c>
      <c r="J92" s="122">
        <v>28</v>
      </c>
      <c r="K92" s="122" t="s">
        <v>349</v>
      </c>
      <c r="L92" s="123">
        <v>63.94</v>
      </c>
      <c r="M92" s="123">
        <v>-18.97</v>
      </c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</row>
    <row r="93" spans="1:28" ht="24.75" customHeight="1" x14ac:dyDescent="0.25">
      <c r="A93" s="37"/>
      <c r="B93" s="37"/>
      <c r="C93" s="37"/>
      <c r="D93" s="37"/>
      <c r="E93" s="37"/>
      <c r="F93" s="120">
        <v>4</v>
      </c>
      <c r="G93" s="287" t="s">
        <v>133</v>
      </c>
      <c r="H93" s="287"/>
      <c r="I93" s="130" t="s">
        <v>338</v>
      </c>
      <c r="J93" s="131">
        <v>22</v>
      </c>
      <c r="K93" s="131" t="s">
        <v>340</v>
      </c>
      <c r="L93" s="132">
        <v>69.52</v>
      </c>
      <c r="M93" s="132">
        <v>-13.39</v>
      </c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</row>
    <row r="94" spans="1:28" ht="24.75" customHeight="1" x14ac:dyDescent="0.25">
      <c r="A94" s="37"/>
      <c r="B94" s="37"/>
      <c r="C94" s="37"/>
      <c r="D94" s="37"/>
      <c r="E94" s="37"/>
      <c r="F94" s="120">
        <v>5</v>
      </c>
      <c r="G94" s="288" t="s">
        <v>131</v>
      </c>
      <c r="H94" s="288"/>
      <c r="I94" s="121" t="s">
        <v>18</v>
      </c>
      <c r="J94" s="122">
        <v>34</v>
      </c>
      <c r="K94" s="122" t="s">
        <v>356</v>
      </c>
      <c r="L94" s="123">
        <v>71.930000000000007</v>
      </c>
      <c r="M94" s="123">
        <v>-10.99</v>
      </c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</row>
    <row r="95" spans="1:28" ht="24.75" customHeight="1" x14ac:dyDescent="0.25">
      <c r="A95" s="37"/>
      <c r="B95" s="37"/>
      <c r="C95" s="37"/>
      <c r="D95" s="37"/>
      <c r="E95" s="37"/>
      <c r="F95" s="120">
        <v>6</v>
      </c>
      <c r="G95" s="288" t="s">
        <v>131</v>
      </c>
      <c r="H95" s="288"/>
      <c r="I95" s="121" t="s">
        <v>351</v>
      </c>
      <c r="J95" s="122">
        <v>30</v>
      </c>
      <c r="K95" s="122" t="s">
        <v>352</v>
      </c>
      <c r="L95" s="123">
        <v>72.17</v>
      </c>
      <c r="M95" s="123">
        <v>-10.74</v>
      </c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</row>
    <row r="96" spans="1:28" ht="24.75" customHeight="1" x14ac:dyDescent="0.25">
      <c r="A96" s="37"/>
      <c r="B96" s="37"/>
      <c r="C96" s="37"/>
      <c r="D96" s="37"/>
      <c r="E96" s="37"/>
      <c r="F96" s="120">
        <v>7</v>
      </c>
      <c r="G96" s="289" t="s">
        <v>131</v>
      </c>
      <c r="H96" s="289"/>
      <c r="I96" s="121" t="s">
        <v>18</v>
      </c>
      <c r="J96" s="122">
        <v>33</v>
      </c>
      <c r="K96" s="122" t="s">
        <v>355</v>
      </c>
      <c r="L96" s="123">
        <v>73.19</v>
      </c>
      <c r="M96" s="123">
        <v>-9.7200000000000006</v>
      </c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</row>
    <row r="97" spans="1:28" ht="24.75" customHeight="1" x14ac:dyDescent="0.25">
      <c r="A97" s="37"/>
      <c r="B97" s="37"/>
      <c r="C97" s="37"/>
      <c r="D97" s="37"/>
      <c r="E97" s="37"/>
      <c r="F97" s="120">
        <v>8</v>
      </c>
      <c r="G97" s="294" t="s">
        <v>133</v>
      </c>
      <c r="H97" s="294"/>
      <c r="I97" s="130" t="s">
        <v>342</v>
      </c>
      <c r="J97" s="131">
        <v>25</v>
      </c>
      <c r="K97" s="131" t="s">
        <v>344</v>
      </c>
      <c r="L97" s="132">
        <v>75.88</v>
      </c>
      <c r="M97" s="132">
        <v>-7.03</v>
      </c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</row>
    <row r="98" spans="1:28" ht="24.75" customHeight="1" x14ac:dyDescent="0.25">
      <c r="A98" s="37"/>
      <c r="B98" s="37"/>
      <c r="C98" s="37"/>
      <c r="D98" s="37"/>
      <c r="E98" s="37"/>
      <c r="F98" s="120">
        <v>9</v>
      </c>
      <c r="G98" s="295" t="s">
        <v>132</v>
      </c>
      <c r="H98" s="295"/>
      <c r="I98" s="127" t="s">
        <v>311</v>
      </c>
      <c r="J98" s="128">
        <v>7</v>
      </c>
      <c r="K98" s="128" t="s">
        <v>316</v>
      </c>
      <c r="L98" s="129">
        <v>76.25</v>
      </c>
      <c r="M98" s="129">
        <v>-6.66</v>
      </c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</row>
    <row r="99" spans="1:28" ht="24.75" customHeight="1" x14ac:dyDescent="0.25">
      <c r="A99" s="37"/>
      <c r="B99" s="37"/>
      <c r="C99" s="37"/>
      <c r="D99" s="37"/>
      <c r="E99" s="37"/>
      <c r="F99" s="120">
        <v>10</v>
      </c>
      <c r="G99" s="296" t="s">
        <v>142</v>
      </c>
      <c r="H99" s="296"/>
      <c r="I99" s="133" t="s">
        <v>21</v>
      </c>
      <c r="J99" s="134">
        <v>43</v>
      </c>
      <c r="K99" s="134" t="s">
        <v>367</v>
      </c>
      <c r="L99" s="135">
        <v>77.12</v>
      </c>
      <c r="M99" s="135">
        <v>-5.79</v>
      </c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</row>
    <row r="100" spans="1:28" ht="15" customHeight="1" x14ac:dyDescent="0.25">
      <c r="A100" s="37"/>
      <c r="B100" s="37"/>
      <c r="C100" s="37"/>
      <c r="D100" s="37"/>
      <c r="E100" s="37"/>
      <c r="F100" s="37"/>
      <c r="G100" s="136"/>
      <c r="H100" s="136"/>
      <c r="I100" s="136"/>
      <c r="J100" s="136"/>
      <c r="K100" s="136"/>
      <c r="L100" s="136"/>
      <c r="M100" s="136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</row>
    <row r="101" spans="1:28" ht="15" customHeight="1" x14ac:dyDescent="0.25"/>
    <row r="102" spans="1:28" ht="15" customHeight="1" x14ac:dyDescent="0.25"/>
    <row r="103" spans="1:28" ht="15" customHeight="1" x14ac:dyDescent="0.25"/>
    <row r="104" spans="1:28" ht="15" customHeight="1" x14ac:dyDescent="0.25"/>
    <row r="105" spans="1:28" ht="15" customHeight="1" x14ac:dyDescent="0.25"/>
    <row r="106" spans="1:28" ht="15" customHeight="1" x14ac:dyDescent="0.25"/>
    <row r="107" spans="1:28" ht="15" customHeight="1" x14ac:dyDescent="0.25"/>
  </sheetData>
  <mergeCells count="159">
    <mergeCell ref="G97:H97"/>
    <mergeCell ref="G98:H98"/>
    <mergeCell ref="G99:H99"/>
    <mergeCell ref="G83:H83"/>
    <mergeCell ref="G84:H84"/>
    <mergeCell ref="G85:H85"/>
    <mergeCell ref="G86:H86"/>
    <mergeCell ref="G87:H87"/>
    <mergeCell ref="G89:H89"/>
    <mergeCell ref="G90:H90"/>
    <mergeCell ref="G91:H91"/>
    <mergeCell ref="G92:H92"/>
    <mergeCell ref="J70:K70"/>
    <mergeCell ref="J71:K71"/>
    <mergeCell ref="J72:K72"/>
    <mergeCell ref="J73:K73"/>
    <mergeCell ref="J74:K74"/>
    <mergeCell ref="G93:H93"/>
    <mergeCell ref="G94:H94"/>
    <mergeCell ref="G95:H95"/>
    <mergeCell ref="G96:H96"/>
    <mergeCell ref="G81:H81"/>
    <mergeCell ref="G82:H82"/>
    <mergeCell ref="G77:H77"/>
    <mergeCell ref="G78:H78"/>
    <mergeCell ref="G79:H79"/>
    <mergeCell ref="G80:H80"/>
    <mergeCell ref="H46:I47"/>
    <mergeCell ref="H48:I51"/>
    <mergeCell ref="H52:I52"/>
    <mergeCell ref="H53:I55"/>
    <mergeCell ref="I56:I57"/>
    <mergeCell ref="I58:I59"/>
    <mergeCell ref="H60:I62"/>
    <mergeCell ref="I64:I67"/>
    <mergeCell ref="I70:I74"/>
    <mergeCell ref="I4:I5"/>
    <mergeCell ref="I6:I8"/>
    <mergeCell ref="I9:I10"/>
    <mergeCell ref="I12:I14"/>
    <mergeCell ref="H16:I16"/>
    <mergeCell ref="I17:I18"/>
    <mergeCell ref="I19:I20"/>
    <mergeCell ref="I23:I25"/>
    <mergeCell ref="I26:I29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H30:I30"/>
    <mergeCell ref="I31:I32"/>
    <mergeCell ref="I33:I34"/>
    <mergeCell ref="H35:I37"/>
    <mergeCell ref="I38:I41"/>
    <mergeCell ref="H43:I43"/>
    <mergeCell ref="H44:I45"/>
    <mergeCell ref="F23:F29"/>
    <mergeCell ref="G23:G29"/>
    <mergeCell ref="F21:F22"/>
    <mergeCell ref="G21:G2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B17:B20"/>
    <mergeCell ref="C17:C20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H1:I1"/>
    <mergeCell ref="I2:I3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J26"/>
  <sheetViews>
    <sheetView topLeftCell="D10" workbookViewId="0">
      <selection activeCell="C3" sqref="C3"/>
    </sheetView>
  </sheetViews>
  <sheetFormatPr baseColWidth="10" defaultRowHeight="15" x14ac:dyDescent="0.2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139" t="s">
        <v>483</v>
      </c>
      <c r="C2" s="139">
        <v>2016</v>
      </c>
    </row>
    <row r="3" spans="2:10" ht="18.75" customHeight="1" x14ac:dyDescent="0.25">
      <c r="B3" s="146" t="s">
        <v>484</v>
      </c>
      <c r="C3" s="146">
        <v>2017</v>
      </c>
    </row>
    <row r="5" spans="2:10" ht="18.75" customHeight="1" x14ac:dyDescent="0.25">
      <c r="B5" s="301" t="s">
        <v>155</v>
      </c>
      <c r="C5" s="301"/>
      <c r="D5" s="301"/>
      <c r="E5" s="301"/>
      <c r="F5" s="301"/>
      <c r="G5" s="301"/>
      <c r="H5" s="301"/>
      <c r="I5" s="301"/>
      <c r="J5" s="301"/>
    </row>
    <row r="6" spans="2:10" ht="20.100000000000001" customHeight="1" x14ac:dyDescent="0.25">
      <c r="B6" s="142" t="s">
        <v>29</v>
      </c>
      <c r="C6" s="142" t="s">
        <v>156</v>
      </c>
      <c r="D6" s="142" t="s">
        <v>157</v>
      </c>
      <c r="E6" s="142" t="s">
        <v>158</v>
      </c>
      <c r="F6" s="142" t="s">
        <v>159</v>
      </c>
      <c r="G6" s="142" t="s">
        <v>160</v>
      </c>
      <c r="H6" s="142" t="s">
        <v>161</v>
      </c>
      <c r="I6" s="142" t="s">
        <v>162</v>
      </c>
      <c r="J6" s="142" t="s">
        <v>163</v>
      </c>
    </row>
    <row r="7" spans="2:10" x14ac:dyDescent="0.25">
      <c r="B7" s="141" t="s">
        <v>441</v>
      </c>
      <c r="C7" s="141" t="s">
        <v>144</v>
      </c>
      <c r="D7" s="141" t="s">
        <v>143</v>
      </c>
      <c r="E7" s="141" t="s">
        <v>442</v>
      </c>
      <c r="F7" s="141" t="s">
        <v>443</v>
      </c>
      <c r="G7" s="141" t="s">
        <v>444</v>
      </c>
      <c r="H7" s="141" t="s">
        <v>445</v>
      </c>
      <c r="I7" s="141">
        <v>1</v>
      </c>
      <c r="J7" s="145"/>
    </row>
    <row r="8" spans="2:10" x14ac:dyDescent="0.25">
      <c r="B8" s="141" t="s">
        <v>446</v>
      </c>
      <c r="C8" s="141" t="s">
        <v>144</v>
      </c>
      <c r="D8" s="141" t="s">
        <v>143</v>
      </c>
      <c r="E8" s="141" t="s">
        <v>442</v>
      </c>
      <c r="F8" s="141" t="s">
        <v>443</v>
      </c>
      <c r="G8" s="141"/>
      <c r="H8" s="141"/>
      <c r="I8" s="141">
        <v>1</v>
      </c>
      <c r="J8" s="145"/>
    </row>
    <row r="9" spans="2:10" x14ac:dyDescent="0.25">
      <c r="B9" s="141" t="s">
        <v>98</v>
      </c>
      <c r="C9" s="141" t="s">
        <v>27</v>
      </c>
      <c r="D9" s="141" t="s">
        <v>143</v>
      </c>
      <c r="E9" s="141" t="s">
        <v>447</v>
      </c>
      <c r="F9" s="141" t="s">
        <v>448</v>
      </c>
      <c r="G9" s="141" t="s">
        <v>449</v>
      </c>
      <c r="H9" s="141" t="s">
        <v>450</v>
      </c>
      <c r="I9" s="141">
        <v>1</v>
      </c>
      <c r="J9" s="145"/>
    </row>
    <row r="10" spans="2:10" x14ac:dyDescent="0.25">
      <c r="B10" s="141" t="s">
        <v>99</v>
      </c>
      <c r="C10" s="141" t="s">
        <v>27</v>
      </c>
      <c r="D10" s="141" t="s">
        <v>143</v>
      </c>
      <c r="E10" s="141" t="s">
        <v>447</v>
      </c>
      <c r="F10" s="141" t="s">
        <v>448</v>
      </c>
      <c r="G10" s="141"/>
      <c r="H10" s="141"/>
      <c r="I10" s="141">
        <v>1</v>
      </c>
      <c r="J10" s="145"/>
    </row>
    <row r="11" spans="2:10" x14ac:dyDescent="0.25">
      <c r="B11" s="141" t="s">
        <v>100</v>
      </c>
      <c r="C11" s="141" t="s">
        <v>28</v>
      </c>
      <c r="D11" s="141" t="s">
        <v>143</v>
      </c>
      <c r="E11" s="141" t="s">
        <v>165</v>
      </c>
      <c r="F11" s="141" t="s">
        <v>185</v>
      </c>
      <c r="G11" s="141" t="s">
        <v>451</v>
      </c>
      <c r="H11" s="141" t="s">
        <v>452</v>
      </c>
      <c r="I11" s="141">
        <v>1</v>
      </c>
      <c r="J11" s="145"/>
    </row>
    <row r="12" spans="2:10" x14ac:dyDescent="0.25">
      <c r="B12" s="141" t="s">
        <v>101</v>
      </c>
      <c r="C12" s="141" t="s">
        <v>28</v>
      </c>
      <c r="D12" s="141" t="s">
        <v>143</v>
      </c>
      <c r="E12" s="141" t="s">
        <v>165</v>
      </c>
      <c r="F12" s="141" t="s">
        <v>185</v>
      </c>
      <c r="G12" s="141"/>
      <c r="H12" s="141"/>
      <c r="I12" s="141">
        <v>1</v>
      </c>
      <c r="J12" s="145"/>
    </row>
    <row r="13" spans="2:10" x14ac:dyDescent="0.25">
      <c r="B13" s="141" t="s">
        <v>102</v>
      </c>
      <c r="C13" s="141" t="s">
        <v>114</v>
      </c>
      <c r="D13" s="141" t="s">
        <v>143</v>
      </c>
      <c r="E13" s="141" t="s">
        <v>453</v>
      </c>
      <c r="F13" s="141" t="s">
        <v>454</v>
      </c>
      <c r="G13" s="141" t="s">
        <v>455</v>
      </c>
      <c r="H13" s="141" t="s">
        <v>456</v>
      </c>
      <c r="I13" s="141">
        <v>1</v>
      </c>
      <c r="J13" s="145"/>
    </row>
    <row r="14" spans="2:10" x14ac:dyDescent="0.25">
      <c r="B14" s="141" t="s">
        <v>103</v>
      </c>
      <c r="C14" s="141" t="s">
        <v>114</v>
      </c>
      <c r="D14" s="141" t="s">
        <v>143</v>
      </c>
      <c r="E14" s="141" t="s">
        <v>453</v>
      </c>
      <c r="F14" s="141" t="s">
        <v>454</v>
      </c>
      <c r="G14" s="141"/>
      <c r="H14" s="141"/>
      <c r="I14" s="141">
        <v>1</v>
      </c>
      <c r="J14" s="145"/>
    </row>
    <row r="15" spans="2:10" x14ac:dyDescent="0.25">
      <c r="B15" s="141" t="s">
        <v>104</v>
      </c>
      <c r="C15" s="141" t="s">
        <v>174</v>
      </c>
      <c r="D15" s="141" t="s">
        <v>143</v>
      </c>
      <c r="E15" s="141" t="s">
        <v>457</v>
      </c>
      <c r="F15" s="141" t="s">
        <v>458</v>
      </c>
      <c r="G15" s="141" t="s">
        <v>459</v>
      </c>
      <c r="H15" s="141" t="s">
        <v>460</v>
      </c>
      <c r="I15" s="141">
        <v>2</v>
      </c>
      <c r="J15" s="145"/>
    </row>
    <row r="16" spans="2:10" x14ac:dyDescent="0.25">
      <c r="B16" s="141" t="s">
        <v>461</v>
      </c>
      <c r="C16" s="141" t="s">
        <v>174</v>
      </c>
      <c r="D16" s="141" t="s">
        <v>143</v>
      </c>
      <c r="E16" s="141" t="s">
        <v>457</v>
      </c>
      <c r="F16" s="141" t="s">
        <v>458</v>
      </c>
      <c r="G16" s="141"/>
      <c r="H16" s="141"/>
      <c r="I16" s="141">
        <v>1</v>
      </c>
      <c r="J16" s="145"/>
    </row>
    <row r="17" spans="2:10" x14ac:dyDescent="0.25">
      <c r="B17" s="141" t="s">
        <v>105</v>
      </c>
      <c r="C17" s="141" t="s">
        <v>115</v>
      </c>
      <c r="D17" s="141" t="s">
        <v>143</v>
      </c>
      <c r="E17" s="141" t="s">
        <v>462</v>
      </c>
      <c r="F17" s="141" t="s">
        <v>463</v>
      </c>
      <c r="G17" s="141" t="s">
        <v>464</v>
      </c>
      <c r="H17" s="141" t="s">
        <v>465</v>
      </c>
      <c r="I17" s="141">
        <v>1</v>
      </c>
      <c r="J17" s="145"/>
    </row>
    <row r="18" spans="2:10" x14ac:dyDescent="0.25">
      <c r="B18" s="141" t="s">
        <v>106</v>
      </c>
      <c r="C18" s="141" t="s">
        <v>115</v>
      </c>
      <c r="D18" s="141" t="s">
        <v>143</v>
      </c>
      <c r="E18" s="141" t="s">
        <v>462</v>
      </c>
      <c r="F18" s="141" t="s">
        <v>463</v>
      </c>
      <c r="G18" s="141"/>
      <c r="H18" s="141"/>
      <c r="I18" s="141">
        <v>1</v>
      </c>
      <c r="J18" s="145"/>
    </row>
    <row r="19" spans="2:10" x14ac:dyDescent="0.25">
      <c r="B19" s="141" t="s">
        <v>107</v>
      </c>
      <c r="C19" s="141" t="s">
        <v>175</v>
      </c>
      <c r="D19" s="141" t="s">
        <v>143</v>
      </c>
      <c r="E19" s="141" t="s">
        <v>466</v>
      </c>
      <c r="F19" s="141" t="s">
        <v>467</v>
      </c>
      <c r="G19" s="141" t="s">
        <v>468</v>
      </c>
      <c r="H19" s="141" t="s">
        <v>469</v>
      </c>
      <c r="I19" s="141">
        <v>3</v>
      </c>
      <c r="J19" s="145"/>
    </row>
    <row r="20" spans="2:10" x14ac:dyDescent="0.25">
      <c r="B20" s="141" t="s">
        <v>470</v>
      </c>
      <c r="C20" s="141" t="s">
        <v>175</v>
      </c>
      <c r="D20" s="141" t="s">
        <v>143</v>
      </c>
      <c r="E20" s="141" t="s">
        <v>466</v>
      </c>
      <c r="F20" s="141" t="s">
        <v>467</v>
      </c>
      <c r="G20" s="141"/>
      <c r="H20" s="141"/>
      <c r="I20" s="141">
        <v>1</v>
      </c>
      <c r="J20" s="145"/>
    </row>
    <row r="21" spans="2:10" x14ac:dyDescent="0.25">
      <c r="B21" s="141" t="s">
        <v>108</v>
      </c>
      <c r="C21" s="141" t="s">
        <v>116</v>
      </c>
      <c r="D21" s="141" t="s">
        <v>143</v>
      </c>
      <c r="E21" s="141" t="s">
        <v>471</v>
      </c>
      <c r="F21" s="141" t="s">
        <v>472</v>
      </c>
      <c r="G21" s="141" t="s">
        <v>473</v>
      </c>
      <c r="H21" s="141" t="s">
        <v>474</v>
      </c>
      <c r="I21" s="141">
        <v>1</v>
      </c>
      <c r="J21" s="145"/>
    </row>
    <row r="22" spans="2:10" x14ac:dyDescent="0.25">
      <c r="B22" s="141" t="s">
        <v>109</v>
      </c>
      <c r="C22" s="141" t="s">
        <v>116</v>
      </c>
      <c r="D22" s="141" t="s">
        <v>143</v>
      </c>
      <c r="E22" s="141" t="s">
        <v>471</v>
      </c>
      <c r="F22" s="141" t="s">
        <v>472</v>
      </c>
      <c r="G22" s="141"/>
      <c r="H22" s="141"/>
      <c r="I22" s="141">
        <v>1</v>
      </c>
      <c r="J22" s="145"/>
    </row>
    <row r="23" spans="2:10" x14ac:dyDescent="0.25">
      <c r="B23" s="141" t="s">
        <v>110</v>
      </c>
      <c r="C23" s="141" t="s">
        <v>97</v>
      </c>
      <c r="D23" s="141" t="s">
        <v>143</v>
      </c>
      <c r="E23" s="141" t="s">
        <v>475</v>
      </c>
      <c r="F23" s="141" t="s">
        <v>476</v>
      </c>
      <c r="G23" s="141" t="s">
        <v>477</v>
      </c>
      <c r="H23" s="141" t="s">
        <v>478</v>
      </c>
      <c r="I23" s="141">
        <v>4</v>
      </c>
      <c r="J23" s="145"/>
    </row>
    <row r="24" spans="2:10" x14ac:dyDescent="0.25">
      <c r="B24" s="141" t="s">
        <v>111</v>
      </c>
      <c r="C24" s="141" t="s">
        <v>97</v>
      </c>
      <c r="D24" s="141" t="s">
        <v>143</v>
      </c>
      <c r="E24" s="141" t="s">
        <v>475</v>
      </c>
      <c r="F24" s="141" t="s">
        <v>476</v>
      </c>
      <c r="G24" s="141"/>
      <c r="H24" s="141"/>
      <c r="I24" s="141">
        <v>1</v>
      </c>
      <c r="J24" s="145"/>
    </row>
    <row r="25" spans="2:10" x14ac:dyDescent="0.25">
      <c r="B25" s="141" t="s">
        <v>112</v>
      </c>
      <c r="C25" s="141" t="s">
        <v>117</v>
      </c>
      <c r="D25" s="141" t="s">
        <v>143</v>
      </c>
      <c r="E25" s="141" t="s">
        <v>479</v>
      </c>
      <c r="F25" s="141" t="s">
        <v>480</v>
      </c>
      <c r="G25" s="141" t="s">
        <v>481</v>
      </c>
      <c r="H25" s="141" t="s">
        <v>482</v>
      </c>
      <c r="I25" s="141">
        <v>1</v>
      </c>
      <c r="J25" s="145"/>
    </row>
    <row r="26" spans="2:10" x14ac:dyDescent="0.25">
      <c r="B26" s="143" t="s">
        <v>113</v>
      </c>
      <c r="C26" s="143" t="s">
        <v>117</v>
      </c>
      <c r="D26" s="143" t="s">
        <v>143</v>
      </c>
      <c r="E26" s="143" t="s">
        <v>479</v>
      </c>
      <c r="F26" s="143" t="s">
        <v>480</v>
      </c>
      <c r="G26" s="143"/>
      <c r="H26" s="143"/>
      <c r="I26" s="143">
        <v>1</v>
      </c>
      <c r="J26" s="144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50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73" workbookViewId="0">
      <selection activeCell="H76" sqref="H76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1</v>
      </c>
    </row>
    <row r="4" spans="2:8" x14ac:dyDescent="0.25">
      <c r="C4" s="12"/>
    </row>
    <row r="5" spans="2:8" x14ac:dyDescent="0.25">
      <c r="B5" s="16" t="s">
        <v>29</v>
      </c>
      <c r="C5" s="304" t="s">
        <v>134</v>
      </c>
      <c r="D5" s="312"/>
      <c r="E5" s="25" t="s">
        <v>31</v>
      </c>
      <c r="F5" s="25" t="s">
        <v>32</v>
      </c>
      <c r="G5" s="25" t="s">
        <v>140</v>
      </c>
      <c r="H5" s="25" t="s">
        <v>141</v>
      </c>
    </row>
    <row r="6" spans="2:8" x14ac:dyDescent="0.25">
      <c r="B6" s="17" t="s">
        <v>118</v>
      </c>
      <c r="C6" s="22" t="s">
        <v>134</v>
      </c>
      <c r="D6" s="18"/>
      <c r="E6" s="30" t="s">
        <v>398</v>
      </c>
      <c r="F6" s="30" t="s">
        <v>399</v>
      </c>
      <c r="G6" s="30"/>
      <c r="H6" s="30"/>
    </row>
    <row r="7" spans="2:8" ht="15" customHeight="1" x14ac:dyDescent="0.25">
      <c r="B7" s="16" t="s">
        <v>29</v>
      </c>
      <c r="C7" s="302" t="s">
        <v>55</v>
      </c>
      <c r="D7" s="309"/>
      <c r="E7" s="20" t="s">
        <v>31</v>
      </c>
      <c r="F7" s="20" t="s">
        <v>32</v>
      </c>
      <c r="G7" s="20" t="s">
        <v>140</v>
      </c>
      <c r="H7" s="20" t="s">
        <v>141</v>
      </c>
    </row>
    <row r="8" spans="2:8" ht="30" x14ac:dyDescent="0.25">
      <c r="B8" s="17" t="s">
        <v>59</v>
      </c>
      <c r="C8" s="14" t="s">
        <v>56</v>
      </c>
      <c r="D8" s="18"/>
      <c r="E8" s="30" t="s">
        <v>400</v>
      </c>
      <c r="F8" s="30" t="s">
        <v>401</v>
      </c>
      <c r="G8" s="30"/>
      <c r="H8" s="30"/>
    </row>
    <row r="9" spans="2:8" ht="30" x14ac:dyDescent="0.25">
      <c r="B9" s="17" t="s">
        <v>73</v>
      </c>
      <c r="C9" s="14" t="s">
        <v>136</v>
      </c>
      <c r="D9" s="18"/>
      <c r="E9" s="30" t="s">
        <v>396</v>
      </c>
      <c r="F9" s="30" t="s">
        <v>397</v>
      </c>
      <c r="G9" s="30" t="s">
        <v>165</v>
      </c>
      <c r="H9" s="30" t="s">
        <v>165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394</v>
      </c>
      <c r="F10" s="30" t="s">
        <v>395</v>
      </c>
      <c r="G10" s="30"/>
      <c r="H10" s="30"/>
    </row>
    <row r="11" spans="2:8" ht="45" x14ac:dyDescent="0.25">
      <c r="B11" s="17" t="s">
        <v>74</v>
      </c>
      <c r="C11" s="14" t="s">
        <v>137</v>
      </c>
      <c r="D11" s="18"/>
      <c r="E11" s="30" t="s">
        <v>185</v>
      </c>
      <c r="F11" s="30" t="s">
        <v>402</v>
      </c>
      <c r="G11" s="30" t="s">
        <v>165</v>
      </c>
      <c r="H11" s="30" t="s">
        <v>165</v>
      </c>
    </row>
    <row r="12" spans="2:8" x14ac:dyDescent="0.25">
      <c r="B12" s="24" t="s">
        <v>29</v>
      </c>
      <c r="C12" s="302" t="s">
        <v>26</v>
      </c>
      <c r="D12" s="309"/>
      <c r="E12" s="20" t="s">
        <v>31</v>
      </c>
      <c r="F12" s="20" t="s">
        <v>32</v>
      </c>
      <c r="G12" s="20" t="s">
        <v>140</v>
      </c>
      <c r="H12" s="20" t="s">
        <v>141</v>
      </c>
    </row>
    <row r="13" spans="2:8" x14ac:dyDescent="0.25">
      <c r="B13" s="313" t="s">
        <v>61</v>
      </c>
      <c r="C13" s="14" t="s">
        <v>130</v>
      </c>
      <c r="D13" s="10" t="s">
        <v>33</v>
      </c>
      <c r="E13" s="31" t="s">
        <v>403</v>
      </c>
      <c r="F13" s="31" t="s">
        <v>404</v>
      </c>
      <c r="G13" s="30"/>
      <c r="H13" s="30"/>
    </row>
    <row r="14" spans="2:8" x14ac:dyDescent="0.25">
      <c r="B14" s="310"/>
      <c r="C14" s="306" t="s">
        <v>33</v>
      </c>
      <c r="D14" s="10" t="s">
        <v>11</v>
      </c>
      <c r="E14" s="31" t="s">
        <v>34</v>
      </c>
      <c r="F14" s="31" t="s">
        <v>411</v>
      </c>
      <c r="G14" s="30"/>
      <c r="H14" s="30"/>
    </row>
    <row r="15" spans="2:8" x14ac:dyDescent="0.25">
      <c r="B15" s="310"/>
      <c r="C15" s="306"/>
      <c r="D15" s="10" t="s">
        <v>12</v>
      </c>
      <c r="E15" s="31" t="s">
        <v>35</v>
      </c>
      <c r="F15" s="31" t="s">
        <v>412</v>
      </c>
      <c r="G15" s="30"/>
      <c r="H15" s="30"/>
    </row>
    <row r="16" spans="2:8" x14ac:dyDescent="0.25">
      <c r="B16" s="311"/>
      <c r="C16" s="306"/>
      <c r="D16" s="10" t="s">
        <v>13</v>
      </c>
      <c r="E16" s="31" t="s">
        <v>36</v>
      </c>
      <c r="F16" s="31" t="s">
        <v>413</v>
      </c>
      <c r="G16" s="30"/>
      <c r="H16" s="30"/>
    </row>
    <row r="17" spans="2:8" x14ac:dyDescent="0.25">
      <c r="B17" s="313" t="s">
        <v>62</v>
      </c>
      <c r="C17" s="14" t="s">
        <v>130</v>
      </c>
      <c r="D17" s="10" t="s">
        <v>37</v>
      </c>
      <c r="E17" s="31" t="s">
        <v>405</v>
      </c>
      <c r="F17" s="31" t="s">
        <v>406</v>
      </c>
      <c r="G17" s="30"/>
      <c r="H17" s="30"/>
    </row>
    <row r="18" spans="2:8" x14ac:dyDescent="0.25">
      <c r="B18" s="310"/>
      <c r="C18" s="307" t="s">
        <v>37</v>
      </c>
      <c r="D18" s="10" t="s">
        <v>14</v>
      </c>
      <c r="E18" s="31" t="s">
        <v>38</v>
      </c>
      <c r="F18" s="31" t="s">
        <v>414</v>
      </c>
      <c r="G18" s="30"/>
      <c r="H18" s="30"/>
    </row>
    <row r="19" spans="2:8" x14ac:dyDescent="0.25">
      <c r="B19" s="310"/>
      <c r="C19" s="308"/>
      <c r="D19" s="18" t="s">
        <v>15</v>
      </c>
      <c r="E19" s="30" t="s">
        <v>39</v>
      </c>
      <c r="F19" s="30" t="s">
        <v>415</v>
      </c>
      <c r="G19" s="30"/>
      <c r="H19" s="30"/>
    </row>
    <row r="20" spans="2:8" x14ac:dyDescent="0.25">
      <c r="B20" s="311"/>
      <c r="C20" s="308"/>
      <c r="D20" s="10" t="s">
        <v>16</v>
      </c>
      <c r="E20" s="31" t="s">
        <v>40</v>
      </c>
      <c r="F20" s="31" t="s">
        <v>416</v>
      </c>
      <c r="G20" s="30"/>
      <c r="H20" s="30"/>
    </row>
    <row r="21" spans="2:8" x14ac:dyDescent="0.25">
      <c r="B21" s="313" t="s">
        <v>63</v>
      </c>
      <c r="C21" s="23" t="s">
        <v>130</v>
      </c>
      <c r="D21" s="10" t="s">
        <v>41</v>
      </c>
      <c r="E21" s="31" t="s">
        <v>407</v>
      </c>
      <c r="F21" s="31" t="s">
        <v>284</v>
      </c>
      <c r="G21" s="30"/>
      <c r="H21" s="30"/>
    </row>
    <row r="22" spans="2:8" x14ac:dyDescent="0.25">
      <c r="B22" s="310"/>
      <c r="C22" s="307" t="s">
        <v>41</v>
      </c>
      <c r="D22" s="10" t="s">
        <v>17</v>
      </c>
      <c r="E22" s="31" t="s">
        <v>42</v>
      </c>
      <c r="F22" s="31" t="s">
        <v>417</v>
      </c>
      <c r="G22" s="30"/>
      <c r="H22" s="30"/>
    </row>
    <row r="23" spans="2:8" x14ac:dyDescent="0.25">
      <c r="B23" s="310"/>
      <c r="C23" s="308"/>
      <c r="D23" s="18" t="s">
        <v>18</v>
      </c>
      <c r="E23" s="30" t="s">
        <v>43</v>
      </c>
      <c r="F23" s="30" t="s">
        <v>418</v>
      </c>
      <c r="G23" s="30"/>
      <c r="H23" s="30"/>
    </row>
    <row r="24" spans="2:8" x14ac:dyDescent="0.25">
      <c r="B24" s="311"/>
      <c r="C24" s="308"/>
      <c r="D24" s="10" t="s">
        <v>19</v>
      </c>
      <c r="E24" s="31" t="s">
        <v>44</v>
      </c>
      <c r="F24" s="31" t="s">
        <v>419</v>
      </c>
      <c r="G24" s="30"/>
      <c r="H24" s="30"/>
    </row>
    <row r="25" spans="2:8" ht="15" customHeight="1" x14ac:dyDescent="0.25">
      <c r="B25" s="313" t="s">
        <v>64</v>
      </c>
      <c r="C25" s="23" t="s">
        <v>130</v>
      </c>
      <c r="D25" s="10" t="s">
        <v>45</v>
      </c>
      <c r="E25" s="31" t="s">
        <v>408</v>
      </c>
      <c r="F25" s="31" t="s">
        <v>409</v>
      </c>
      <c r="G25" s="30"/>
      <c r="H25" s="30"/>
    </row>
    <row r="26" spans="2:8" x14ac:dyDescent="0.25">
      <c r="B26" s="310"/>
      <c r="C26" s="306" t="s">
        <v>45</v>
      </c>
      <c r="D26" s="18" t="s">
        <v>20</v>
      </c>
      <c r="E26" s="30" t="s">
        <v>46</v>
      </c>
      <c r="F26" s="30" t="s">
        <v>420</v>
      </c>
      <c r="G26" s="30"/>
      <c r="H26" s="30"/>
    </row>
    <row r="27" spans="2:8" x14ac:dyDescent="0.25">
      <c r="B27" s="310"/>
      <c r="C27" s="306"/>
      <c r="D27" s="18" t="s">
        <v>21</v>
      </c>
      <c r="E27" s="30" t="s">
        <v>47</v>
      </c>
      <c r="F27" s="30" t="s">
        <v>421</v>
      </c>
      <c r="G27" s="30"/>
      <c r="H27" s="30"/>
    </row>
    <row r="28" spans="2:8" x14ac:dyDescent="0.25">
      <c r="B28" s="311"/>
      <c r="C28" s="306"/>
      <c r="D28" s="18" t="s">
        <v>22</v>
      </c>
      <c r="E28" s="30" t="s">
        <v>48</v>
      </c>
      <c r="F28" s="30" t="s">
        <v>422</v>
      </c>
      <c r="G28" s="30"/>
      <c r="H28" s="30"/>
    </row>
    <row r="29" spans="2:8" x14ac:dyDescent="0.25">
      <c r="B29" s="313" t="s">
        <v>65</v>
      </c>
      <c r="C29" s="23" t="s">
        <v>130</v>
      </c>
      <c r="D29" s="10" t="s">
        <v>138</v>
      </c>
      <c r="E29" s="31" t="s">
        <v>410</v>
      </c>
      <c r="F29" s="31" t="s">
        <v>395</v>
      </c>
      <c r="G29" s="30"/>
      <c r="H29" s="30"/>
    </row>
    <row r="30" spans="2:8" x14ac:dyDescent="0.25">
      <c r="B30" s="310"/>
      <c r="C30" s="306" t="s">
        <v>138</v>
      </c>
      <c r="D30" s="18" t="s">
        <v>23</v>
      </c>
      <c r="E30" s="30" t="s">
        <v>49</v>
      </c>
      <c r="F30" s="30" t="s">
        <v>423</v>
      </c>
      <c r="G30" s="30"/>
      <c r="H30" s="30"/>
    </row>
    <row r="31" spans="2:8" x14ac:dyDescent="0.25">
      <c r="B31" s="310"/>
      <c r="C31" s="306"/>
      <c r="D31" s="10" t="s">
        <v>24</v>
      </c>
      <c r="E31" s="31" t="s">
        <v>50</v>
      </c>
      <c r="F31" s="31" t="s">
        <v>424</v>
      </c>
      <c r="G31" s="30"/>
      <c r="H31" s="30"/>
    </row>
    <row r="32" spans="2:8" x14ac:dyDescent="0.25">
      <c r="B32" s="311"/>
      <c r="C32" s="306"/>
      <c r="D32" s="18" t="s">
        <v>25</v>
      </c>
      <c r="E32" s="30" t="s">
        <v>51</v>
      </c>
      <c r="F32" s="30" t="s">
        <v>425</v>
      </c>
      <c r="G32" s="30"/>
      <c r="H32" s="30"/>
    </row>
    <row r="33" spans="2:8" x14ac:dyDescent="0.25">
      <c r="B33" s="24" t="s">
        <v>29</v>
      </c>
      <c r="C33" s="302" t="s">
        <v>57</v>
      </c>
      <c r="D33" s="309"/>
      <c r="E33" s="20" t="s">
        <v>31</v>
      </c>
      <c r="F33" s="20" t="s">
        <v>32</v>
      </c>
      <c r="G33" s="20" t="s">
        <v>140</v>
      </c>
      <c r="H33" s="20" t="s">
        <v>141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431</v>
      </c>
      <c r="F34" s="30" t="s">
        <v>432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433</v>
      </c>
      <c r="F35" s="30" t="s">
        <v>434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435</v>
      </c>
      <c r="F36" s="30" t="s">
        <v>438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436</v>
      </c>
      <c r="F37" s="30" t="s">
        <v>439</v>
      </c>
      <c r="G37" s="30"/>
      <c r="H37" s="30"/>
    </row>
    <row r="38" spans="2:8" x14ac:dyDescent="0.25">
      <c r="B38" s="17" t="s">
        <v>69</v>
      </c>
      <c r="C38" s="14" t="s">
        <v>138</v>
      </c>
      <c r="D38" s="18" t="s">
        <v>58</v>
      </c>
      <c r="E38" s="30" t="s">
        <v>437</v>
      </c>
      <c r="F38" s="30" t="s">
        <v>440</v>
      </c>
      <c r="G38" s="30"/>
      <c r="H38" s="30"/>
    </row>
    <row r="39" spans="2:8" x14ac:dyDescent="0.25">
      <c r="B39" s="24" t="s">
        <v>29</v>
      </c>
      <c r="C39" s="302" t="s">
        <v>135</v>
      </c>
      <c r="D39" s="309"/>
      <c r="E39" s="20" t="s">
        <v>31</v>
      </c>
      <c r="F39" s="20" t="s">
        <v>32</v>
      </c>
      <c r="G39" s="20" t="s">
        <v>140</v>
      </c>
      <c r="H39" s="20" t="s">
        <v>141</v>
      </c>
    </row>
    <row r="40" spans="2:8" x14ac:dyDescent="0.25">
      <c r="B40" s="313" t="s">
        <v>92</v>
      </c>
      <c r="C40" s="307" t="s">
        <v>135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310"/>
      <c r="C41" s="310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310"/>
      <c r="C42" s="310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310"/>
      <c r="C43" s="310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310"/>
      <c r="C44" s="310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310"/>
      <c r="C45" s="310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310"/>
      <c r="C46" s="310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310"/>
      <c r="C47" s="310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310"/>
      <c r="C48" s="310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310"/>
      <c r="C49" s="310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310"/>
      <c r="C50" s="310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310"/>
      <c r="C51" s="310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310"/>
      <c r="C52" s="310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310"/>
      <c r="C53" s="310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311"/>
      <c r="C54" s="311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313" t="s">
        <v>75</v>
      </c>
      <c r="C55" s="307" t="s">
        <v>135</v>
      </c>
      <c r="D55" s="10" t="s">
        <v>94</v>
      </c>
      <c r="E55" s="31" t="s">
        <v>95</v>
      </c>
      <c r="F55" s="31" t="s">
        <v>426</v>
      </c>
      <c r="G55" s="30"/>
      <c r="H55" s="30"/>
    </row>
    <row r="56" spans="2:8" ht="15" customHeight="1" x14ac:dyDescent="0.25">
      <c r="B56" s="310"/>
      <c r="C56" s="310"/>
      <c r="D56" s="10" t="s">
        <v>11</v>
      </c>
      <c r="E56" s="31" t="s">
        <v>34</v>
      </c>
      <c r="F56" s="31" t="s">
        <v>411</v>
      </c>
      <c r="G56" s="30"/>
      <c r="H56" s="30"/>
    </row>
    <row r="57" spans="2:8" x14ac:dyDescent="0.25">
      <c r="B57" s="310"/>
      <c r="C57" s="310"/>
      <c r="D57" s="10" t="s">
        <v>12</v>
      </c>
      <c r="E57" s="31" t="s">
        <v>35</v>
      </c>
      <c r="F57" s="31" t="s">
        <v>412</v>
      </c>
      <c r="G57" s="30"/>
      <c r="H57" s="30"/>
    </row>
    <row r="58" spans="2:8" x14ac:dyDescent="0.25">
      <c r="B58" s="310"/>
      <c r="C58" s="310"/>
      <c r="D58" s="10" t="s">
        <v>13</v>
      </c>
      <c r="E58" s="31" t="s">
        <v>36</v>
      </c>
      <c r="F58" s="31" t="s">
        <v>413</v>
      </c>
      <c r="G58" s="30"/>
      <c r="H58" s="30"/>
    </row>
    <row r="59" spans="2:8" x14ac:dyDescent="0.25">
      <c r="B59" s="310"/>
      <c r="C59" s="310"/>
      <c r="D59" s="10" t="s">
        <v>14</v>
      </c>
      <c r="E59" s="31" t="s">
        <v>38</v>
      </c>
      <c r="F59" s="31" t="s">
        <v>414</v>
      </c>
      <c r="G59" s="30"/>
      <c r="H59" s="30"/>
    </row>
    <row r="60" spans="2:8" x14ac:dyDescent="0.25">
      <c r="B60" s="310"/>
      <c r="C60" s="310"/>
      <c r="D60" s="18" t="s">
        <v>15</v>
      </c>
      <c r="E60" s="30" t="s">
        <v>39</v>
      </c>
      <c r="F60" s="30" t="s">
        <v>415</v>
      </c>
      <c r="G60" s="30"/>
      <c r="H60" s="30"/>
    </row>
    <row r="61" spans="2:8" x14ac:dyDescent="0.25">
      <c r="B61" s="310"/>
      <c r="C61" s="310"/>
      <c r="D61" s="10" t="s">
        <v>16</v>
      </c>
      <c r="E61" s="31" t="s">
        <v>40</v>
      </c>
      <c r="F61" s="31" t="s">
        <v>416</v>
      </c>
      <c r="G61" s="30"/>
      <c r="H61" s="30"/>
    </row>
    <row r="62" spans="2:8" x14ac:dyDescent="0.25">
      <c r="B62" s="310"/>
      <c r="C62" s="310"/>
      <c r="D62" s="10" t="s">
        <v>17</v>
      </c>
      <c r="E62" s="31" t="s">
        <v>42</v>
      </c>
      <c r="F62" s="31" t="s">
        <v>417</v>
      </c>
      <c r="G62" s="30"/>
      <c r="H62" s="30"/>
    </row>
    <row r="63" spans="2:8" x14ac:dyDescent="0.25">
      <c r="B63" s="310"/>
      <c r="C63" s="310"/>
      <c r="D63" s="18" t="s">
        <v>18</v>
      </c>
      <c r="E63" s="30" t="s">
        <v>43</v>
      </c>
      <c r="F63" s="30" t="s">
        <v>418</v>
      </c>
      <c r="G63" s="30"/>
      <c r="H63" s="30"/>
    </row>
    <row r="64" spans="2:8" x14ac:dyDescent="0.25">
      <c r="B64" s="310"/>
      <c r="C64" s="310"/>
      <c r="D64" s="10" t="s">
        <v>19</v>
      </c>
      <c r="E64" s="31" t="s">
        <v>44</v>
      </c>
      <c r="F64" s="31" t="s">
        <v>419</v>
      </c>
      <c r="G64" s="30"/>
      <c r="H64" s="30"/>
    </row>
    <row r="65" spans="2:8" x14ac:dyDescent="0.25">
      <c r="B65" s="310"/>
      <c r="C65" s="310"/>
      <c r="D65" s="18" t="s">
        <v>20</v>
      </c>
      <c r="E65" s="30" t="s">
        <v>46</v>
      </c>
      <c r="F65" s="30" t="s">
        <v>420</v>
      </c>
      <c r="G65" s="30"/>
      <c r="H65" s="30"/>
    </row>
    <row r="66" spans="2:8" ht="15" customHeight="1" x14ac:dyDescent="0.25">
      <c r="B66" s="310"/>
      <c r="C66" s="310"/>
      <c r="D66" s="18" t="s">
        <v>21</v>
      </c>
      <c r="E66" s="30" t="s">
        <v>47</v>
      </c>
      <c r="F66" s="30" t="s">
        <v>421</v>
      </c>
      <c r="G66" s="30"/>
      <c r="H66" s="30"/>
    </row>
    <row r="67" spans="2:8" x14ac:dyDescent="0.25">
      <c r="B67" s="310"/>
      <c r="C67" s="310"/>
      <c r="D67" s="18" t="s">
        <v>22</v>
      </c>
      <c r="E67" s="30" t="s">
        <v>48</v>
      </c>
      <c r="F67" s="30" t="s">
        <v>422</v>
      </c>
      <c r="G67" s="30"/>
      <c r="H67" s="30"/>
    </row>
    <row r="68" spans="2:8" x14ac:dyDescent="0.25">
      <c r="B68" s="310"/>
      <c r="C68" s="310"/>
      <c r="D68" s="18" t="s">
        <v>23</v>
      </c>
      <c r="E68" s="30" t="s">
        <v>49</v>
      </c>
      <c r="F68" s="30" t="s">
        <v>423</v>
      </c>
      <c r="G68" s="30"/>
      <c r="H68" s="30"/>
    </row>
    <row r="69" spans="2:8" x14ac:dyDescent="0.25">
      <c r="B69" s="310"/>
      <c r="C69" s="310"/>
      <c r="D69" s="10" t="s">
        <v>24</v>
      </c>
      <c r="E69" s="31" t="s">
        <v>50</v>
      </c>
      <c r="F69" s="31" t="s">
        <v>424</v>
      </c>
      <c r="G69" s="30"/>
      <c r="H69" s="30"/>
    </row>
    <row r="70" spans="2:8" x14ac:dyDescent="0.25">
      <c r="B70" s="311"/>
      <c r="C70" s="311"/>
      <c r="D70" s="18" t="s">
        <v>25</v>
      </c>
      <c r="E70" s="30" t="s">
        <v>51</v>
      </c>
      <c r="F70" s="30" t="s">
        <v>425</v>
      </c>
      <c r="G70" s="30"/>
      <c r="H70" s="30"/>
    </row>
    <row r="71" spans="2:8" ht="15" customHeight="1" x14ac:dyDescent="0.25">
      <c r="B71" s="24" t="s">
        <v>29</v>
      </c>
      <c r="C71" s="302" t="s">
        <v>52</v>
      </c>
      <c r="D71" s="303"/>
      <c r="E71" s="20" t="s">
        <v>31</v>
      </c>
      <c r="F71" s="20" t="s">
        <v>32</v>
      </c>
      <c r="G71" s="20" t="s">
        <v>140</v>
      </c>
      <c r="H71" s="20" t="s">
        <v>141</v>
      </c>
    </row>
    <row r="72" spans="2:8" x14ac:dyDescent="0.25">
      <c r="B72" s="17" t="s">
        <v>76</v>
      </c>
      <c r="C72" s="21" t="s">
        <v>139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304" t="s">
        <v>10</v>
      </c>
      <c r="D73" s="305"/>
      <c r="E73" s="20" t="s">
        <v>31</v>
      </c>
      <c r="F73" s="20" t="s">
        <v>32</v>
      </c>
      <c r="G73" s="20" t="s">
        <v>140</v>
      </c>
      <c r="H73" s="20" t="s">
        <v>141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427</v>
      </c>
      <c r="F74" s="30" t="s">
        <v>428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429</v>
      </c>
      <c r="F75" s="30" t="s">
        <v>430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3"/>
  <sheetViews>
    <sheetView tabSelected="1" topLeftCell="E110" workbookViewId="0">
      <selection activeCell="I124" sqref="I124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118.42578125" style="42" bestFit="1" customWidth="1"/>
    <col min="5" max="5" width="14.28515625" style="42" bestFit="1" customWidth="1"/>
    <col min="6" max="6" width="25.140625" style="42" bestFit="1" customWidth="1"/>
    <col min="7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314" t="s">
        <v>186</v>
      </c>
      <c r="C2" s="315"/>
      <c r="D2" s="315"/>
      <c r="E2" s="316"/>
      <c r="F2" s="316"/>
    </row>
    <row r="3" spans="2:10" ht="20.100000000000001" customHeight="1" x14ac:dyDescent="0.25">
      <c r="B3" s="62" t="s">
        <v>205</v>
      </c>
      <c r="C3" s="62" t="s">
        <v>193</v>
      </c>
      <c r="D3" s="62" t="s">
        <v>187</v>
      </c>
      <c r="E3" s="62" t="s">
        <v>188</v>
      </c>
      <c r="F3" s="62" t="s">
        <v>189</v>
      </c>
    </row>
    <row r="4" spans="2:10" x14ac:dyDescent="0.25">
      <c r="B4" s="41">
        <v>1</v>
      </c>
      <c r="C4" s="41" t="s">
        <v>194</v>
      </c>
      <c r="D4" s="41" t="s">
        <v>204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190</v>
      </c>
      <c r="E5" s="41">
        <v>18</v>
      </c>
      <c r="F5" s="41"/>
    </row>
    <row r="6" spans="2:10" s="44" customFormat="1" x14ac:dyDescent="0.25">
      <c r="B6" s="61">
        <v>3</v>
      </c>
      <c r="C6" s="61" t="s">
        <v>0</v>
      </c>
      <c r="D6" s="61" t="s">
        <v>198</v>
      </c>
      <c r="E6" s="61">
        <v>19</v>
      </c>
      <c r="F6" s="61"/>
      <c r="G6" s="43"/>
      <c r="H6" s="43"/>
      <c r="I6" s="43"/>
      <c r="J6" s="43"/>
    </row>
    <row r="7" spans="2:10" s="44" customFormat="1" x14ac:dyDescent="0.25">
      <c r="B7" s="61">
        <v>4</v>
      </c>
      <c r="C7" s="61" t="s">
        <v>0</v>
      </c>
      <c r="D7" s="61" t="s">
        <v>206</v>
      </c>
      <c r="E7" s="61">
        <v>19</v>
      </c>
      <c r="F7" s="61"/>
      <c r="G7" s="43"/>
      <c r="H7" s="43"/>
      <c r="I7" s="43"/>
      <c r="J7" s="43"/>
    </row>
    <row r="8" spans="2:10" s="44" customFormat="1" x14ac:dyDescent="0.25">
      <c r="B8" s="61">
        <v>5</v>
      </c>
      <c r="C8" s="61" t="s">
        <v>194</v>
      </c>
      <c r="D8" s="61" t="s">
        <v>191</v>
      </c>
      <c r="E8" s="61">
        <v>20</v>
      </c>
      <c r="F8" s="61"/>
      <c r="G8" s="43"/>
      <c r="H8" s="43"/>
      <c r="I8" s="43"/>
      <c r="J8" s="43"/>
    </row>
    <row r="9" spans="2:10" s="44" customFormat="1" x14ac:dyDescent="0.25">
      <c r="B9" s="61">
        <v>6</v>
      </c>
      <c r="C9" s="61" t="s">
        <v>1</v>
      </c>
      <c r="D9" s="61" t="s">
        <v>195</v>
      </c>
      <c r="E9" s="61">
        <v>21</v>
      </c>
      <c r="F9" s="61">
        <v>24</v>
      </c>
      <c r="G9" s="43"/>
      <c r="H9" s="43"/>
      <c r="I9" s="43"/>
      <c r="J9" s="43"/>
    </row>
    <row r="10" spans="2:10" s="44" customFormat="1" x14ac:dyDescent="0.25">
      <c r="B10" s="61">
        <v>7</v>
      </c>
      <c r="C10" s="61" t="s">
        <v>194</v>
      </c>
      <c r="D10" s="61" t="s">
        <v>192</v>
      </c>
      <c r="E10" s="61">
        <v>25</v>
      </c>
      <c r="F10" s="61">
        <v>27</v>
      </c>
      <c r="G10" s="43"/>
      <c r="H10" s="43"/>
      <c r="I10" s="43"/>
      <c r="J10" s="43"/>
    </row>
    <row r="11" spans="2:10" s="44" customFormat="1" x14ac:dyDescent="0.25">
      <c r="B11" s="61">
        <v>8</v>
      </c>
      <c r="C11" s="61" t="s">
        <v>1</v>
      </c>
      <c r="D11" s="61" t="s">
        <v>199</v>
      </c>
      <c r="E11" s="61">
        <v>28</v>
      </c>
      <c r="F11" s="61">
        <v>37</v>
      </c>
      <c r="G11" s="43"/>
      <c r="H11" s="43"/>
      <c r="I11" s="43"/>
      <c r="J11" s="43"/>
    </row>
    <row r="12" spans="2:10" s="44" customFormat="1" x14ac:dyDescent="0.25">
      <c r="B12" s="61">
        <v>9</v>
      </c>
      <c r="C12" s="61" t="s">
        <v>1</v>
      </c>
      <c r="D12" s="61" t="s">
        <v>200</v>
      </c>
      <c r="E12" s="61">
        <v>38</v>
      </c>
      <c r="F12" s="61">
        <v>39</v>
      </c>
      <c r="G12" s="43"/>
      <c r="H12" s="43"/>
      <c r="I12" s="43"/>
      <c r="J12" s="43"/>
    </row>
    <row r="13" spans="2:10" s="44" customFormat="1" x14ac:dyDescent="0.25">
      <c r="B13" s="61">
        <v>10</v>
      </c>
      <c r="C13" s="61" t="s">
        <v>1</v>
      </c>
      <c r="D13" s="61" t="s">
        <v>211</v>
      </c>
      <c r="E13" s="61"/>
      <c r="F13" s="61"/>
      <c r="G13" s="43"/>
      <c r="H13" s="43"/>
      <c r="I13" s="43"/>
      <c r="J13" s="43"/>
    </row>
    <row r="14" spans="2:10" s="44" customFormat="1" x14ac:dyDescent="0.25">
      <c r="B14" s="61">
        <v>11</v>
      </c>
      <c r="C14" s="61" t="s">
        <v>194</v>
      </c>
      <c r="D14" s="61" t="s">
        <v>164</v>
      </c>
      <c r="E14" s="61">
        <v>40</v>
      </c>
      <c r="F14" s="61"/>
      <c r="G14" s="43"/>
      <c r="H14" s="43"/>
      <c r="I14" s="43"/>
      <c r="J14" s="43"/>
    </row>
    <row r="15" spans="2:10" s="44" customFormat="1" x14ac:dyDescent="0.25">
      <c r="B15" s="61">
        <v>12</v>
      </c>
      <c r="C15" s="61" t="s">
        <v>1</v>
      </c>
      <c r="D15" s="61" t="s">
        <v>196</v>
      </c>
      <c r="E15" s="61">
        <v>41</v>
      </c>
      <c r="F15" s="61">
        <v>42</v>
      </c>
      <c r="G15" s="43"/>
      <c r="H15" s="43"/>
      <c r="I15" s="43"/>
      <c r="J15" s="43"/>
    </row>
    <row r="16" spans="2:10" s="44" customFormat="1" x14ac:dyDescent="0.25">
      <c r="B16" s="61">
        <v>13</v>
      </c>
      <c r="C16" s="61" t="s">
        <v>194</v>
      </c>
      <c r="D16" s="61" t="s">
        <v>201</v>
      </c>
      <c r="E16" s="61">
        <v>43</v>
      </c>
      <c r="F16" s="61"/>
      <c r="G16" s="43"/>
      <c r="H16" s="43"/>
      <c r="I16" s="43"/>
      <c r="J16" s="43"/>
    </row>
    <row r="17" spans="2:10" s="44" customFormat="1" x14ac:dyDescent="0.25">
      <c r="B17" s="61">
        <v>14</v>
      </c>
      <c r="C17" s="61" t="s">
        <v>0</v>
      </c>
      <c r="D17" s="61" t="s">
        <v>202</v>
      </c>
      <c r="E17" s="61">
        <v>44</v>
      </c>
      <c r="F17" s="61"/>
      <c r="G17" s="43"/>
      <c r="H17" s="43"/>
      <c r="I17" s="43"/>
      <c r="J17" s="43"/>
    </row>
    <row r="18" spans="2:10" s="44" customFormat="1" x14ac:dyDescent="0.25">
      <c r="B18" s="61">
        <v>15</v>
      </c>
      <c r="C18" s="61" t="s">
        <v>194</v>
      </c>
      <c r="D18" s="61" t="s">
        <v>203</v>
      </c>
      <c r="E18" s="61">
        <v>45</v>
      </c>
      <c r="F18" s="61">
        <v>51</v>
      </c>
      <c r="G18" s="43"/>
      <c r="H18" s="43"/>
      <c r="I18" s="43"/>
      <c r="J18" s="43"/>
    </row>
    <row r="19" spans="2:10" s="44" customFormat="1" x14ac:dyDescent="0.25">
      <c r="B19" s="61">
        <v>16</v>
      </c>
      <c r="C19" s="61" t="s">
        <v>194</v>
      </c>
      <c r="D19" s="61" t="s">
        <v>197</v>
      </c>
      <c r="E19" s="61">
        <v>52</v>
      </c>
      <c r="F19" s="61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317" t="s">
        <v>212</v>
      </c>
      <c r="C27" s="318"/>
      <c r="D27" s="318"/>
      <c r="E27" s="318"/>
      <c r="F27" s="318"/>
      <c r="G27" s="318"/>
      <c r="H27" s="318"/>
      <c r="I27" s="318"/>
      <c r="J27" s="318"/>
    </row>
    <row r="28" spans="2:10" ht="18.75" x14ac:dyDescent="0.25">
      <c r="B28" s="63" t="s">
        <v>213</v>
      </c>
      <c r="C28" s="63" t="s">
        <v>214</v>
      </c>
      <c r="D28" s="63" t="s">
        <v>215</v>
      </c>
      <c r="E28" s="63" t="s">
        <v>216</v>
      </c>
      <c r="F28" s="63" t="s">
        <v>217</v>
      </c>
      <c r="G28" s="63" t="s">
        <v>218</v>
      </c>
      <c r="H28" s="63" t="s">
        <v>219</v>
      </c>
      <c r="I28" s="63" t="s">
        <v>220</v>
      </c>
      <c r="J28" s="63" t="s">
        <v>221</v>
      </c>
    </row>
    <row r="29" spans="2:10" x14ac:dyDescent="0.25">
      <c r="B29" s="41">
        <v>1</v>
      </c>
      <c r="C29" s="41">
        <v>1</v>
      </c>
      <c r="D29" s="41"/>
      <c r="E29" s="41" t="s">
        <v>194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194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194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194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194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194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194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194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194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194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194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194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194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194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194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194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194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134</v>
      </c>
      <c r="E46" s="41" t="s">
        <v>1</v>
      </c>
      <c r="F46" s="41" t="s">
        <v>118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27</v>
      </c>
      <c r="E47" s="41" t="s">
        <v>0</v>
      </c>
      <c r="F47" s="41" t="s">
        <v>98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28</v>
      </c>
      <c r="E48" s="41" t="s">
        <v>0</v>
      </c>
      <c r="F48" s="41" t="s">
        <v>100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114</v>
      </c>
      <c r="E49" s="41" t="s">
        <v>0</v>
      </c>
      <c r="F49" s="41" t="s">
        <v>102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174</v>
      </c>
      <c r="E50" s="41" t="s">
        <v>0</v>
      </c>
      <c r="F50" s="41" t="s">
        <v>104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115</v>
      </c>
      <c r="E51" s="41" t="s">
        <v>0</v>
      </c>
      <c r="F51" s="41" t="s">
        <v>105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175</v>
      </c>
      <c r="E52" s="41" t="s">
        <v>0</v>
      </c>
      <c r="F52" s="41" t="s">
        <v>107</v>
      </c>
      <c r="G52" s="41">
        <v>95</v>
      </c>
      <c r="H52" s="41">
        <v>250</v>
      </c>
      <c r="I52" s="41"/>
      <c r="J52" s="41"/>
    </row>
    <row r="53" spans="2:10" x14ac:dyDescent="0.25">
      <c r="B53" s="41">
        <v>25</v>
      </c>
      <c r="C53" s="41">
        <v>19</v>
      </c>
      <c r="D53" s="41" t="s">
        <v>116</v>
      </c>
      <c r="E53" s="41" t="s">
        <v>0</v>
      </c>
      <c r="F53" s="41" t="s">
        <v>108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97</v>
      </c>
      <c r="E54" s="41" t="s">
        <v>0</v>
      </c>
      <c r="F54" s="41" t="s">
        <v>110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117</v>
      </c>
      <c r="E55" s="41" t="s">
        <v>0</v>
      </c>
      <c r="F55" s="41" t="s">
        <v>112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20</v>
      </c>
      <c r="D56" s="41"/>
      <c r="E56" s="41" t="s">
        <v>194</v>
      </c>
      <c r="F56" s="41"/>
      <c r="G56" s="41"/>
      <c r="H56" s="41"/>
      <c r="I56" s="41"/>
      <c r="J56" s="41"/>
    </row>
    <row r="57" spans="2:10" x14ac:dyDescent="0.25">
      <c r="B57" s="41">
        <v>29</v>
      </c>
      <c r="C57" s="41">
        <v>21</v>
      </c>
      <c r="D57" s="41"/>
      <c r="E57" s="41" t="s">
        <v>1</v>
      </c>
      <c r="F57" s="41" t="s">
        <v>59</v>
      </c>
      <c r="G57" s="41">
        <v>95</v>
      </c>
      <c r="H57" s="41">
        <v>129</v>
      </c>
      <c r="I57" s="41"/>
      <c r="J57" s="41"/>
    </row>
    <row r="58" spans="2:10" x14ac:dyDescent="0.25">
      <c r="B58" s="41">
        <v>30</v>
      </c>
      <c r="C58" s="41">
        <v>22</v>
      </c>
      <c r="D58" s="41"/>
      <c r="E58" s="41" t="s">
        <v>1</v>
      </c>
      <c r="F58" s="41" t="s">
        <v>73</v>
      </c>
      <c r="G58" s="41">
        <v>220</v>
      </c>
      <c r="H58" s="41"/>
      <c r="I58" s="41"/>
      <c r="J58" s="41"/>
    </row>
    <row r="59" spans="2:10" x14ac:dyDescent="0.25">
      <c r="B59" s="41">
        <v>31</v>
      </c>
      <c r="C59" s="41">
        <v>23</v>
      </c>
      <c r="D59" s="41"/>
      <c r="E59" s="41" t="s">
        <v>1</v>
      </c>
      <c r="F59" s="41" t="s">
        <v>60</v>
      </c>
      <c r="G59" s="41">
        <v>125</v>
      </c>
      <c r="H59" s="41">
        <v>144</v>
      </c>
      <c r="I59" s="41">
        <v>360</v>
      </c>
      <c r="J59" s="41">
        <v>614</v>
      </c>
    </row>
    <row r="60" spans="2:10" x14ac:dyDescent="0.25">
      <c r="B60" s="41">
        <v>32</v>
      </c>
      <c r="C60" s="41">
        <v>24</v>
      </c>
      <c r="D60" s="41"/>
      <c r="E60" s="41" t="s">
        <v>1</v>
      </c>
      <c r="F60" s="41" t="s">
        <v>74</v>
      </c>
      <c r="G60" s="41">
        <v>180</v>
      </c>
      <c r="H60" s="41"/>
      <c r="I60" s="41"/>
      <c r="J60" s="41"/>
    </row>
    <row r="61" spans="2:10" x14ac:dyDescent="0.25">
      <c r="B61" s="41">
        <v>33</v>
      </c>
      <c r="C61" s="41">
        <v>25</v>
      </c>
      <c r="D61" s="41"/>
      <c r="E61" s="41" t="s">
        <v>194</v>
      </c>
      <c r="F61" s="41"/>
      <c r="G61" s="41"/>
      <c r="H61" s="41"/>
      <c r="I61" s="41"/>
      <c r="J61" s="41"/>
    </row>
    <row r="62" spans="2:10" x14ac:dyDescent="0.25">
      <c r="B62" s="41">
        <v>34</v>
      </c>
      <c r="C62" s="41">
        <v>26</v>
      </c>
      <c r="D62" s="41"/>
      <c r="E62" s="41" t="s">
        <v>194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27</v>
      </c>
      <c r="D63" s="41"/>
      <c r="E63" s="41" t="s">
        <v>194</v>
      </c>
      <c r="F63" s="41"/>
      <c r="G63" s="41"/>
      <c r="H63" s="41"/>
      <c r="I63" s="41"/>
      <c r="J63" s="41"/>
    </row>
    <row r="64" spans="2:10" x14ac:dyDescent="0.25">
      <c r="B64" s="41">
        <v>36</v>
      </c>
      <c r="C64" s="41">
        <v>28</v>
      </c>
      <c r="D64" s="41"/>
      <c r="E64" s="41" t="s">
        <v>1</v>
      </c>
      <c r="F64" s="41" t="s">
        <v>61</v>
      </c>
      <c r="G64" s="41">
        <v>200</v>
      </c>
      <c r="H64" s="41">
        <v>35</v>
      </c>
      <c r="I64" s="41"/>
      <c r="J64" s="41"/>
    </row>
    <row r="65" spans="2:10" x14ac:dyDescent="0.25">
      <c r="B65" s="41">
        <v>37</v>
      </c>
      <c r="C65" s="41">
        <v>29</v>
      </c>
      <c r="D65" s="41"/>
      <c r="E65" s="41" t="s">
        <v>1</v>
      </c>
      <c r="F65" s="41" t="s">
        <v>66</v>
      </c>
      <c r="G65" s="41">
        <v>90</v>
      </c>
      <c r="H65" s="41">
        <v>1</v>
      </c>
      <c r="I65" s="41"/>
      <c r="J65" s="41">
        <v>955</v>
      </c>
    </row>
    <row r="66" spans="2:10" x14ac:dyDescent="0.25">
      <c r="B66" s="41">
        <v>38</v>
      </c>
      <c r="C66" s="41">
        <v>30</v>
      </c>
      <c r="D66" s="41"/>
      <c r="E66" s="41" t="s">
        <v>1</v>
      </c>
      <c r="F66" s="41" t="s">
        <v>62</v>
      </c>
      <c r="G66" s="41">
        <v>200</v>
      </c>
      <c r="H66" s="41">
        <v>35</v>
      </c>
      <c r="I66" s="41"/>
      <c r="J66" s="41"/>
    </row>
    <row r="67" spans="2:10" x14ac:dyDescent="0.25">
      <c r="B67" s="41">
        <v>39</v>
      </c>
      <c r="C67" s="41">
        <v>31</v>
      </c>
      <c r="D67" s="41"/>
      <c r="E67" s="41" t="s">
        <v>1</v>
      </c>
      <c r="F67" s="41" t="s">
        <v>67</v>
      </c>
      <c r="G67" s="41">
        <v>90</v>
      </c>
      <c r="H67" s="41">
        <v>1</v>
      </c>
      <c r="I67" s="41"/>
      <c r="J67" s="41">
        <v>955</v>
      </c>
    </row>
    <row r="68" spans="2:10" x14ac:dyDescent="0.25">
      <c r="B68" s="41">
        <v>40</v>
      </c>
      <c r="C68" s="41">
        <v>32</v>
      </c>
      <c r="D68" s="41"/>
      <c r="E68" s="41" t="s">
        <v>1</v>
      </c>
      <c r="F68" s="41" t="s">
        <v>63</v>
      </c>
      <c r="G68" s="41">
        <v>200</v>
      </c>
      <c r="H68" s="41">
        <v>35</v>
      </c>
      <c r="I68" s="41"/>
      <c r="J68" s="41"/>
    </row>
    <row r="69" spans="2:10" x14ac:dyDescent="0.25">
      <c r="B69" s="41">
        <v>41</v>
      </c>
      <c r="C69" s="41">
        <v>33</v>
      </c>
      <c r="D69" s="41"/>
      <c r="E69" s="41" t="s">
        <v>1</v>
      </c>
      <c r="F69" s="41" t="s">
        <v>70</v>
      </c>
      <c r="G69" s="41">
        <v>90</v>
      </c>
      <c r="H69" s="41">
        <v>1</v>
      </c>
      <c r="I69" s="41"/>
      <c r="J69" s="41">
        <v>955</v>
      </c>
    </row>
    <row r="70" spans="2:10" x14ac:dyDescent="0.25">
      <c r="B70" s="41">
        <v>42</v>
      </c>
      <c r="C70" s="41">
        <v>34</v>
      </c>
      <c r="D70" s="41"/>
      <c r="E70" s="41" t="s">
        <v>1</v>
      </c>
      <c r="F70" s="41" t="s">
        <v>64</v>
      </c>
      <c r="G70" s="41">
        <v>200</v>
      </c>
      <c r="H70" s="41">
        <v>35</v>
      </c>
      <c r="I70" s="41"/>
      <c r="J70" s="41"/>
    </row>
    <row r="71" spans="2:10" x14ac:dyDescent="0.25">
      <c r="B71" s="41">
        <v>43</v>
      </c>
      <c r="C71" s="41">
        <v>35</v>
      </c>
      <c r="D71" s="41"/>
      <c r="E71" s="41" t="s">
        <v>1</v>
      </c>
      <c r="F71" s="41" t="s">
        <v>68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36</v>
      </c>
      <c r="D72" s="41"/>
      <c r="E72" s="41" t="s">
        <v>1</v>
      </c>
      <c r="F72" s="41" t="s">
        <v>65</v>
      </c>
      <c r="G72" s="41">
        <v>200</v>
      </c>
      <c r="H72" s="41">
        <v>35</v>
      </c>
      <c r="I72" s="41"/>
      <c r="J72" s="41"/>
    </row>
    <row r="73" spans="2:10" x14ac:dyDescent="0.25">
      <c r="B73" s="41">
        <v>45</v>
      </c>
      <c r="C73" s="41">
        <v>37</v>
      </c>
      <c r="D73" s="41"/>
      <c r="E73" s="41" t="s">
        <v>1</v>
      </c>
      <c r="F73" s="41" t="s">
        <v>69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38</v>
      </c>
      <c r="D74" s="41"/>
      <c r="E74" s="41" t="s">
        <v>1</v>
      </c>
      <c r="F74" s="41" t="s">
        <v>92</v>
      </c>
      <c r="G74" s="41">
        <v>100</v>
      </c>
      <c r="H74" s="41">
        <v>1</v>
      </c>
      <c r="I74" s="41"/>
      <c r="J74" s="41"/>
    </row>
    <row r="75" spans="2:10" x14ac:dyDescent="0.25">
      <c r="B75" s="41">
        <v>47</v>
      </c>
      <c r="C75" s="41">
        <v>39</v>
      </c>
      <c r="D75" s="41"/>
      <c r="E75" s="41" t="s">
        <v>1</v>
      </c>
      <c r="F75" s="41" t="s">
        <v>75</v>
      </c>
      <c r="G75" s="41">
        <v>118</v>
      </c>
      <c r="H75" s="41">
        <v>1</v>
      </c>
      <c r="I75" s="41">
        <v>368</v>
      </c>
      <c r="J75" s="41">
        <v>847</v>
      </c>
    </row>
    <row r="76" spans="2:10" x14ac:dyDescent="0.25">
      <c r="B76" s="41">
        <v>48</v>
      </c>
      <c r="C76" s="41">
        <v>40</v>
      </c>
      <c r="D76" s="41"/>
      <c r="E76" s="41" t="s">
        <v>194</v>
      </c>
      <c r="F76" s="41"/>
      <c r="G76" s="41"/>
      <c r="H76" s="41"/>
      <c r="I76" s="41"/>
      <c r="J76" s="41"/>
    </row>
    <row r="77" spans="2:10" x14ac:dyDescent="0.25">
      <c r="B77" s="41">
        <v>49</v>
      </c>
      <c r="C77" s="41">
        <v>41</v>
      </c>
      <c r="D77" s="41"/>
      <c r="E77" s="41" t="s">
        <v>1</v>
      </c>
      <c r="F77" s="41" t="s">
        <v>71</v>
      </c>
      <c r="G77" s="41">
        <v>120</v>
      </c>
      <c r="H77" s="41">
        <v>25</v>
      </c>
      <c r="I77" s="41"/>
      <c r="J77" s="41">
        <v>772</v>
      </c>
    </row>
    <row r="78" spans="2:10" x14ac:dyDescent="0.25">
      <c r="B78" s="41">
        <v>50</v>
      </c>
      <c r="C78" s="41">
        <v>42</v>
      </c>
      <c r="D78" s="41"/>
      <c r="E78" s="41" t="s">
        <v>1</v>
      </c>
      <c r="F78" s="41" t="s">
        <v>72</v>
      </c>
      <c r="G78" s="41">
        <v>120</v>
      </c>
      <c r="H78" s="41">
        <v>25</v>
      </c>
      <c r="I78" s="41"/>
      <c r="J78" s="41">
        <v>772</v>
      </c>
    </row>
    <row r="79" spans="2:10" x14ac:dyDescent="0.25">
      <c r="B79" s="41">
        <v>51</v>
      </c>
      <c r="C79" s="41">
        <v>43</v>
      </c>
      <c r="D79" s="41"/>
      <c r="E79" s="41" t="s">
        <v>194</v>
      </c>
      <c r="F79" s="41"/>
      <c r="G79" s="41"/>
      <c r="H79" s="41"/>
      <c r="I79" s="41"/>
      <c r="J79" s="41"/>
    </row>
    <row r="80" spans="2:10" x14ac:dyDescent="0.25">
      <c r="B80" s="41">
        <v>52</v>
      </c>
      <c r="C80" s="41">
        <v>44</v>
      </c>
      <c r="D80" s="41" t="s">
        <v>274</v>
      </c>
      <c r="E80" s="41" t="s">
        <v>0</v>
      </c>
      <c r="F80" s="41" t="s">
        <v>99</v>
      </c>
      <c r="G80" s="41">
        <v>145</v>
      </c>
      <c r="H80" s="41">
        <v>220</v>
      </c>
      <c r="I80" s="41"/>
      <c r="J80" s="41"/>
    </row>
    <row r="81" spans="2:10" x14ac:dyDescent="0.25">
      <c r="B81" s="41">
        <v>52</v>
      </c>
      <c r="C81" s="41">
        <v>44</v>
      </c>
      <c r="D81" s="41" t="s">
        <v>274</v>
      </c>
      <c r="E81" s="41" t="s">
        <v>0</v>
      </c>
      <c r="F81" s="41" t="s">
        <v>492</v>
      </c>
      <c r="G81" s="41">
        <v>245</v>
      </c>
      <c r="H81" s="41">
        <v>30</v>
      </c>
      <c r="I81" s="41"/>
      <c r="J81" s="41"/>
    </row>
    <row r="82" spans="2:10" x14ac:dyDescent="0.25">
      <c r="B82" s="41">
        <v>52</v>
      </c>
      <c r="C82" s="41">
        <v>44</v>
      </c>
      <c r="D82" s="41" t="s">
        <v>274</v>
      </c>
      <c r="E82" s="41" t="s">
        <v>0</v>
      </c>
      <c r="F82" s="41" t="s">
        <v>121</v>
      </c>
      <c r="G82" s="41">
        <v>335</v>
      </c>
      <c r="H82" s="41">
        <v>53</v>
      </c>
      <c r="I82" s="41"/>
      <c r="J82" s="41"/>
    </row>
    <row r="83" spans="2:10" x14ac:dyDescent="0.25">
      <c r="B83" s="41">
        <v>53</v>
      </c>
      <c r="C83" s="41">
        <v>44</v>
      </c>
      <c r="D83" s="41" t="s">
        <v>275</v>
      </c>
      <c r="E83" s="41" t="s">
        <v>0</v>
      </c>
      <c r="F83" s="41" t="s">
        <v>101</v>
      </c>
      <c r="G83" s="41">
        <v>145</v>
      </c>
      <c r="H83" s="41">
        <v>220</v>
      </c>
      <c r="I83" s="41"/>
      <c r="J83" s="41"/>
    </row>
    <row r="84" spans="2:10" x14ac:dyDescent="0.25">
      <c r="B84" s="41">
        <v>53</v>
      </c>
      <c r="C84" s="41">
        <v>44</v>
      </c>
      <c r="D84" s="41" t="s">
        <v>275</v>
      </c>
      <c r="E84" s="41" t="s">
        <v>0</v>
      </c>
      <c r="F84" s="41" t="s">
        <v>493</v>
      </c>
      <c r="G84" s="41">
        <v>245</v>
      </c>
      <c r="H84" s="41">
        <v>30</v>
      </c>
      <c r="I84" s="41"/>
      <c r="J84" s="41"/>
    </row>
    <row r="85" spans="2:10" x14ac:dyDescent="0.25">
      <c r="B85" s="41">
        <v>53</v>
      </c>
      <c r="C85" s="41">
        <v>44</v>
      </c>
      <c r="D85" s="41" t="s">
        <v>275</v>
      </c>
      <c r="E85" s="41" t="s">
        <v>0</v>
      </c>
      <c r="F85" s="41" t="s">
        <v>120</v>
      </c>
      <c r="G85" s="41">
        <v>335</v>
      </c>
      <c r="H85" s="41">
        <v>53</v>
      </c>
      <c r="I85" s="41"/>
      <c r="J85" s="41"/>
    </row>
    <row r="86" spans="2:10" x14ac:dyDescent="0.25">
      <c r="B86" s="41">
        <v>54</v>
      </c>
      <c r="C86" s="41">
        <v>44</v>
      </c>
      <c r="D86" s="41" t="s">
        <v>276</v>
      </c>
      <c r="E86" s="41" t="s">
        <v>0</v>
      </c>
      <c r="F86" s="41" t="s">
        <v>103</v>
      </c>
      <c r="G86" s="41">
        <v>145</v>
      </c>
      <c r="H86" s="41">
        <v>220</v>
      </c>
      <c r="I86" s="41"/>
      <c r="J86" s="41"/>
    </row>
    <row r="87" spans="2:10" x14ac:dyDescent="0.25">
      <c r="B87" s="41">
        <v>54</v>
      </c>
      <c r="C87" s="41">
        <v>44</v>
      </c>
      <c r="D87" s="41" t="s">
        <v>276</v>
      </c>
      <c r="E87" s="41" t="s">
        <v>0</v>
      </c>
      <c r="F87" s="41" t="s">
        <v>494</v>
      </c>
      <c r="G87" s="41">
        <v>245</v>
      </c>
      <c r="H87" s="41">
        <v>30</v>
      </c>
      <c r="I87" s="41"/>
      <c r="J87" s="41"/>
    </row>
    <row r="88" spans="2:10" x14ac:dyDescent="0.25">
      <c r="B88" s="41">
        <v>54</v>
      </c>
      <c r="C88" s="41">
        <v>44</v>
      </c>
      <c r="D88" s="41" t="s">
        <v>276</v>
      </c>
      <c r="E88" s="41" t="s">
        <v>0</v>
      </c>
      <c r="F88" s="41" t="s">
        <v>119</v>
      </c>
      <c r="G88" s="41">
        <v>335</v>
      </c>
      <c r="H88" s="41">
        <v>53</v>
      </c>
      <c r="I88" s="41"/>
      <c r="J88" s="41"/>
    </row>
    <row r="89" spans="2:10" x14ac:dyDescent="0.25">
      <c r="B89" s="41">
        <v>55</v>
      </c>
      <c r="C89" s="41">
        <v>44</v>
      </c>
      <c r="D89" s="41" t="s">
        <v>277</v>
      </c>
      <c r="E89" s="41" t="s">
        <v>0</v>
      </c>
      <c r="F89" s="41" t="s">
        <v>126</v>
      </c>
      <c r="G89" s="41">
        <v>145</v>
      </c>
      <c r="H89" s="41">
        <v>220</v>
      </c>
      <c r="I89" s="41"/>
      <c r="J89" s="41"/>
    </row>
    <row r="90" spans="2:10" x14ac:dyDescent="0.25">
      <c r="B90" s="41">
        <v>55</v>
      </c>
      <c r="C90" s="41">
        <v>44</v>
      </c>
      <c r="D90" s="41" t="s">
        <v>277</v>
      </c>
      <c r="E90" s="41" t="s">
        <v>0</v>
      </c>
      <c r="F90" s="41" t="s">
        <v>495</v>
      </c>
      <c r="G90" s="41">
        <v>245</v>
      </c>
      <c r="H90" s="41">
        <v>30</v>
      </c>
      <c r="I90" s="41"/>
      <c r="J90" s="41"/>
    </row>
    <row r="91" spans="2:10" x14ac:dyDescent="0.25">
      <c r="B91" s="41">
        <v>55</v>
      </c>
      <c r="C91" s="41">
        <v>44</v>
      </c>
      <c r="D91" s="41" t="s">
        <v>277</v>
      </c>
      <c r="E91" s="41" t="s">
        <v>0</v>
      </c>
      <c r="F91" s="41" t="s">
        <v>207</v>
      </c>
      <c r="G91" s="41">
        <v>335</v>
      </c>
      <c r="H91" s="41">
        <v>53</v>
      </c>
      <c r="I91" s="41"/>
      <c r="J91" s="41"/>
    </row>
    <row r="92" spans="2:10" x14ac:dyDescent="0.25">
      <c r="B92" s="41">
        <v>56</v>
      </c>
      <c r="C92" s="41">
        <v>44</v>
      </c>
      <c r="D92" s="41" t="s">
        <v>277</v>
      </c>
      <c r="E92" s="41" t="s">
        <v>0</v>
      </c>
      <c r="F92" s="41" t="s">
        <v>127</v>
      </c>
      <c r="G92" s="41">
        <v>145</v>
      </c>
      <c r="H92" s="41">
        <v>220</v>
      </c>
      <c r="I92" s="41"/>
      <c r="J92" s="41"/>
    </row>
    <row r="93" spans="2:10" x14ac:dyDescent="0.25">
      <c r="B93" s="41">
        <v>56</v>
      </c>
      <c r="C93" s="41">
        <v>44</v>
      </c>
      <c r="D93" s="41" t="s">
        <v>277</v>
      </c>
      <c r="E93" s="41" t="s">
        <v>0</v>
      </c>
      <c r="F93" s="41" t="s">
        <v>496</v>
      </c>
      <c r="G93" s="41">
        <v>245</v>
      </c>
      <c r="H93" s="41">
        <v>30</v>
      </c>
      <c r="I93" s="41"/>
      <c r="J93" s="41"/>
    </row>
    <row r="94" spans="2:10" x14ac:dyDescent="0.25">
      <c r="B94" s="41">
        <v>56</v>
      </c>
      <c r="C94" s="41">
        <v>44</v>
      </c>
      <c r="D94" s="41" t="s">
        <v>277</v>
      </c>
      <c r="E94" s="41" t="s">
        <v>0</v>
      </c>
      <c r="F94" s="41" t="s">
        <v>208</v>
      </c>
      <c r="G94" s="41">
        <v>335</v>
      </c>
      <c r="H94" s="41">
        <v>53</v>
      </c>
      <c r="I94" s="41"/>
      <c r="J94" s="41"/>
    </row>
    <row r="95" spans="2:10" x14ac:dyDescent="0.25">
      <c r="B95" s="41">
        <v>57</v>
      </c>
      <c r="C95" s="41">
        <v>44</v>
      </c>
      <c r="D95" s="41" t="s">
        <v>278</v>
      </c>
      <c r="E95" s="41" t="s">
        <v>0</v>
      </c>
      <c r="F95" s="41" t="s">
        <v>106</v>
      </c>
      <c r="G95" s="41">
        <v>145</v>
      </c>
      <c r="H95" s="41">
        <v>220</v>
      </c>
      <c r="I95" s="41"/>
      <c r="J95" s="41"/>
    </row>
    <row r="96" spans="2:10" x14ac:dyDescent="0.25">
      <c r="B96" s="41">
        <v>57</v>
      </c>
      <c r="C96" s="41">
        <v>44</v>
      </c>
      <c r="D96" s="41" t="s">
        <v>278</v>
      </c>
      <c r="E96" s="41" t="s">
        <v>0</v>
      </c>
      <c r="F96" s="41" t="s">
        <v>497</v>
      </c>
      <c r="G96" s="41">
        <v>245</v>
      </c>
      <c r="H96" s="41">
        <v>30</v>
      </c>
      <c r="I96" s="41"/>
      <c r="J96" s="41"/>
    </row>
    <row r="97" spans="2:10" x14ac:dyDescent="0.25">
      <c r="B97" s="41">
        <v>57</v>
      </c>
      <c r="C97" s="41">
        <v>44</v>
      </c>
      <c r="D97" s="41" t="s">
        <v>278</v>
      </c>
      <c r="E97" s="41" t="s">
        <v>0</v>
      </c>
      <c r="F97" s="41" t="s">
        <v>122</v>
      </c>
      <c r="G97" s="41">
        <v>335</v>
      </c>
      <c r="H97" s="41">
        <v>53</v>
      </c>
      <c r="I97" s="41"/>
      <c r="J97" s="41"/>
    </row>
    <row r="98" spans="2:10" x14ac:dyDescent="0.25">
      <c r="B98" s="41">
        <v>58</v>
      </c>
      <c r="C98" s="41">
        <v>44</v>
      </c>
      <c r="D98" s="41" t="s">
        <v>279</v>
      </c>
      <c r="E98" s="41" t="s">
        <v>0</v>
      </c>
      <c r="F98" s="41" t="s">
        <v>128</v>
      </c>
      <c r="G98" s="41">
        <v>145</v>
      </c>
      <c r="H98" s="41">
        <v>220</v>
      </c>
      <c r="I98" s="41"/>
      <c r="J98" s="41"/>
    </row>
    <row r="99" spans="2:10" x14ac:dyDescent="0.25">
      <c r="B99" s="41">
        <v>58</v>
      </c>
      <c r="C99" s="41">
        <v>44</v>
      </c>
      <c r="D99" s="41" t="s">
        <v>279</v>
      </c>
      <c r="E99" s="41" t="s">
        <v>0</v>
      </c>
      <c r="F99" s="41" t="s">
        <v>498</v>
      </c>
      <c r="G99" s="41">
        <v>245</v>
      </c>
      <c r="H99" s="41">
        <v>30</v>
      </c>
      <c r="I99" s="41"/>
      <c r="J99" s="41"/>
    </row>
    <row r="100" spans="2:10" x14ac:dyDescent="0.25">
      <c r="B100" s="41">
        <v>58</v>
      </c>
      <c r="C100" s="41">
        <v>44</v>
      </c>
      <c r="D100" s="41" t="s">
        <v>279</v>
      </c>
      <c r="E100" s="41" t="s">
        <v>0</v>
      </c>
      <c r="F100" s="41" t="s">
        <v>209</v>
      </c>
      <c r="G100" s="41">
        <v>335</v>
      </c>
      <c r="H100" s="41">
        <v>53</v>
      </c>
      <c r="I100" s="41"/>
      <c r="J100" s="41"/>
    </row>
    <row r="101" spans="2:10" x14ac:dyDescent="0.25">
      <c r="B101" s="41">
        <v>59</v>
      </c>
      <c r="C101" s="41">
        <v>44</v>
      </c>
      <c r="D101" s="41" t="s">
        <v>279</v>
      </c>
      <c r="E101" s="41" t="s">
        <v>0</v>
      </c>
      <c r="F101" s="41" t="s">
        <v>129</v>
      </c>
      <c r="G101" s="41">
        <v>145</v>
      </c>
      <c r="H101" s="41">
        <v>220</v>
      </c>
      <c r="I101" s="41"/>
      <c r="J101" s="41"/>
    </row>
    <row r="102" spans="2:10" x14ac:dyDescent="0.25">
      <c r="B102" s="41">
        <v>59</v>
      </c>
      <c r="C102" s="41">
        <v>44</v>
      </c>
      <c r="D102" s="41" t="s">
        <v>279</v>
      </c>
      <c r="E102" s="41" t="s">
        <v>0</v>
      </c>
      <c r="F102" s="41" t="s">
        <v>499</v>
      </c>
      <c r="G102" s="41">
        <v>245</v>
      </c>
      <c r="H102" s="41">
        <v>30</v>
      </c>
      <c r="I102" s="41"/>
      <c r="J102" s="41"/>
    </row>
    <row r="103" spans="2:10" x14ac:dyDescent="0.25">
      <c r="B103" s="41">
        <v>59</v>
      </c>
      <c r="C103" s="41">
        <v>44</v>
      </c>
      <c r="D103" s="41" t="s">
        <v>279</v>
      </c>
      <c r="E103" s="41" t="s">
        <v>0</v>
      </c>
      <c r="F103" s="41" t="s">
        <v>210</v>
      </c>
      <c r="G103" s="41">
        <v>335</v>
      </c>
      <c r="H103" s="41">
        <v>53</v>
      </c>
      <c r="I103" s="41"/>
      <c r="J103" s="41"/>
    </row>
    <row r="104" spans="2:10" x14ac:dyDescent="0.25">
      <c r="B104" s="41">
        <v>60</v>
      </c>
      <c r="C104" s="41">
        <v>44</v>
      </c>
      <c r="D104" s="41" t="s">
        <v>280</v>
      </c>
      <c r="E104" s="41" t="s">
        <v>0</v>
      </c>
      <c r="F104" s="41" t="s">
        <v>109</v>
      </c>
      <c r="G104" s="41">
        <v>145</v>
      </c>
      <c r="H104" s="41">
        <v>220</v>
      </c>
      <c r="I104" s="41"/>
      <c r="J104" s="41"/>
    </row>
    <row r="105" spans="2:10" x14ac:dyDescent="0.25">
      <c r="B105" s="41">
        <v>60</v>
      </c>
      <c r="C105" s="41">
        <v>44</v>
      </c>
      <c r="D105" s="41" t="s">
        <v>280</v>
      </c>
      <c r="E105" s="41" t="s">
        <v>0</v>
      </c>
      <c r="F105" s="41" t="s">
        <v>500</v>
      </c>
      <c r="G105" s="41">
        <v>245</v>
      </c>
      <c r="H105" s="41">
        <v>30</v>
      </c>
      <c r="I105" s="41"/>
      <c r="J105" s="41"/>
    </row>
    <row r="106" spans="2:10" x14ac:dyDescent="0.25">
      <c r="B106" s="41">
        <v>60</v>
      </c>
      <c r="C106" s="41">
        <v>44</v>
      </c>
      <c r="D106" s="41" t="s">
        <v>280</v>
      </c>
      <c r="E106" s="41" t="s">
        <v>0</v>
      </c>
      <c r="F106" s="41" t="s">
        <v>123</v>
      </c>
      <c r="G106" s="41">
        <v>335</v>
      </c>
      <c r="H106" s="41">
        <v>53</v>
      </c>
      <c r="I106" s="41"/>
      <c r="J106" s="41"/>
    </row>
    <row r="107" spans="2:10" x14ac:dyDescent="0.25">
      <c r="B107" s="41">
        <v>61</v>
      </c>
      <c r="C107" s="41">
        <v>44</v>
      </c>
      <c r="D107" s="41" t="s">
        <v>281</v>
      </c>
      <c r="E107" s="41" t="s">
        <v>0</v>
      </c>
      <c r="F107" s="41" t="s">
        <v>111</v>
      </c>
      <c r="G107" s="41">
        <v>145</v>
      </c>
      <c r="H107" s="41">
        <v>220</v>
      </c>
      <c r="I107" s="41"/>
      <c r="J107" s="41"/>
    </row>
    <row r="108" spans="2:10" x14ac:dyDescent="0.25">
      <c r="B108" s="41">
        <v>61</v>
      </c>
      <c r="C108" s="41">
        <v>44</v>
      </c>
      <c r="D108" s="41" t="s">
        <v>281</v>
      </c>
      <c r="E108" s="41" t="s">
        <v>0</v>
      </c>
      <c r="F108" s="41" t="s">
        <v>501</v>
      </c>
      <c r="G108" s="41">
        <v>245</v>
      </c>
      <c r="H108" s="41">
        <v>30</v>
      </c>
      <c r="I108" s="41"/>
      <c r="J108" s="41"/>
    </row>
    <row r="109" spans="2:10" x14ac:dyDescent="0.25">
      <c r="B109" s="41">
        <v>61</v>
      </c>
      <c r="C109" s="41">
        <v>44</v>
      </c>
      <c r="D109" s="41" t="s">
        <v>281</v>
      </c>
      <c r="E109" s="41" t="s">
        <v>0</v>
      </c>
      <c r="F109" s="41" t="s">
        <v>124</v>
      </c>
      <c r="G109" s="41">
        <v>335</v>
      </c>
      <c r="H109" s="41">
        <v>53</v>
      </c>
      <c r="I109" s="41"/>
      <c r="J109" s="41"/>
    </row>
    <row r="110" spans="2:10" x14ac:dyDescent="0.25">
      <c r="B110" s="41">
        <v>62</v>
      </c>
      <c r="C110" s="41">
        <v>44</v>
      </c>
      <c r="D110" s="41" t="s">
        <v>282</v>
      </c>
      <c r="E110" s="41" t="s">
        <v>0</v>
      </c>
      <c r="F110" s="41" t="s">
        <v>113</v>
      </c>
      <c r="G110" s="41">
        <v>145</v>
      </c>
      <c r="H110" s="41">
        <v>220</v>
      </c>
      <c r="I110" s="41"/>
      <c r="J110" s="41"/>
    </row>
    <row r="111" spans="2:10" x14ac:dyDescent="0.25">
      <c r="B111" s="41">
        <v>62</v>
      </c>
      <c r="C111" s="41">
        <v>44</v>
      </c>
      <c r="D111" s="41" t="s">
        <v>282</v>
      </c>
      <c r="E111" s="41" t="s">
        <v>0</v>
      </c>
      <c r="F111" s="41" t="s">
        <v>502</v>
      </c>
      <c r="G111" s="41">
        <v>245</v>
      </c>
      <c r="H111" s="41">
        <v>30</v>
      </c>
      <c r="I111" s="41"/>
      <c r="J111" s="41"/>
    </row>
    <row r="112" spans="2:10" x14ac:dyDescent="0.25">
      <c r="B112" s="41">
        <v>62</v>
      </c>
      <c r="C112" s="41">
        <v>44</v>
      </c>
      <c r="D112" s="41" t="s">
        <v>282</v>
      </c>
      <c r="E112" s="41" t="s">
        <v>0</v>
      </c>
      <c r="F112" s="41" t="s">
        <v>125</v>
      </c>
      <c r="G112" s="41">
        <v>335</v>
      </c>
      <c r="H112" s="41">
        <v>53</v>
      </c>
      <c r="I112" s="41"/>
      <c r="J112" s="41"/>
    </row>
    <row r="113" spans="2:10" x14ac:dyDescent="0.25">
      <c r="B113" s="41">
        <v>63</v>
      </c>
      <c r="C113" s="41">
        <v>45</v>
      </c>
      <c r="D113" s="41"/>
      <c r="E113" s="41" t="s">
        <v>194</v>
      </c>
      <c r="F113" s="41"/>
      <c r="G113" s="41"/>
      <c r="H113" s="41"/>
      <c r="I113" s="41"/>
      <c r="J113" s="41"/>
    </row>
    <row r="114" spans="2:10" x14ac:dyDescent="0.25">
      <c r="B114" s="41">
        <v>64</v>
      </c>
      <c r="C114" s="41">
        <v>46</v>
      </c>
      <c r="D114" s="41"/>
      <c r="E114" s="41" t="s">
        <v>194</v>
      </c>
      <c r="F114" s="41"/>
      <c r="G114" s="41"/>
      <c r="H114" s="41"/>
      <c r="I114" s="41"/>
      <c r="J114" s="41"/>
    </row>
    <row r="115" spans="2:10" x14ac:dyDescent="0.25">
      <c r="B115" s="41">
        <v>65</v>
      </c>
      <c r="C115" s="41">
        <v>47</v>
      </c>
      <c r="D115" s="41"/>
      <c r="E115" s="41" t="s">
        <v>194</v>
      </c>
      <c r="F115" s="41"/>
      <c r="G115" s="41"/>
      <c r="H115" s="41"/>
      <c r="I115" s="41"/>
      <c r="J115" s="41"/>
    </row>
    <row r="116" spans="2:10" x14ac:dyDescent="0.25">
      <c r="B116" s="41">
        <v>66</v>
      </c>
      <c r="C116" s="41">
        <v>48</v>
      </c>
      <c r="D116" s="41"/>
      <c r="E116" s="41" t="s">
        <v>194</v>
      </c>
      <c r="F116" s="41"/>
      <c r="G116" s="41"/>
      <c r="H116" s="41"/>
      <c r="I116" s="41"/>
      <c r="J116" s="41"/>
    </row>
    <row r="117" spans="2:10" x14ac:dyDescent="0.25">
      <c r="B117" s="41">
        <v>67</v>
      </c>
      <c r="C117" s="41">
        <v>49</v>
      </c>
      <c r="D117" s="41"/>
      <c r="E117" s="41" t="s">
        <v>194</v>
      </c>
      <c r="F117" s="41"/>
      <c r="G117" s="41"/>
      <c r="H117" s="41"/>
      <c r="I117" s="41"/>
      <c r="J117" s="41"/>
    </row>
    <row r="118" spans="2:10" x14ac:dyDescent="0.25">
      <c r="B118" s="41">
        <v>68</v>
      </c>
      <c r="C118" s="41">
        <v>50</v>
      </c>
      <c r="D118" s="41"/>
      <c r="E118" s="41" t="s">
        <v>194</v>
      </c>
      <c r="F118" s="41"/>
      <c r="G118" s="41"/>
      <c r="H118" s="41"/>
      <c r="I118" s="41"/>
      <c r="J118" s="41"/>
    </row>
    <row r="119" spans="2:10" x14ac:dyDescent="0.25">
      <c r="B119" s="41">
        <v>69</v>
      </c>
      <c r="C119" s="41">
        <v>51</v>
      </c>
      <c r="D119" s="41"/>
      <c r="E119" s="41" t="s">
        <v>194</v>
      </c>
      <c r="F119" s="41"/>
      <c r="G119" s="41"/>
      <c r="H119" s="41"/>
      <c r="I119" s="41"/>
      <c r="J119" s="41"/>
    </row>
    <row r="120" spans="2:10" x14ac:dyDescent="0.25">
      <c r="B120" s="41">
        <v>70</v>
      </c>
      <c r="C120" s="41">
        <v>52</v>
      </c>
      <c r="D120" s="41"/>
      <c r="E120" s="41" t="s">
        <v>194</v>
      </c>
      <c r="F120" s="41"/>
      <c r="G120" s="41"/>
      <c r="H120" s="41"/>
      <c r="I120" s="41"/>
      <c r="J120" s="41"/>
    </row>
    <row r="121" spans="2:10" x14ac:dyDescent="0.25">
      <c r="B121" s="41">
        <v>71</v>
      </c>
      <c r="C121" s="41">
        <v>53</v>
      </c>
      <c r="D121" s="41"/>
      <c r="E121" s="41" t="s">
        <v>194</v>
      </c>
      <c r="F121" s="41"/>
      <c r="G121" s="41"/>
      <c r="H121" s="41"/>
      <c r="I121" s="41"/>
      <c r="J121" s="41"/>
    </row>
    <row r="122" spans="2:10" x14ac:dyDescent="0.25">
      <c r="B122" s="41">
        <v>72</v>
      </c>
      <c r="C122" s="41">
        <v>54</v>
      </c>
      <c r="D122" s="41"/>
      <c r="E122" s="41" t="s">
        <v>194</v>
      </c>
      <c r="F122" s="41"/>
      <c r="G122" s="41"/>
      <c r="H122" s="41"/>
      <c r="I122" s="41"/>
      <c r="J122" s="41"/>
    </row>
    <row r="123" spans="2:10" x14ac:dyDescent="0.25">
      <c r="B123" s="41">
        <v>73</v>
      </c>
      <c r="C123" s="41">
        <v>55</v>
      </c>
      <c r="D123" s="41"/>
      <c r="E123" s="41" t="s">
        <v>194</v>
      </c>
      <c r="F123" s="41"/>
      <c r="G123" s="41"/>
      <c r="H123" s="41"/>
      <c r="I123" s="41"/>
      <c r="J123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4" r:id="rId5" name="Button 80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10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J817"/>
  <sheetViews>
    <sheetView showGridLines="0" topLeftCell="A88" zoomScale="80" zoomScaleNormal="80" workbookViewId="0">
      <selection activeCell="C805" sqref="C805:G810"/>
    </sheetView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98</v>
      </c>
    </row>
    <row r="61" spans="1:1" x14ac:dyDescent="0.25">
      <c r="A61" t="s">
        <v>99</v>
      </c>
    </row>
    <row r="75" spans="1:8" ht="59.1" customHeight="1" x14ac:dyDescent="0.25">
      <c r="A75" t="s">
        <v>121</v>
      </c>
      <c r="D75" s="160" t="s">
        <v>222</v>
      </c>
      <c r="E75" s="160" t="s">
        <v>223</v>
      </c>
      <c r="F75" s="160" t="s">
        <v>224</v>
      </c>
      <c r="G75" s="160" t="s">
        <v>225</v>
      </c>
      <c r="H75" s="160" t="s">
        <v>226</v>
      </c>
    </row>
    <row r="76" spans="1:8" ht="21.95" customHeight="1" x14ac:dyDescent="0.25">
      <c r="C76" s="148" t="s">
        <v>132</v>
      </c>
      <c r="D76" s="149">
        <v>90.45</v>
      </c>
      <c r="E76" s="149">
        <v>86.08</v>
      </c>
      <c r="F76" s="149">
        <v>84.35</v>
      </c>
      <c r="G76" s="149">
        <v>87.74</v>
      </c>
      <c r="H76" s="149">
        <v>90.43</v>
      </c>
    </row>
    <row r="77" spans="1:8" ht="21.95" customHeight="1" x14ac:dyDescent="0.25">
      <c r="C77" s="151" t="s">
        <v>133</v>
      </c>
      <c r="D77" s="149">
        <v>84.9</v>
      </c>
      <c r="E77" s="149">
        <v>80.59</v>
      </c>
      <c r="F77" s="149">
        <v>81</v>
      </c>
      <c r="G77" s="149">
        <v>84.36</v>
      </c>
      <c r="H77" s="149">
        <v>87.34</v>
      </c>
    </row>
    <row r="78" spans="1:8" ht="21.95" customHeight="1" x14ac:dyDescent="0.25">
      <c r="C78" s="152" t="s">
        <v>131</v>
      </c>
      <c r="D78" s="149">
        <v>85.2</v>
      </c>
      <c r="E78" s="149">
        <v>77.400000000000006</v>
      </c>
      <c r="F78" s="149">
        <v>75.959999999999994</v>
      </c>
      <c r="G78" s="149">
        <v>79.81</v>
      </c>
      <c r="H78" s="149">
        <v>83.12</v>
      </c>
    </row>
    <row r="79" spans="1:8" ht="21.95" customHeight="1" x14ac:dyDescent="0.25">
      <c r="C79" s="153" t="s">
        <v>142</v>
      </c>
      <c r="D79" s="149">
        <v>83.54</v>
      </c>
      <c r="E79" s="149">
        <v>81.03</v>
      </c>
      <c r="F79" s="149">
        <v>83.26</v>
      </c>
      <c r="G79" s="149">
        <v>88.56</v>
      </c>
      <c r="H79" s="149">
        <v>91.07</v>
      </c>
    </row>
    <row r="80" spans="1:8" ht="21.95" customHeight="1" x14ac:dyDescent="0.25">
      <c r="C80" s="154" t="s">
        <v>485</v>
      </c>
      <c r="D80" s="150">
        <v>90.58</v>
      </c>
      <c r="E80" s="150">
        <v>85.89</v>
      </c>
      <c r="F80" s="150">
        <v>85.08</v>
      </c>
      <c r="G80" s="150">
        <v>88.42</v>
      </c>
      <c r="H80" s="150">
        <v>90.24</v>
      </c>
    </row>
    <row r="81" spans="1:8" x14ac:dyDescent="0.25">
      <c r="C81" t="s">
        <v>486</v>
      </c>
      <c r="D81" s="155">
        <v>87.13</v>
      </c>
      <c r="E81" s="155">
        <v>82.26</v>
      </c>
      <c r="F81" s="155">
        <v>81.83</v>
      </c>
      <c r="G81" s="155">
        <v>85.57</v>
      </c>
      <c r="H81" s="155">
        <v>88.33</v>
      </c>
    </row>
    <row r="82" spans="1:8" x14ac:dyDescent="0.25">
      <c r="C82" t="s">
        <v>487</v>
      </c>
      <c r="D82" s="156">
        <v>292</v>
      </c>
      <c r="E82" s="156">
        <v>1996</v>
      </c>
      <c r="F82" s="156">
        <v>1426</v>
      </c>
      <c r="G82" s="156">
        <v>736</v>
      </c>
      <c r="H82" s="156">
        <v>248</v>
      </c>
    </row>
    <row r="83" spans="1:8" x14ac:dyDescent="0.25">
      <c r="C83" t="s">
        <v>488</v>
      </c>
      <c r="D83" s="157">
        <v>82.41</v>
      </c>
      <c r="E83" s="157">
        <v>77.44</v>
      </c>
      <c r="F83" s="157">
        <v>78.069999999999993</v>
      </c>
      <c r="G83" s="157">
        <v>82.57</v>
      </c>
      <c r="H83" s="157">
        <v>86.36</v>
      </c>
    </row>
    <row r="84" spans="1:8" x14ac:dyDescent="0.25">
      <c r="C84" t="s">
        <v>489</v>
      </c>
      <c r="D84" s="158">
        <v>249</v>
      </c>
      <c r="E84" s="158">
        <v>1965</v>
      </c>
      <c r="F84" s="158">
        <v>1426</v>
      </c>
      <c r="G84" s="158">
        <v>733</v>
      </c>
      <c r="H84" s="158">
        <v>256</v>
      </c>
    </row>
    <row r="85" spans="1:8" ht="22.5" x14ac:dyDescent="0.25">
      <c r="C85" t="s">
        <v>130</v>
      </c>
      <c r="D85" s="159" t="s">
        <v>222</v>
      </c>
      <c r="E85" s="159" t="s">
        <v>223</v>
      </c>
      <c r="F85" s="159" t="s">
        <v>224</v>
      </c>
      <c r="G85" s="159" t="s">
        <v>225</v>
      </c>
      <c r="H85" s="159" t="s">
        <v>226</v>
      </c>
    </row>
    <row r="86" spans="1:8" x14ac:dyDescent="0.25">
      <c r="C86" t="s">
        <v>490</v>
      </c>
      <c r="D86" s="155">
        <v>82.91</v>
      </c>
      <c r="E86" s="155">
        <v>82.91</v>
      </c>
      <c r="F86" s="155">
        <v>82.91</v>
      </c>
      <c r="G86" s="155">
        <v>82.91</v>
      </c>
      <c r="H86" s="155">
        <v>82.91</v>
      </c>
    </row>
    <row r="87" spans="1:8" x14ac:dyDescent="0.25">
      <c r="C87" t="s">
        <v>491</v>
      </c>
      <c r="D87" s="161">
        <v>87.33</v>
      </c>
      <c r="E87" s="161">
        <v>82.4</v>
      </c>
      <c r="F87" s="161">
        <v>83.7</v>
      </c>
      <c r="G87" s="161">
        <v>87.89</v>
      </c>
      <c r="H87" s="161">
        <v>93.55</v>
      </c>
    </row>
    <row r="92" spans="1:8" x14ac:dyDescent="0.25">
      <c r="A92" t="s">
        <v>100</v>
      </c>
    </row>
    <row r="152" spans="1:1" x14ac:dyDescent="0.25">
      <c r="A152" t="s">
        <v>101</v>
      </c>
    </row>
    <row r="166" spans="1:5" ht="59.1" customHeight="1" x14ac:dyDescent="0.25">
      <c r="A166" t="s">
        <v>120</v>
      </c>
      <c r="D166" s="160" t="s">
        <v>227</v>
      </c>
      <c r="E166" s="160" t="s">
        <v>228</v>
      </c>
    </row>
    <row r="167" spans="1:5" ht="21.95" customHeight="1" x14ac:dyDescent="0.25">
      <c r="C167" s="148" t="s">
        <v>132</v>
      </c>
      <c r="D167" s="149">
        <v>86.53</v>
      </c>
      <c r="E167" s="149">
        <v>86.24</v>
      </c>
    </row>
    <row r="168" spans="1:5" ht="21.95" customHeight="1" x14ac:dyDescent="0.25">
      <c r="C168" s="151" t="s">
        <v>133</v>
      </c>
      <c r="D168" s="149">
        <v>82.52</v>
      </c>
      <c r="E168" s="149">
        <v>81.34</v>
      </c>
    </row>
    <row r="169" spans="1:5" ht="21.95" customHeight="1" x14ac:dyDescent="0.25">
      <c r="C169" s="152" t="s">
        <v>131</v>
      </c>
      <c r="D169" s="149">
        <v>78.27</v>
      </c>
      <c r="E169" s="149">
        <v>78.02</v>
      </c>
    </row>
    <row r="170" spans="1:5" ht="21.95" customHeight="1" x14ac:dyDescent="0.25">
      <c r="C170" s="153" t="s">
        <v>142</v>
      </c>
      <c r="D170" s="149">
        <v>83.68</v>
      </c>
      <c r="E170" s="149">
        <v>83.52</v>
      </c>
    </row>
    <row r="171" spans="1:5" ht="21.95" customHeight="1" x14ac:dyDescent="0.25">
      <c r="C171" s="154" t="s">
        <v>485</v>
      </c>
      <c r="D171" s="150">
        <v>86.39</v>
      </c>
      <c r="E171" s="150">
        <v>86.83</v>
      </c>
    </row>
    <row r="172" spans="1:5" x14ac:dyDescent="0.25">
      <c r="C172" t="s">
        <v>486</v>
      </c>
      <c r="D172" s="155">
        <v>83.48</v>
      </c>
      <c r="E172" s="155">
        <v>83.12</v>
      </c>
    </row>
    <row r="173" spans="1:5" x14ac:dyDescent="0.25">
      <c r="C173" t="s">
        <v>487</v>
      </c>
      <c r="D173" s="156">
        <v>2476</v>
      </c>
      <c r="E173" s="156">
        <v>2191</v>
      </c>
    </row>
    <row r="174" spans="1:5" x14ac:dyDescent="0.25">
      <c r="C174" t="s">
        <v>488</v>
      </c>
      <c r="D174" s="157">
        <v>79.62</v>
      </c>
      <c r="E174" s="157">
        <v>78.790000000000006</v>
      </c>
    </row>
    <row r="175" spans="1:5" x14ac:dyDescent="0.25">
      <c r="C175" t="s">
        <v>489</v>
      </c>
      <c r="D175" s="158">
        <v>2382</v>
      </c>
      <c r="E175" s="158">
        <v>2218</v>
      </c>
    </row>
    <row r="176" spans="1:5" x14ac:dyDescent="0.25">
      <c r="C176" t="s">
        <v>130</v>
      </c>
      <c r="D176" s="159" t="s">
        <v>227</v>
      </c>
      <c r="E176" s="159" t="s">
        <v>228</v>
      </c>
    </row>
    <row r="177" spans="1:5" x14ac:dyDescent="0.25">
      <c r="C177" t="s">
        <v>490</v>
      </c>
      <c r="D177" s="155">
        <v>82.91</v>
      </c>
      <c r="E177" s="155">
        <v>82.91</v>
      </c>
    </row>
    <row r="178" spans="1:5" x14ac:dyDescent="0.25">
      <c r="C178" t="s">
        <v>491</v>
      </c>
      <c r="D178" s="161">
        <v>85.32</v>
      </c>
      <c r="E178" s="161">
        <v>83.78</v>
      </c>
    </row>
    <row r="183" spans="1:5" x14ac:dyDescent="0.25">
      <c r="A183" t="s">
        <v>102</v>
      </c>
    </row>
    <row r="243" spans="1:1" x14ac:dyDescent="0.25">
      <c r="A243" t="s">
        <v>103</v>
      </c>
    </row>
    <row r="257" spans="1:8" ht="59.1" customHeight="1" x14ac:dyDescent="0.25">
      <c r="A257" t="s">
        <v>119</v>
      </c>
      <c r="D257" s="160" t="s">
        <v>229</v>
      </c>
      <c r="E257" s="160" t="s">
        <v>230</v>
      </c>
      <c r="F257" s="160" t="s">
        <v>231</v>
      </c>
      <c r="G257" s="160" t="s">
        <v>232</v>
      </c>
      <c r="H257" s="160" t="s">
        <v>233</v>
      </c>
    </row>
    <row r="258" spans="1:8" ht="21.95" customHeight="1" x14ac:dyDescent="0.25">
      <c r="C258" s="148" t="s">
        <v>132</v>
      </c>
      <c r="D258" s="149">
        <v>76.19</v>
      </c>
      <c r="E258" s="149">
        <v>87.14</v>
      </c>
      <c r="F258" s="149">
        <v>86.86</v>
      </c>
      <c r="G258" s="149">
        <v>85.18</v>
      </c>
      <c r="H258" s="149">
        <v>87.05</v>
      </c>
    </row>
    <row r="259" spans="1:8" ht="21.95" customHeight="1" x14ac:dyDescent="0.25">
      <c r="C259" s="151" t="s">
        <v>133</v>
      </c>
      <c r="D259" s="149">
        <v>78.209999999999994</v>
      </c>
      <c r="E259" s="149">
        <v>80.63</v>
      </c>
      <c r="F259" s="149">
        <v>81.92</v>
      </c>
      <c r="G259" s="149">
        <v>81.260000000000005</v>
      </c>
      <c r="H259" s="149">
        <v>85.26</v>
      </c>
    </row>
    <row r="260" spans="1:8" ht="21.95" customHeight="1" x14ac:dyDescent="0.25">
      <c r="C260" s="152" t="s">
        <v>131</v>
      </c>
      <c r="D260" s="149">
        <v>80.489999999999995</v>
      </c>
      <c r="E260" s="149">
        <v>78.47</v>
      </c>
      <c r="F260" s="149">
        <v>78.739999999999995</v>
      </c>
      <c r="G260" s="149">
        <v>76.790000000000006</v>
      </c>
      <c r="H260" s="149">
        <v>79.03</v>
      </c>
    </row>
    <row r="261" spans="1:8" ht="21.95" customHeight="1" x14ac:dyDescent="0.25">
      <c r="C261" s="153" t="s">
        <v>142</v>
      </c>
      <c r="D261" s="149">
        <v>84.38</v>
      </c>
      <c r="E261" s="149">
        <v>84.66</v>
      </c>
      <c r="F261" s="149">
        <v>83.78</v>
      </c>
      <c r="G261" s="149">
        <v>82.02</v>
      </c>
      <c r="H261" s="149">
        <v>86.82</v>
      </c>
    </row>
    <row r="262" spans="1:8" ht="21.95" customHeight="1" x14ac:dyDescent="0.25">
      <c r="C262" s="154" t="s">
        <v>485</v>
      </c>
      <c r="D262" s="150">
        <v>78.33</v>
      </c>
      <c r="E262" s="150">
        <v>85.6</v>
      </c>
      <c r="F262" s="150">
        <v>86.75</v>
      </c>
      <c r="G262" s="150">
        <v>85.69</v>
      </c>
      <c r="H262" s="150">
        <v>89.35</v>
      </c>
    </row>
    <row r="263" spans="1:8" x14ac:dyDescent="0.25">
      <c r="C263" t="s">
        <v>486</v>
      </c>
      <c r="D263" s="155">
        <v>79.010000000000005</v>
      </c>
      <c r="E263" s="155">
        <v>83.26</v>
      </c>
      <c r="F263" s="155">
        <v>83.59</v>
      </c>
      <c r="G263" s="155">
        <v>82.17</v>
      </c>
      <c r="H263" s="155">
        <v>85.4</v>
      </c>
    </row>
    <row r="264" spans="1:8" x14ac:dyDescent="0.25">
      <c r="C264" t="s">
        <v>487</v>
      </c>
      <c r="D264" s="156">
        <v>12</v>
      </c>
      <c r="E264" s="156">
        <v>360</v>
      </c>
      <c r="F264" s="156">
        <v>2276</v>
      </c>
      <c r="G264" s="156">
        <v>1542</v>
      </c>
      <c r="H264" s="156">
        <v>500</v>
      </c>
    </row>
    <row r="265" spans="1:8" x14ac:dyDescent="0.25">
      <c r="C265" t="s">
        <v>488</v>
      </c>
      <c r="D265" s="157">
        <v>68.069999999999993</v>
      </c>
      <c r="E265" s="157">
        <v>79.69</v>
      </c>
      <c r="F265" s="157">
        <v>79.13</v>
      </c>
      <c r="G265" s="157">
        <v>78.17</v>
      </c>
      <c r="H265" s="157">
        <v>82.9</v>
      </c>
    </row>
    <row r="266" spans="1:8" x14ac:dyDescent="0.25">
      <c r="C266" t="s">
        <v>489</v>
      </c>
      <c r="D266" s="158">
        <v>14</v>
      </c>
      <c r="E266" s="158">
        <v>413</v>
      </c>
      <c r="F266" s="158">
        <v>2318</v>
      </c>
      <c r="G266" s="158">
        <v>1467</v>
      </c>
      <c r="H266" s="158">
        <v>425</v>
      </c>
    </row>
    <row r="267" spans="1:8" ht="45" x14ac:dyDescent="0.25">
      <c r="C267" t="s">
        <v>130</v>
      </c>
      <c r="D267" s="159" t="s">
        <v>229</v>
      </c>
      <c r="E267" s="159" t="s">
        <v>230</v>
      </c>
      <c r="F267" s="159" t="s">
        <v>231</v>
      </c>
      <c r="G267" s="159" t="s">
        <v>232</v>
      </c>
      <c r="H267" s="159" t="s">
        <v>233</v>
      </c>
    </row>
    <row r="268" spans="1:8" x14ac:dyDescent="0.25">
      <c r="C268" t="s">
        <v>490</v>
      </c>
      <c r="D268" s="155">
        <v>82.91</v>
      </c>
      <c r="E268" s="155">
        <v>82.91</v>
      </c>
      <c r="F268" s="155">
        <v>82.91</v>
      </c>
      <c r="G268" s="155">
        <v>82.91</v>
      </c>
      <c r="H268" s="155">
        <v>82.91</v>
      </c>
    </row>
    <row r="269" spans="1:8" x14ac:dyDescent="0.25">
      <c r="C269" t="s">
        <v>491</v>
      </c>
      <c r="D269" s="161">
        <v>75</v>
      </c>
      <c r="E269" s="161">
        <v>86.11</v>
      </c>
      <c r="F269" s="161">
        <v>84.66</v>
      </c>
      <c r="G269" s="161">
        <v>82.38</v>
      </c>
      <c r="H269" s="161">
        <v>89.58</v>
      </c>
    </row>
    <row r="274" spans="1:1" x14ac:dyDescent="0.25">
      <c r="A274" t="s">
        <v>104</v>
      </c>
    </row>
    <row r="304" spans="1:1" x14ac:dyDescent="0.25">
      <c r="A304" t="s">
        <v>126</v>
      </c>
    </row>
    <row r="318" spans="1:8" ht="59.1" customHeight="1" x14ac:dyDescent="0.25">
      <c r="A318" t="s">
        <v>207</v>
      </c>
      <c r="D318" s="164" t="s">
        <v>234</v>
      </c>
      <c r="E318" s="164" t="s">
        <v>235</v>
      </c>
      <c r="F318" s="164" t="s">
        <v>236</v>
      </c>
      <c r="G318" s="164" t="s">
        <v>237</v>
      </c>
      <c r="H318" s="164" t="s">
        <v>238</v>
      </c>
    </row>
    <row r="319" spans="1:8" ht="21.95" customHeight="1" x14ac:dyDescent="0.25">
      <c r="C319" s="148" t="s">
        <v>132</v>
      </c>
      <c r="D319" s="149">
        <v>93.53</v>
      </c>
      <c r="E319" s="149">
        <v>91.83</v>
      </c>
      <c r="F319" s="149">
        <v>88.97</v>
      </c>
      <c r="G319" s="149">
        <v>83.86</v>
      </c>
      <c r="H319" s="149">
        <v>84.1</v>
      </c>
    </row>
    <row r="320" spans="1:8" ht="21.95" customHeight="1" x14ac:dyDescent="0.25">
      <c r="C320" s="151" t="s">
        <v>133</v>
      </c>
      <c r="D320" s="149">
        <v>93.66</v>
      </c>
      <c r="E320" s="149">
        <v>89.43</v>
      </c>
      <c r="F320" s="149">
        <v>85.92</v>
      </c>
      <c r="G320" s="149">
        <v>81.99</v>
      </c>
      <c r="H320" s="149">
        <v>79.41</v>
      </c>
    </row>
    <row r="321" spans="1:8" ht="21.95" customHeight="1" x14ac:dyDescent="0.25">
      <c r="C321" s="152" t="s">
        <v>131</v>
      </c>
      <c r="D321" s="149">
        <v>87.16</v>
      </c>
      <c r="E321" s="149">
        <v>83.33</v>
      </c>
      <c r="F321" s="149">
        <v>81.790000000000006</v>
      </c>
      <c r="G321" s="149">
        <v>75.37</v>
      </c>
      <c r="H321" s="149">
        <v>74.319999999999993</v>
      </c>
    </row>
    <row r="322" spans="1:8" ht="21.95" customHeight="1" x14ac:dyDescent="0.25">
      <c r="C322" s="153" t="s">
        <v>142</v>
      </c>
      <c r="D322" s="149">
        <v>94.93</v>
      </c>
      <c r="E322" s="149">
        <v>92.27</v>
      </c>
      <c r="F322" s="149">
        <v>89.09</v>
      </c>
      <c r="G322" s="149">
        <v>82.97</v>
      </c>
      <c r="H322" s="149">
        <v>81.58</v>
      </c>
    </row>
    <row r="323" spans="1:8" ht="21.95" customHeight="1" x14ac:dyDescent="0.25">
      <c r="C323" s="154" t="s">
        <v>485</v>
      </c>
      <c r="D323" s="150">
        <v>94.86</v>
      </c>
      <c r="E323" s="150">
        <v>92.88</v>
      </c>
      <c r="F323" s="150">
        <v>90.23</v>
      </c>
      <c r="G323" s="150">
        <v>86.42</v>
      </c>
      <c r="H323" s="150">
        <v>83.34</v>
      </c>
    </row>
    <row r="324" spans="1:8" x14ac:dyDescent="0.25">
      <c r="C324" t="s">
        <v>486</v>
      </c>
      <c r="D324" s="155">
        <v>92.75</v>
      </c>
      <c r="E324" s="155">
        <v>89.82</v>
      </c>
      <c r="F324" s="155">
        <v>87.04</v>
      </c>
      <c r="G324" s="155">
        <v>82.03</v>
      </c>
      <c r="H324" s="155">
        <v>80.510000000000005</v>
      </c>
    </row>
    <row r="325" spans="1:8" x14ac:dyDescent="0.25">
      <c r="C325" t="s">
        <v>487</v>
      </c>
      <c r="D325" s="156">
        <v>74</v>
      </c>
      <c r="E325" s="156">
        <v>139</v>
      </c>
      <c r="F325" s="156">
        <v>979</v>
      </c>
      <c r="G325" s="156">
        <v>794</v>
      </c>
      <c r="H325" s="156">
        <v>386</v>
      </c>
    </row>
    <row r="326" spans="1:8" x14ac:dyDescent="0.25">
      <c r="C326" t="s">
        <v>488</v>
      </c>
      <c r="D326" s="157">
        <v>91.91</v>
      </c>
      <c r="E326" s="157">
        <v>88.05</v>
      </c>
      <c r="F326" s="157">
        <v>86.33</v>
      </c>
      <c r="G326" s="157">
        <v>77.510000000000005</v>
      </c>
      <c r="H326" s="157">
        <v>73.2</v>
      </c>
    </row>
    <row r="327" spans="1:8" x14ac:dyDescent="0.25">
      <c r="C327" t="s">
        <v>489</v>
      </c>
      <c r="D327" s="158">
        <v>65</v>
      </c>
      <c r="E327" s="158">
        <v>121</v>
      </c>
      <c r="F327" s="158">
        <v>895</v>
      </c>
      <c r="G327" s="158">
        <v>768</v>
      </c>
      <c r="H327" s="158">
        <v>265</v>
      </c>
    </row>
    <row r="328" spans="1:8" ht="112.5" x14ac:dyDescent="0.25">
      <c r="C328" t="s">
        <v>130</v>
      </c>
      <c r="D328" s="163" t="s">
        <v>234</v>
      </c>
      <c r="E328" s="163" t="s">
        <v>235</v>
      </c>
      <c r="F328" s="163" t="s">
        <v>236</v>
      </c>
      <c r="G328" s="163" t="s">
        <v>237</v>
      </c>
      <c r="H328" s="163" t="s">
        <v>238</v>
      </c>
    </row>
    <row r="329" spans="1:8" x14ac:dyDescent="0.25">
      <c r="C329" t="s">
        <v>490</v>
      </c>
      <c r="D329" s="155">
        <v>82.91</v>
      </c>
      <c r="E329" s="155">
        <v>82.91</v>
      </c>
      <c r="F329" s="155">
        <v>82.91</v>
      </c>
      <c r="G329" s="155">
        <v>82.91</v>
      </c>
      <c r="H329" s="155">
        <v>82.91</v>
      </c>
    </row>
    <row r="330" spans="1:8" x14ac:dyDescent="0.25">
      <c r="C330" t="s">
        <v>491</v>
      </c>
      <c r="D330" s="161">
        <v>98.65</v>
      </c>
      <c r="E330" s="161">
        <v>94.24</v>
      </c>
      <c r="F330" s="161">
        <v>89.27</v>
      </c>
      <c r="G330" s="161">
        <v>85.34</v>
      </c>
      <c r="H330" s="161">
        <v>81.61</v>
      </c>
    </row>
    <row r="335" spans="1:8" x14ac:dyDescent="0.25">
      <c r="A335" t="s">
        <v>127</v>
      </c>
    </row>
    <row r="349" spans="1:8" ht="59.1" customHeight="1" x14ac:dyDescent="0.25">
      <c r="A349" t="s">
        <v>208</v>
      </c>
      <c r="D349" s="164" t="s">
        <v>239</v>
      </c>
      <c r="E349" s="164" t="s">
        <v>240</v>
      </c>
      <c r="F349" s="164" t="s">
        <v>241</v>
      </c>
      <c r="G349" s="164" t="s">
        <v>242</v>
      </c>
      <c r="H349" s="164" t="s">
        <v>243</v>
      </c>
    </row>
    <row r="350" spans="1:8" ht="21.95" customHeight="1" x14ac:dyDescent="0.25">
      <c r="C350" s="148" t="s">
        <v>132</v>
      </c>
      <c r="D350" s="149">
        <v>78.73</v>
      </c>
      <c r="E350" s="149">
        <v>86.35</v>
      </c>
      <c r="F350" s="149">
        <v>87.52</v>
      </c>
      <c r="G350" s="149">
        <v>90.4</v>
      </c>
      <c r="H350" s="149">
        <v>79.88</v>
      </c>
    </row>
    <row r="351" spans="1:8" ht="21.95" customHeight="1" x14ac:dyDescent="0.25">
      <c r="C351" s="151" t="s">
        <v>133</v>
      </c>
      <c r="D351" s="149">
        <v>74.709999999999994</v>
      </c>
      <c r="E351" s="149">
        <v>79.209999999999994</v>
      </c>
      <c r="F351" s="149">
        <v>81.94</v>
      </c>
      <c r="G351" s="149">
        <v>82.09</v>
      </c>
      <c r="H351" s="149">
        <v>80.540000000000006</v>
      </c>
    </row>
    <row r="352" spans="1:8" ht="21.95" customHeight="1" x14ac:dyDescent="0.25">
      <c r="C352" s="152" t="s">
        <v>131</v>
      </c>
      <c r="D352" s="149">
        <v>69.97</v>
      </c>
      <c r="E352" s="149">
        <v>77.64</v>
      </c>
      <c r="F352" s="149">
        <v>79.180000000000007</v>
      </c>
      <c r="G352" s="149">
        <v>83.27</v>
      </c>
      <c r="H352" s="149">
        <v>72.260000000000005</v>
      </c>
    </row>
    <row r="353" spans="1:8" ht="21.95" customHeight="1" x14ac:dyDescent="0.25">
      <c r="C353" s="153" t="s">
        <v>142</v>
      </c>
      <c r="D353" s="149">
        <v>76.73</v>
      </c>
      <c r="E353" s="149">
        <v>80.61</v>
      </c>
      <c r="F353" s="149">
        <v>83.49</v>
      </c>
      <c r="G353" s="149">
        <v>80.66</v>
      </c>
      <c r="H353" s="149">
        <v>76.23</v>
      </c>
    </row>
    <row r="354" spans="1:8" ht="21.95" customHeight="1" x14ac:dyDescent="0.25">
      <c r="C354" s="154" t="s">
        <v>485</v>
      </c>
      <c r="D354" s="150">
        <v>79.400000000000006</v>
      </c>
      <c r="E354" s="150">
        <v>84.13</v>
      </c>
      <c r="F354" s="150">
        <v>86.8</v>
      </c>
      <c r="G354" s="150">
        <v>89.26</v>
      </c>
      <c r="H354" s="150">
        <v>80.28</v>
      </c>
    </row>
    <row r="355" spans="1:8" x14ac:dyDescent="0.25">
      <c r="C355" t="s">
        <v>486</v>
      </c>
      <c r="D355" s="155">
        <v>75.88</v>
      </c>
      <c r="E355" s="155">
        <v>81.69</v>
      </c>
      <c r="F355" s="155">
        <v>83.78</v>
      </c>
      <c r="G355" s="155">
        <v>85.39</v>
      </c>
      <c r="H355" s="155">
        <v>77.95</v>
      </c>
    </row>
    <row r="356" spans="1:8" x14ac:dyDescent="0.25">
      <c r="C356" t="s">
        <v>487</v>
      </c>
      <c r="D356" s="156">
        <v>426</v>
      </c>
      <c r="E356" s="156">
        <v>536</v>
      </c>
      <c r="F356" s="156">
        <v>877</v>
      </c>
      <c r="G356" s="156">
        <v>396</v>
      </c>
      <c r="H356" s="156">
        <v>42</v>
      </c>
    </row>
    <row r="357" spans="1:8" x14ac:dyDescent="0.25">
      <c r="C357" t="s">
        <v>488</v>
      </c>
      <c r="D357" s="157">
        <v>71.02</v>
      </c>
      <c r="E357" s="157">
        <v>74.760000000000005</v>
      </c>
      <c r="F357" s="157">
        <v>80.2</v>
      </c>
      <c r="G357" s="157">
        <v>80.39</v>
      </c>
      <c r="H357" s="157" t="s">
        <v>148</v>
      </c>
    </row>
    <row r="358" spans="1:8" x14ac:dyDescent="0.25">
      <c r="C358" t="s">
        <v>489</v>
      </c>
      <c r="D358" s="158">
        <v>519</v>
      </c>
      <c r="E358" s="158">
        <v>572</v>
      </c>
      <c r="F358" s="158">
        <v>937</v>
      </c>
      <c r="G358" s="158">
        <v>444</v>
      </c>
      <c r="H358" s="158" t="s">
        <v>146</v>
      </c>
    </row>
    <row r="359" spans="1:8" ht="90" x14ac:dyDescent="0.25">
      <c r="C359" t="s">
        <v>130</v>
      </c>
      <c r="D359" s="163" t="s">
        <v>239</v>
      </c>
      <c r="E359" s="163" t="s">
        <v>240</v>
      </c>
      <c r="F359" s="163" t="s">
        <v>241</v>
      </c>
      <c r="G359" s="163" t="s">
        <v>242</v>
      </c>
      <c r="H359" s="163" t="s">
        <v>243</v>
      </c>
    </row>
    <row r="360" spans="1:8" x14ac:dyDescent="0.25">
      <c r="C360" t="s">
        <v>490</v>
      </c>
      <c r="D360" s="155">
        <v>82.91</v>
      </c>
      <c r="E360" s="155">
        <v>82.91</v>
      </c>
      <c r="F360" s="155">
        <v>82.91</v>
      </c>
      <c r="G360" s="155">
        <v>82.91</v>
      </c>
      <c r="H360" s="155">
        <v>82.91</v>
      </c>
    </row>
    <row r="361" spans="1:8" x14ac:dyDescent="0.25">
      <c r="C361" t="s">
        <v>491</v>
      </c>
      <c r="D361" s="161">
        <v>80</v>
      </c>
      <c r="E361" s="161">
        <v>81.459999999999994</v>
      </c>
      <c r="F361" s="161">
        <v>82.78</v>
      </c>
      <c r="G361" s="161">
        <v>82.83</v>
      </c>
      <c r="H361" s="161">
        <v>76.19</v>
      </c>
    </row>
    <row r="366" spans="1:8" x14ac:dyDescent="0.25">
      <c r="A366" t="s">
        <v>105</v>
      </c>
    </row>
    <row r="426" spans="1:1" x14ac:dyDescent="0.25">
      <c r="A426" t="s">
        <v>106</v>
      </c>
    </row>
    <row r="440" spans="1:9" ht="59.1" customHeight="1" x14ac:dyDescent="0.25">
      <c r="A440" t="s">
        <v>122</v>
      </c>
      <c r="D440" s="160" t="s">
        <v>244</v>
      </c>
      <c r="E440" s="160" t="s">
        <v>245</v>
      </c>
      <c r="F440" s="160" t="s">
        <v>246</v>
      </c>
      <c r="G440" s="160" t="s">
        <v>247</v>
      </c>
      <c r="H440" s="160" t="s">
        <v>248</v>
      </c>
      <c r="I440" s="160" t="s">
        <v>249</v>
      </c>
    </row>
    <row r="441" spans="1:9" ht="21.95" customHeight="1" x14ac:dyDescent="0.25">
      <c r="C441" s="148" t="s">
        <v>132</v>
      </c>
      <c r="D441" s="149">
        <v>91.75</v>
      </c>
      <c r="E441" s="149">
        <v>87.14</v>
      </c>
      <c r="F441" s="149">
        <v>84.41</v>
      </c>
      <c r="G441" s="149">
        <v>79.94</v>
      </c>
      <c r="H441" s="149">
        <v>87.42</v>
      </c>
      <c r="I441" s="149">
        <v>88.24</v>
      </c>
    </row>
    <row r="442" spans="1:9" ht="21.95" customHeight="1" x14ac:dyDescent="0.25">
      <c r="C442" s="151" t="s">
        <v>133</v>
      </c>
      <c r="D442" s="149">
        <v>87.01</v>
      </c>
      <c r="E442" s="149">
        <v>82.15</v>
      </c>
      <c r="F442" s="149">
        <v>78.97</v>
      </c>
      <c r="G442" s="149">
        <v>76.930000000000007</v>
      </c>
      <c r="H442" s="149">
        <v>83.93</v>
      </c>
      <c r="I442" s="149">
        <v>84.79</v>
      </c>
    </row>
    <row r="443" spans="1:9" ht="21.95" customHeight="1" x14ac:dyDescent="0.25">
      <c r="C443" s="152" t="s">
        <v>131</v>
      </c>
      <c r="D443" s="149">
        <v>87.17</v>
      </c>
      <c r="E443" s="149">
        <v>79.760000000000005</v>
      </c>
      <c r="F443" s="149">
        <v>74.66</v>
      </c>
      <c r="G443" s="149">
        <v>72.42</v>
      </c>
      <c r="H443" s="149">
        <v>77.63</v>
      </c>
      <c r="I443" s="149">
        <v>80.38</v>
      </c>
    </row>
    <row r="444" spans="1:9" ht="21.95" customHeight="1" x14ac:dyDescent="0.25">
      <c r="C444" s="153" t="s">
        <v>142</v>
      </c>
      <c r="D444" s="149">
        <v>86.67</v>
      </c>
      <c r="E444" s="149">
        <v>82.73</v>
      </c>
      <c r="F444" s="149">
        <v>79.88</v>
      </c>
      <c r="G444" s="149">
        <v>80.069999999999993</v>
      </c>
      <c r="H444" s="149">
        <v>86.61</v>
      </c>
      <c r="I444" s="149">
        <v>88.62</v>
      </c>
    </row>
    <row r="445" spans="1:9" ht="21.95" customHeight="1" x14ac:dyDescent="0.25">
      <c r="C445" s="154" t="s">
        <v>485</v>
      </c>
      <c r="D445" s="150">
        <v>91.77</v>
      </c>
      <c r="E445" s="150">
        <v>87.67</v>
      </c>
      <c r="F445" s="150">
        <v>83.75</v>
      </c>
      <c r="G445" s="150">
        <v>81.36</v>
      </c>
      <c r="H445" s="150">
        <v>88.32</v>
      </c>
      <c r="I445" s="150">
        <v>88.26</v>
      </c>
    </row>
    <row r="446" spans="1:9" x14ac:dyDescent="0.25">
      <c r="C446" t="s">
        <v>486</v>
      </c>
      <c r="D446" s="155">
        <v>89.02</v>
      </c>
      <c r="E446" s="155">
        <v>83.93</v>
      </c>
      <c r="F446" s="155">
        <v>80.37</v>
      </c>
      <c r="G446" s="155">
        <v>77.959999999999994</v>
      </c>
      <c r="H446" s="155">
        <v>84.65</v>
      </c>
      <c r="I446" s="155">
        <v>85.91</v>
      </c>
    </row>
    <row r="447" spans="1:9" x14ac:dyDescent="0.25">
      <c r="C447" t="s">
        <v>487</v>
      </c>
      <c r="D447" s="156">
        <v>425</v>
      </c>
      <c r="E447" s="156">
        <v>1125</v>
      </c>
      <c r="F447" s="156">
        <v>1198</v>
      </c>
      <c r="G447" s="156">
        <v>412</v>
      </c>
      <c r="H447" s="156">
        <v>791</v>
      </c>
      <c r="I447" s="156">
        <v>719</v>
      </c>
    </row>
    <row r="448" spans="1:9" x14ac:dyDescent="0.25">
      <c r="C448" t="s">
        <v>488</v>
      </c>
      <c r="D448" s="157">
        <v>83.99</v>
      </c>
      <c r="E448" s="157">
        <v>78.19</v>
      </c>
      <c r="F448" s="157">
        <v>76.42</v>
      </c>
      <c r="G448" s="157">
        <v>76.36</v>
      </c>
      <c r="H448" s="157">
        <v>80.75</v>
      </c>
      <c r="I448" s="157">
        <v>84.02</v>
      </c>
    </row>
    <row r="449" spans="1:9" x14ac:dyDescent="0.25">
      <c r="C449" t="s">
        <v>489</v>
      </c>
      <c r="D449" s="158">
        <v>305</v>
      </c>
      <c r="E449" s="158">
        <v>1135</v>
      </c>
      <c r="F449" s="158">
        <v>1202</v>
      </c>
      <c r="G449" s="158">
        <v>481</v>
      </c>
      <c r="H449" s="158">
        <v>715</v>
      </c>
      <c r="I449" s="158">
        <v>773</v>
      </c>
    </row>
    <row r="450" spans="1:9" ht="22.5" x14ac:dyDescent="0.25">
      <c r="C450" t="s">
        <v>130</v>
      </c>
      <c r="D450" s="159" t="s">
        <v>244</v>
      </c>
      <c r="E450" s="159" t="s">
        <v>245</v>
      </c>
      <c r="F450" s="159" t="s">
        <v>246</v>
      </c>
      <c r="G450" s="159" t="s">
        <v>247</v>
      </c>
      <c r="H450" s="159" t="s">
        <v>248</v>
      </c>
      <c r="I450" s="159" t="s">
        <v>249</v>
      </c>
    </row>
    <row r="451" spans="1:9" x14ac:dyDescent="0.25">
      <c r="C451" t="s">
        <v>490</v>
      </c>
      <c r="D451" s="155">
        <v>82.91</v>
      </c>
      <c r="E451" s="155">
        <v>82.91</v>
      </c>
      <c r="F451" s="155">
        <v>82.91</v>
      </c>
      <c r="G451" s="155">
        <v>82.91</v>
      </c>
      <c r="H451" s="155">
        <v>82.91</v>
      </c>
      <c r="I451" s="155">
        <v>82.91</v>
      </c>
    </row>
    <row r="452" spans="1:9" x14ac:dyDescent="0.25">
      <c r="C452" t="s">
        <v>491</v>
      </c>
      <c r="D452" s="161">
        <v>90.59</v>
      </c>
      <c r="E452" s="161">
        <v>84.53</v>
      </c>
      <c r="F452" s="161">
        <v>80.75</v>
      </c>
      <c r="G452" s="161">
        <v>79.08</v>
      </c>
      <c r="H452" s="161">
        <v>86.71</v>
      </c>
      <c r="I452" s="161">
        <v>89.28</v>
      </c>
    </row>
    <row r="457" spans="1:9" x14ac:dyDescent="0.25">
      <c r="A457" t="s">
        <v>107</v>
      </c>
    </row>
    <row r="487" spans="1:1" x14ac:dyDescent="0.25">
      <c r="A487" t="s">
        <v>128</v>
      </c>
    </row>
    <row r="501" spans="1:10" ht="59.1" customHeight="1" x14ac:dyDescent="0.25">
      <c r="A501" t="s">
        <v>209</v>
      </c>
      <c r="D501" s="160" t="s">
        <v>250</v>
      </c>
      <c r="E501" s="160" t="s">
        <v>251</v>
      </c>
      <c r="F501" s="160" t="s">
        <v>252</v>
      </c>
      <c r="G501" s="160" t="s">
        <v>253</v>
      </c>
      <c r="H501" s="160" t="s">
        <v>254</v>
      </c>
      <c r="I501" s="160" t="s">
        <v>255</v>
      </c>
      <c r="J501" s="160" t="s">
        <v>256</v>
      </c>
    </row>
    <row r="502" spans="1:10" ht="21.95" customHeight="1" x14ac:dyDescent="0.25">
      <c r="C502" s="148" t="s">
        <v>132</v>
      </c>
      <c r="D502" s="149">
        <v>70.28</v>
      </c>
      <c r="E502" s="149">
        <v>93.52</v>
      </c>
      <c r="F502" s="149">
        <v>81.7</v>
      </c>
      <c r="G502" s="149">
        <v>85.8</v>
      </c>
      <c r="H502" s="149">
        <v>86.78</v>
      </c>
      <c r="I502" s="149">
        <v>83.81</v>
      </c>
      <c r="J502" s="149">
        <v>96.24</v>
      </c>
    </row>
    <row r="503" spans="1:10" ht="21.95" customHeight="1" x14ac:dyDescent="0.25">
      <c r="C503" s="151" t="s">
        <v>133</v>
      </c>
      <c r="D503" s="149">
        <v>62.23</v>
      </c>
      <c r="E503" s="149">
        <v>94.29</v>
      </c>
      <c r="F503" s="149">
        <v>80.44</v>
      </c>
      <c r="G503" s="149">
        <v>83.68</v>
      </c>
      <c r="H503" s="149">
        <v>81.459999999999994</v>
      </c>
      <c r="I503" s="149">
        <v>84.28</v>
      </c>
      <c r="J503" s="149">
        <v>91.48</v>
      </c>
    </row>
    <row r="504" spans="1:10" ht="21.95" customHeight="1" x14ac:dyDescent="0.25">
      <c r="C504" s="152" t="s">
        <v>131</v>
      </c>
      <c r="D504" s="149">
        <v>67.959999999999994</v>
      </c>
      <c r="E504" s="149">
        <v>91.07</v>
      </c>
      <c r="F504" s="149">
        <v>74.040000000000006</v>
      </c>
      <c r="G504" s="149">
        <v>74.45</v>
      </c>
      <c r="H504" s="149">
        <v>78.72</v>
      </c>
      <c r="I504" s="149">
        <v>76.58</v>
      </c>
      <c r="J504" s="149">
        <v>81.349999999999994</v>
      </c>
    </row>
    <row r="505" spans="1:10" ht="21.95" customHeight="1" x14ac:dyDescent="0.25">
      <c r="C505" s="153" t="s">
        <v>142</v>
      </c>
      <c r="D505" s="149">
        <v>72.989999999999995</v>
      </c>
      <c r="E505" s="149">
        <v>99.04</v>
      </c>
      <c r="F505" s="149">
        <v>80</v>
      </c>
      <c r="G505" s="149">
        <v>84.75</v>
      </c>
      <c r="H505" s="149">
        <v>83.95</v>
      </c>
      <c r="I505" s="149">
        <v>89.61</v>
      </c>
      <c r="J505" s="149">
        <v>93.45</v>
      </c>
    </row>
    <row r="506" spans="1:10" ht="21.95" customHeight="1" x14ac:dyDescent="0.25">
      <c r="C506" s="154" t="s">
        <v>485</v>
      </c>
      <c r="D506" s="150">
        <v>60.71</v>
      </c>
      <c r="E506" s="150">
        <v>98.57</v>
      </c>
      <c r="F506" s="150">
        <v>79.77</v>
      </c>
      <c r="G506" s="150">
        <v>87.66</v>
      </c>
      <c r="H506" s="150">
        <v>86.3</v>
      </c>
      <c r="I506" s="150">
        <v>90.11</v>
      </c>
      <c r="J506" s="150">
        <v>93.76</v>
      </c>
    </row>
    <row r="507" spans="1:10" x14ac:dyDescent="0.25">
      <c r="C507" t="s">
        <v>486</v>
      </c>
      <c r="D507" s="155">
        <v>66.8</v>
      </c>
      <c r="E507" s="155">
        <v>94.93</v>
      </c>
      <c r="F507" s="155">
        <v>79.16</v>
      </c>
      <c r="G507" s="155">
        <v>83.16</v>
      </c>
      <c r="H507" s="155">
        <v>83.39</v>
      </c>
      <c r="I507" s="155">
        <v>84.44</v>
      </c>
      <c r="J507" s="155">
        <v>91.35</v>
      </c>
    </row>
    <row r="508" spans="1:10" x14ac:dyDescent="0.25">
      <c r="C508" t="s">
        <v>487</v>
      </c>
      <c r="D508" s="156">
        <v>8</v>
      </c>
      <c r="E508" s="156">
        <v>14</v>
      </c>
      <c r="F508" s="156">
        <v>41</v>
      </c>
      <c r="G508" s="156">
        <v>199</v>
      </c>
      <c r="H508" s="156">
        <v>2612</v>
      </c>
      <c r="I508" s="156">
        <v>95</v>
      </c>
      <c r="J508" s="156">
        <v>21</v>
      </c>
    </row>
    <row r="509" spans="1:10" x14ac:dyDescent="0.25">
      <c r="C509" t="s">
        <v>488</v>
      </c>
      <c r="D509" s="157">
        <v>71.709999999999994</v>
      </c>
      <c r="E509" s="157">
        <v>94.66</v>
      </c>
      <c r="F509" s="157">
        <v>78.58</v>
      </c>
      <c r="G509" s="157">
        <v>74.38</v>
      </c>
      <c r="H509" s="157">
        <v>80.41</v>
      </c>
      <c r="I509" s="157">
        <v>84.16</v>
      </c>
      <c r="J509" s="157" t="s">
        <v>148</v>
      </c>
    </row>
    <row r="510" spans="1:10" x14ac:dyDescent="0.25">
      <c r="C510" t="s">
        <v>489</v>
      </c>
      <c r="D510" s="158">
        <v>22</v>
      </c>
      <c r="E510" s="158">
        <v>10</v>
      </c>
      <c r="F510" s="158">
        <v>47</v>
      </c>
      <c r="G510" s="158">
        <v>187</v>
      </c>
      <c r="H510" s="158">
        <v>2535</v>
      </c>
      <c r="I510" s="158">
        <v>89</v>
      </c>
      <c r="J510" s="158" t="s">
        <v>146</v>
      </c>
    </row>
    <row r="511" spans="1:10" ht="33.75" x14ac:dyDescent="0.25">
      <c r="C511" t="s">
        <v>130</v>
      </c>
      <c r="D511" s="159" t="s">
        <v>250</v>
      </c>
      <c r="E511" s="159" t="s">
        <v>251</v>
      </c>
      <c r="F511" s="159" t="s">
        <v>252</v>
      </c>
      <c r="G511" s="159" t="s">
        <v>253</v>
      </c>
      <c r="H511" s="159" t="s">
        <v>254</v>
      </c>
      <c r="I511" s="159" t="s">
        <v>255</v>
      </c>
      <c r="J511" s="159" t="s">
        <v>256</v>
      </c>
    </row>
    <row r="512" spans="1:10" x14ac:dyDescent="0.25">
      <c r="C512" t="s">
        <v>490</v>
      </c>
      <c r="D512" s="155">
        <v>82.91</v>
      </c>
      <c r="E512" s="155">
        <v>82.91</v>
      </c>
      <c r="F512" s="155">
        <v>82.91</v>
      </c>
      <c r="G512" s="155">
        <v>82.91</v>
      </c>
      <c r="H512" s="155">
        <v>82.91</v>
      </c>
      <c r="I512" s="155">
        <v>82.91</v>
      </c>
      <c r="J512" s="155">
        <v>82.91</v>
      </c>
    </row>
    <row r="513" spans="1:10" x14ac:dyDescent="0.25">
      <c r="C513" t="s">
        <v>491</v>
      </c>
      <c r="D513" s="161">
        <v>75</v>
      </c>
      <c r="E513" s="161">
        <v>100</v>
      </c>
      <c r="F513" s="161">
        <v>75.61</v>
      </c>
      <c r="G513" s="161">
        <v>86.36</v>
      </c>
      <c r="H513" s="161">
        <v>83.41</v>
      </c>
      <c r="I513" s="161">
        <v>91.58</v>
      </c>
      <c r="J513" s="161">
        <v>100</v>
      </c>
    </row>
    <row r="518" spans="1:10" x14ac:dyDescent="0.25">
      <c r="A518" t="s">
        <v>129</v>
      </c>
    </row>
    <row r="532" spans="1:10" ht="59.1" customHeight="1" x14ac:dyDescent="0.25">
      <c r="A532" t="s">
        <v>210</v>
      </c>
      <c r="D532" s="160" t="s">
        <v>257</v>
      </c>
      <c r="E532" s="160" t="s">
        <v>258</v>
      </c>
      <c r="F532" s="160" t="s">
        <v>259</v>
      </c>
      <c r="G532" s="160" t="s">
        <v>260</v>
      </c>
      <c r="H532" s="160" t="s">
        <v>261</v>
      </c>
      <c r="I532" s="160" t="s">
        <v>262</v>
      </c>
      <c r="J532" s="160" t="s">
        <v>263</v>
      </c>
    </row>
    <row r="533" spans="1:10" ht="21.95" customHeight="1" x14ac:dyDescent="0.25">
      <c r="C533" s="148" t="s">
        <v>132</v>
      </c>
      <c r="D533" s="149">
        <v>90.49</v>
      </c>
      <c r="E533" s="149">
        <v>78.42</v>
      </c>
      <c r="F533" s="149">
        <v>89.17</v>
      </c>
      <c r="G533" s="149">
        <v>84.63</v>
      </c>
      <c r="H533" s="149">
        <v>81.78</v>
      </c>
      <c r="I533" s="149" t="s">
        <v>148</v>
      </c>
      <c r="J533" s="149">
        <v>97.14</v>
      </c>
    </row>
    <row r="534" spans="1:10" ht="21.95" customHeight="1" x14ac:dyDescent="0.25">
      <c r="C534" s="151" t="s">
        <v>133</v>
      </c>
      <c r="D534" s="149">
        <v>90.16</v>
      </c>
      <c r="E534" s="149">
        <v>79.81</v>
      </c>
      <c r="F534" s="149">
        <v>87.3</v>
      </c>
      <c r="G534" s="149">
        <v>79.87</v>
      </c>
      <c r="H534" s="149">
        <v>83.85</v>
      </c>
      <c r="I534" s="149" t="s">
        <v>148</v>
      </c>
      <c r="J534" s="149">
        <v>95.38</v>
      </c>
    </row>
    <row r="535" spans="1:10" ht="21.95" customHeight="1" x14ac:dyDescent="0.25">
      <c r="C535" s="152" t="s">
        <v>131</v>
      </c>
      <c r="D535" s="149">
        <v>80.63</v>
      </c>
      <c r="E535" s="149">
        <v>70.56</v>
      </c>
      <c r="F535" s="149">
        <v>81.760000000000005</v>
      </c>
      <c r="G535" s="149">
        <v>76.849999999999994</v>
      </c>
      <c r="H535" s="149">
        <v>73.540000000000006</v>
      </c>
      <c r="I535" s="149" t="s">
        <v>148</v>
      </c>
      <c r="J535" s="149">
        <v>85</v>
      </c>
    </row>
    <row r="536" spans="1:10" ht="21.95" customHeight="1" x14ac:dyDescent="0.25">
      <c r="C536" s="153" t="s">
        <v>142</v>
      </c>
      <c r="D536" s="149">
        <v>88.73</v>
      </c>
      <c r="E536" s="149">
        <v>76.319999999999993</v>
      </c>
      <c r="F536" s="149">
        <v>90.11</v>
      </c>
      <c r="G536" s="149">
        <v>80.97</v>
      </c>
      <c r="H536" s="149">
        <v>81.84</v>
      </c>
      <c r="I536" s="149" t="s">
        <v>148</v>
      </c>
      <c r="J536" s="149">
        <v>96.25</v>
      </c>
    </row>
    <row r="537" spans="1:10" ht="21.95" customHeight="1" x14ac:dyDescent="0.25">
      <c r="C537" s="154" t="s">
        <v>485</v>
      </c>
      <c r="D537" s="150">
        <v>92.57</v>
      </c>
      <c r="E537" s="150">
        <v>79.37</v>
      </c>
      <c r="F537" s="150">
        <v>91.39</v>
      </c>
      <c r="G537" s="150">
        <v>85.14</v>
      </c>
      <c r="H537" s="150">
        <v>86.85</v>
      </c>
      <c r="I537" s="150" t="s">
        <v>148</v>
      </c>
      <c r="J537" s="150">
        <v>91</v>
      </c>
    </row>
    <row r="538" spans="1:10" x14ac:dyDescent="0.25">
      <c r="C538" t="s">
        <v>486</v>
      </c>
      <c r="D538" s="155">
        <v>88.51</v>
      </c>
      <c r="E538" s="155">
        <v>77.03</v>
      </c>
      <c r="F538" s="155">
        <v>87.77</v>
      </c>
      <c r="G538" s="155">
        <v>81.510000000000005</v>
      </c>
      <c r="H538" s="155">
        <v>81.52</v>
      </c>
      <c r="I538" s="155" t="s">
        <v>148</v>
      </c>
      <c r="J538" s="155">
        <v>93.1</v>
      </c>
    </row>
    <row r="539" spans="1:10" x14ac:dyDescent="0.25">
      <c r="C539" t="s">
        <v>487</v>
      </c>
      <c r="D539" s="156">
        <v>170</v>
      </c>
      <c r="E539" s="156">
        <v>102</v>
      </c>
      <c r="F539" s="156">
        <v>60</v>
      </c>
      <c r="G539" s="156">
        <v>1478</v>
      </c>
      <c r="H539" s="156">
        <v>73</v>
      </c>
      <c r="I539" s="156">
        <v>3</v>
      </c>
      <c r="J539" s="156">
        <v>10</v>
      </c>
    </row>
    <row r="540" spans="1:10" x14ac:dyDescent="0.25">
      <c r="C540" t="s">
        <v>488</v>
      </c>
      <c r="D540" s="157">
        <v>87.49</v>
      </c>
      <c r="E540" s="157">
        <v>80.099999999999994</v>
      </c>
      <c r="F540" s="157">
        <v>77.22</v>
      </c>
      <c r="G540" s="157">
        <v>75.45</v>
      </c>
      <c r="H540" s="157">
        <v>82.2</v>
      </c>
      <c r="I540" s="157" t="s">
        <v>148</v>
      </c>
      <c r="J540" s="157">
        <v>91.82</v>
      </c>
    </row>
    <row r="541" spans="1:10" x14ac:dyDescent="0.25">
      <c r="C541" t="s">
        <v>489</v>
      </c>
      <c r="D541" s="158">
        <v>159</v>
      </c>
      <c r="E541" s="158">
        <v>99</v>
      </c>
      <c r="F541" s="158">
        <v>55</v>
      </c>
      <c r="G541" s="158">
        <v>1432</v>
      </c>
      <c r="H541" s="158">
        <v>77</v>
      </c>
      <c r="I541" s="158">
        <v>5</v>
      </c>
      <c r="J541" s="158">
        <v>11</v>
      </c>
    </row>
    <row r="542" spans="1:10" ht="33.75" x14ac:dyDescent="0.25">
      <c r="C542" t="s">
        <v>130</v>
      </c>
      <c r="D542" s="159" t="s">
        <v>257</v>
      </c>
      <c r="E542" s="159" t="s">
        <v>258</v>
      </c>
      <c r="F542" s="159" t="s">
        <v>259</v>
      </c>
      <c r="G542" s="159" t="s">
        <v>260</v>
      </c>
      <c r="H542" s="159" t="s">
        <v>261</v>
      </c>
      <c r="I542" s="159" t="s">
        <v>262</v>
      </c>
      <c r="J542" s="159" t="s">
        <v>263</v>
      </c>
    </row>
    <row r="543" spans="1:10" x14ac:dyDescent="0.25">
      <c r="C543" t="s">
        <v>490</v>
      </c>
      <c r="D543" s="155">
        <v>82.91</v>
      </c>
      <c r="E543" s="155">
        <v>82.91</v>
      </c>
      <c r="F543" s="155">
        <v>82.91</v>
      </c>
      <c r="G543" s="155">
        <v>82.91</v>
      </c>
      <c r="H543" s="155">
        <v>82.91</v>
      </c>
      <c r="I543" s="155">
        <v>82.91</v>
      </c>
      <c r="J543" s="155">
        <v>82.91</v>
      </c>
    </row>
    <row r="544" spans="1:10" x14ac:dyDescent="0.25">
      <c r="C544" t="s">
        <v>491</v>
      </c>
      <c r="D544" s="161">
        <v>91.12</v>
      </c>
      <c r="E544" s="161">
        <v>81.37</v>
      </c>
      <c r="F544" s="161">
        <v>91.53</v>
      </c>
      <c r="G544" s="161">
        <v>83.23</v>
      </c>
      <c r="H544" s="161">
        <v>87.67</v>
      </c>
      <c r="I544" s="161" t="s">
        <v>148</v>
      </c>
      <c r="J544" s="161">
        <v>100</v>
      </c>
    </row>
    <row r="549" spans="1:1" x14ac:dyDescent="0.25">
      <c r="A549" t="s">
        <v>108</v>
      </c>
    </row>
    <row r="609" spans="1:7" x14ac:dyDescent="0.25">
      <c r="A609" t="s">
        <v>109</v>
      </c>
    </row>
    <row r="623" spans="1:7" ht="59.1" customHeight="1" x14ac:dyDescent="0.25">
      <c r="A623" t="s">
        <v>123</v>
      </c>
      <c r="D623" s="160" t="s">
        <v>264</v>
      </c>
      <c r="E623" s="160" t="s">
        <v>265</v>
      </c>
      <c r="F623" s="160" t="s">
        <v>266</v>
      </c>
      <c r="G623" s="160" t="s">
        <v>267</v>
      </c>
    </row>
    <row r="624" spans="1:7" ht="21.95" customHeight="1" x14ac:dyDescent="0.25">
      <c r="C624" s="148" t="s">
        <v>132</v>
      </c>
      <c r="D624" s="149">
        <v>92.06</v>
      </c>
      <c r="E624" s="149">
        <v>82.99</v>
      </c>
      <c r="F624" s="149">
        <v>73.010000000000005</v>
      </c>
      <c r="G624" s="149">
        <v>58.22</v>
      </c>
    </row>
    <row r="625" spans="1:7" ht="21.95" customHeight="1" x14ac:dyDescent="0.25">
      <c r="C625" s="151" t="s">
        <v>133</v>
      </c>
      <c r="D625" s="149">
        <v>87.65</v>
      </c>
      <c r="E625" s="149">
        <v>78.34</v>
      </c>
      <c r="F625" s="149">
        <v>69.09</v>
      </c>
      <c r="G625" s="149">
        <v>54.71</v>
      </c>
    </row>
    <row r="626" spans="1:7" ht="21.95" customHeight="1" x14ac:dyDescent="0.25">
      <c r="C626" s="152" t="s">
        <v>131</v>
      </c>
      <c r="D626" s="149">
        <v>83.2</v>
      </c>
      <c r="E626" s="149">
        <v>74.31</v>
      </c>
      <c r="F626" s="149">
        <v>66.7</v>
      </c>
      <c r="G626" s="149">
        <v>56.94</v>
      </c>
    </row>
    <row r="627" spans="1:7" ht="21.95" customHeight="1" x14ac:dyDescent="0.25">
      <c r="C627" s="153" t="s">
        <v>142</v>
      </c>
      <c r="D627" s="149">
        <v>87.6</v>
      </c>
      <c r="E627" s="149">
        <v>81.8</v>
      </c>
      <c r="F627" s="149">
        <v>71.7</v>
      </c>
      <c r="G627" s="149">
        <v>66.19</v>
      </c>
    </row>
    <row r="628" spans="1:7" ht="21.95" customHeight="1" x14ac:dyDescent="0.25">
      <c r="C628" s="154" t="s">
        <v>485</v>
      </c>
      <c r="D628" s="150">
        <v>90.98</v>
      </c>
      <c r="E628" s="150">
        <v>84.03</v>
      </c>
      <c r="F628" s="150">
        <v>75.88</v>
      </c>
      <c r="G628" s="150">
        <v>65.92</v>
      </c>
    </row>
    <row r="629" spans="1:7" x14ac:dyDescent="0.25">
      <c r="C629" t="s">
        <v>486</v>
      </c>
      <c r="D629" s="155">
        <v>88.39</v>
      </c>
      <c r="E629" s="155">
        <v>80.150000000000006</v>
      </c>
      <c r="F629" s="155">
        <v>71.099999999999994</v>
      </c>
      <c r="G629" s="155">
        <v>59.77</v>
      </c>
    </row>
    <row r="630" spans="1:7" x14ac:dyDescent="0.25">
      <c r="C630" t="s">
        <v>487</v>
      </c>
      <c r="D630" s="156">
        <v>2444</v>
      </c>
      <c r="E630" s="156">
        <v>1088</v>
      </c>
      <c r="F630" s="156">
        <v>501</v>
      </c>
      <c r="G630" s="156">
        <v>116</v>
      </c>
    </row>
    <row r="631" spans="1:7" x14ac:dyDescent="0.25">
      <c r="C631" t="s">
        <v>488</v>
      </c>
      <c r="D631" s="157">
        <v>84.86</v>
      </c>
      <c r="E631" s="157">
        <v>74.510000000000005</v>
      </c>
      <c r="F631" s="157">
        <v>66.599999999999994</v>
      </c>
      <c r="G631" s="157">
        <v>55.18</v>
      </c>
    </row>
    <row r="632" spans="1:7" x14ac:dyDescent="0.25">
      <c r="C632" t="s">
        <v>489</v>
      </c>
      <c r="D632" s="158">
        <v>2773</v>
      </c>
      <c r="E632" s="158">
        <v>1087</v>
      </c>
      <c r="F632" s="158">
        <v>595</v>
      </c>
      <c r="G632" s="158">
        <v>110</v>
      </c>
    </row>
    <row r="633" spans="1:7" x14ac:dyDescent="0.25">
      <c r="C633" t="s">
        <v>130</v>
      </c>
      <c r="D633" s="159" t="s">
        <v>264</v>
      </c>
      <c r="E633" s="159" t="s">
        <v>265</v>
      </c>
      <c r="F633" s="159" t="s">
        <v>266</v>
      </c>
      <c r="G633" s="159" t="s">
        <v>267</v>
      </c>
    </row>
    <row r="634" spans="1:7" x14ac:dyDescent="0.25">
      <c r="C634" t="s">
        <v>490</v>
      </c>
      <c r="D634" s="155">
        <v>82.91</v>
      </c>
      <c r="E634" s="155">
        <v>82.91</v>
      </c>
      <c r="F634" s="155">
        <v>82.91</v>
      </c>
      <c r="G634" s="155">
        <v>82.91</v>
      </c>
    </row>
    <row r="635" spans="1:7" x14ac:dyDescent="0.25">
      <c r="C635" t="s">
        <v>491</v>
      </c>
      <c r="D635" s="161">
        <v>89.51</v>
      </c>
      <c r="E635" s="161">
        <v>82.26</v>
      </c>
      <c r="F635" s="161">
        <v>70.599999999999994</v>
      </c>
      <c r="G635" s="161">
        <v>68.099999999999994</v>
      </c>
    </row>
    <row r="640" spans="1:7" x14ac:dyDescent="0.25">
      <c r="A640" t="s">
        <v>110</v>
      </c>
    </row>
    <row r="700" spans="1:1" x14ac:dyDescent="0.25">
      <c r="A700" t="s">
        <v>111</v>
      </c>
    </row>
    <row r="714" spans="1:8" ht="59.1" customHeight="1" x14ac:dyDescent="0.25">
      <c r="A714" t="s">
        <v>124</v>
      </c>
      <c r="D714" s="160" t="s">
        <v>268</v>
      </c>
      <c r="E714" s="160" t="s">
        <v>269</v>
      </c>
      <c r="F714" s="160" t="s">
        <v>270</v>
      </c>
      <c r="G714" s="160" t="s">
        <v>271</v>
      </c>
      <c r="H714" s="160" t="s">
        <v>272</v>
      </c>
    </row>
    <row r="715" spans="1:8" ht="21.95" customHeight="1" x14ac:dyDescent="0.25">
      <c r="C715" s="148" t="s">
        <v>132</v>
      </c>
      <c r="D715" s="149">
        <v>88.46</v>
      </c>
      <c r="E715" s="149">
        <v>81.81</v>
      </c>
      <c r="F715" s="149">
        <v>69.47</v>
      </c>
      <c r="G715" s="149">
        <v>90.75</v>
      </c>
      <c r="H715" s="149">
        <v>71.900000000000006</v>
      </c>
    </row>
    <row r="716" spans="1:8" ht="21.95" customHeight="1" x14ac:dyDescent="0.25">
      <c r="C716" s="151" t="s">
        <v>133</v>
      </c>
      <c r="D716" s="149">
        <v>84.45</v>
      </c>
      <c r="E716" s="149">
        <v>75.67</v>
      </c>
      <c r="F716" s="149">
        <v>62.34</v>
      </c>
      <c r="G716" s="149">
        <v>87.24</v>
      </c>
      <c r="H716" s="149">
        <v>66.099999999999994</v>
      </c>
    </row>
    <row r="717" spans="1:8" ht="21.95" customHeight="1" x14ac:dyDescent="0.25">
      <c r="C717" s="152" t="s">
        <v>131</v>
      </c>
      <c r="D717" s="149">
        <v>79.25</v>
      </c>
      <c r="E717" s="149">
        <v>73.47</v>
      </c>
      <c r="F717" s="149">
        <v>59.43</v>
      </c>
      <c r="G717" s="149">
        <v>82.97</v>
      </c>
      <c r="H717" s="149">
        <v>62.41</v>
      </c>
    </row>
    <row r="718" spans="1:8" ht="21.95" customHeight="1" x14ac:dyDescent="0.25">
      <c r="C718" s="153" t="s">
        <v>142</v>
      </c>
      <c r="D718" s="149">
        <v>84.85</v>
      </c>
      <c r="E718" s="149">
        <v>75.930000000000007</v>
      </c>
      <c r="F718" s="149">
        <v>67.13</v>
      </c>
      <c r="G718" s="149">
        <v>89.76</v>
      </c>
      <c r="H718" s="149">
        <v>66.989999999999995</v>
      </c>
    </row>
    <row r="719" spans="1:8" ht="21.95" customHeight="1" x14ac:dyDescent="0.25">
      <c r="C719" s="154" t="s">
        <v>485</v>
      </c>
      <c r="D719" s="150">
        <v>88.44</v>
      </c>
      <c r="E719" s="150">
        <v>81.05</v>
      </c>
      <c r="F719" s="150">
        <v>68.94</v>
      </c>
      <c r="G719" s="150">
        <v>91.63</v>
      </c>
      <c r="H719" s="150">
        <v>70.739999999999995</v>
      </c>
    </row>
    <row r="720" spans="1:8" x14ac:dyDescent="0.25">
      <c r="C720" t="s">
        <v>486</v>
      </c>
      <c r="D720" s="155">
        <v>85.13</v>
      </c>
      <c r="E720" s="155">
        <v>77.69</v>
      </c>
      <c r="F720" s="155">
        <v>65.31</v>
      </c>
      <c r="G720" s="155">
        <v>88.38</v>
      </c>
      <c r="H720" s="155">
        <v>67.58</v>
      </c>
    </row>
    <row r="721" spans="1:8" x14ac:dyDescent="0.25">
      <c r="C721" t="s">
        <v>487</v>
      </c>
      <c r="D721" s="156">
        <v>680</v>
      </c>
      <c r="E721" s="156">
        <v>940</v>
      </c>
      <c r="F721" s="156">
        <v>101</v>
      </c>
      <c r="G721" s="156">
        <v>1993</v>
      </c>
      <c r="H721" s="156">
        <v>218</v>
      </c>
    </row>
    <row r="722" spans="1:8" x14ac:dyDescent="0.25">
      <c r="C722" t="s">
        <v>488</v>
      </c>
      <c r="D722" s="157">
        <v>80.739999999999995</v>
      </c>
      <c r="E722" s="157">
        <v>74.11</v>
      </c>
      <c r="F722" s="157">
        <v>60.51</v>
      </c>
      <c r="G722" s="157">
        <v>85.59</v>
      </c>
      <c r="H722" s="157">
        <v>59.82</v>
      </c>
    </row>
    <row r="723" spans="1:8" x14ac:dyDescent="0.25">
      <c r="C723" t="s">
        <v>489</v>
      </c>
      <c r="D723" s="158">
        <v>764</v>
      </c>
      <c r="E723" s="158">
        <v>1235</v>
      </c>
      <c r="F723" s="158">
        <v>132</v>
      </c>
      <c r="G723" s="158">
        <v>2149</v>
      </c>
      <c r="H723" s="158">
        <v>297</v>
      </c>
    </row>
    <row r="724" spans="1:8" ht="67.5" x14ac:dyDescent="0.25">
      <c r="C724" t="s">
        <v>130</v>
      </c>
      <c r="D724" s="159" t="s">
        <v>268</v>
      </c>
      <c r="E724" s="159" t="s">
        <v>269</v>
      </c>
      <c r="F724" s="159" t="s">
        <v>270</v>
      </c>
      <c r="G724" s="159" t="s">
        <v>271</v>
      </c>
      <c r="H724" s="159" t="s">
        <v>272</v>
      </c>
    </row>
    <row r="725" spans="1:8" x14ac:dyDescent="0.25">
      <c r="C725" t="s">
        <v>490</v>
      </c>
      <c r="D725" s="155">
        <v>82.91</v>
      </c>
      <c r="E725" s="155">
        <v>82.91</v>
      </c>
      <c r="F725" s="155">
        <v>82.91</v>
      </c>
      <c r="G725" s="155">
        <v>82.91</v>
      </c>
      <c r="H725" s="155">
        <v>82.91</v>
      </c>
    </row>
    <row r="726" spans="1:8" x14ac:dyDescent="0.25">
      <c r="C726" t="s">
        <v>491</v>
      </c>
      <c r="D726" s="161">
        <v>87.3</v>
      </c>
      <c r="E726" s="161">
        <v>77.290000000000006</v>
      </c>
      <c r="F726" s="161">
        <v>65.349999999999994</v>
      </c>
      <c r="G726" s="161">
        <v>91.62</v>
      </c>
      <c r="H726" s="161">
        <v>61.47</v>
      </c>
    </row>
    <row r="731" spans="1:8" x14ac:dyDescent="0.25">
      <c r="A731" t="s">
        <v>112</v>
      </c>
    </row>
    <row r="791" spans="1:1" x14ac:dyDescent="0.25">
      <c r="A791" t="s">
        <v>113</v>
      </c>
    </row>
    <row r="805" spans="1:7" ht="59.1" customHeight="1" x14ac:dyDescent="0.25">
      <c r="A805" t="s">
        <v>125</v>
      </c>
      <c r="D805" s="160" t="s">
        <v>273</v>
      </c>
      <c r="E805" s="160" t="s">
        <v>265</v>
      </c>
      <c r="F805" s="160" t="s">
        <v>266</v>
      </c>
      <c r="G805" s="160" t="s">
        <v>267</v>
      </c>
    </row>
    <row r="806" spans="1:7" ht="21.95" customHeight="1" x14ac:dyDescent="0.25">
      <c r="C806" s="148" t="s">
        <v>132</v>
      </c>
      <c r="D806" s="149">
        <v>93.66</v>
      </c>
      <c r="E806" s="149">
        <v>88.03</v>
      </c>
      <c r="F806" s="149">
        <v>82.62</v>
      </c>
      <c r="G806" s="149">
        <v>65.010000000000005</v>
      </c>
    </row>
    <row r="807" spans="1:7" ht="21.95" customHeight="1" x14ac:dyDescent="0.25">
      <c r="C807" s="151" t="s">
        <v>133</v>
      </c>
      <c r="D807" s="149">
        <v>89.83</v>
      </c>
      <c r="E807" s="149">
        <v>83.54</v>
      </c>
      <c r="F807" s="149">
        <v>77.73</v>
      </c>
      <c r="G807" s="149">
        <v>61.02</v>
      </c>
    </row>
    <row r="808" spans="1:7" ht="21.95" customHeight="1" x14ac:dyDescent="0.25">
      <c r="C808" s="152" t="s">
        <v>131</v>
      </c>
      <c r="D808" s="149">
        <v>85.29</v>
      </c>
      <c r="E808" s="149">
        <v>79.36</v>
      </c>
      <c r="F808" s="149">
        <v>73.209999999999994</v>
      </c>
      <c r="G808" s="149">
        <v>61.49</v>
      </c>
    </row>
    <row r="809" spans="1:7" ht="21.95" customHeight="1" x14ac:dyDescent="0.25">
      <c r="C809" s="153" t="s">
        <v>142</v>
      </c>
      <c r="D809" s="149">
        <v>89.45</v>
      </c>
      <c r="E809" s="149">
        <v>84.49</v>
      </c>
      <c r="F809" s="149">
        <v>80.319999999999993</v>
      </c>
      <c r="G809" s="149">
        <v>67.36</v>
      </c>
    </row>
    <row r="810" spans="1:7" ht="21.95" customHeight="1" x14ac:dyDescent="0.25">
      <c r="C810" s="154" t="s">
        <v>485</v>
      </c>
      <c r="D810" s="150">
        <v>93.27</v>
      </c>
      <c r="E810" s="150">
        <v>88.22</v>
      </c>
      <c r="F810" s="150">
        <v>84</v>
      </c>
      <c r="G810" s="150">
        <v>70.72</v>
      </c>
    </row>
    <row r="811" spans="1:7" x14ac:dyDescent="0.25">
      <c r="C811" t="s">
        <v>486</v>
      </c>
      <c r="D811" s="155">
        <v>90.42</v>
      </c>
      <c r="E811" s="155">
        <v>84.77</v>
      </c>
      <c r="F811" s="155">
        <v>79.48</v>
      </c>
      <c r="G811" s="155">
        <v>64.67</v>
      </c>
    </row>
    <row r="812" spans="1:7" x14ac:dyDescent="0.25">
      <c r="C812" t="s">
        <v>487</v>
      </c>
      <c r="D812" s="156">
        <v>789</v>
      </c>
      <c r="E812" s="156">
        <v>283</v>
      </c>
      <c r="F812" s="156">
        <v>450</v>
      </c>
      <c r="G812" s="156">
        <v>317</v>
      </c>
    </row>
    <row r="813" spans="1:7" x14ac:dyDescent="0.25">
      <c r="C813" t="s">
        <v>488</v>
      </c>
      <c r="D813" s="157" t="s">
        <v>148</v>
      </c>
      <c r="E813" s="157" t="s">
        <v>148</v>
      </c>
      <c r="F813" s="157" t="s">
        <v>148</v>
      </c>
      <c r="G813" s="157" t="s">
        <v>148</v>
      </c>
    </row>
    <row r="814" spans="1:7" x14ac:dyDescent="0.25">
      <c r="C814" t="s">
        <v>489</v>
      </c>
      <c r="D814" s="158" t="s">
        <v>146</v>
      </c>
      <c r="E814" s="158" t="s">
        <v>146</v>
      </c>
      <c r="F814" s="158" t="s">
        <v>146</v>
      </c>
      <c r="G814" s="158" t="s">
        <v>146</v>
      </c>
    </row>
    <row r="815" spans="1:7" x14ac:dyDescent="0.25">
      <c r="C815" t="s">
        <v>130</v>
      </c>
      <c r="D815" s="159" t="s">
        <v>273</v>
      </c>
      <c r="E815" s="159" t="s">
        <v>265</v>
      </c>
      <c r="F815" s="159" t="s">
        <v>266</v>
      </c>
      <c r="G815" s="159" t="s">
        <v>267</v>
      </c>
    </row>
    <row r="816" spans="1:7" x14ac:dyDescent="0.25">
      <c r="C816" t="s">
        <v>490</v>
      </c>
      <c r="D816" s="155">
        <v>82.91</v>
      </c>
      <c r="E816" s="155">
        <v>82.91</v>
      </c>
      <c r="F816" s="155">
        <v>82.91</v>
      </c>
      <c r="G816" s="155">
        <v>82.91</v>
      </c>
    </row>
    <row r="817" spans="3:7" x14ac:dyDescent="0.25">
      <c r="C817" t="s">
        <v>491</v>
      </c>
      <c r="D817" s="161">
        <v>93.54</v>
      </c>
      <c r="E817" s="161">
        <v>87.99</v>
      </c>
      <c r="F817" s="161">
        <v>81.739999999999995</v>
      </c>
      <c r="G817" s="161">
        <v>63.29</v>
      </c>
    </row>
  </sheetData>
  <conditionalFormatting sqref="D76:H80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D167:D171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E167:E171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D258:D262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E258:H262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D319:H323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350:H354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D441:I445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D502:J506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D533:H537 J533:J537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D624:G628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D715:H71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D806:G810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BA505"/>
  <sheetViews>
    <sheetView showGridLines="0" workbookViewId="0">
      <selection activeCell="AP495" sqref="AP495:AV505"/>
    </sheetView>
  </sheetViews>
  <sheetFormatPr baseColWidth="10" defaultRowHeight="15" x14ac:dyDescent="0.25"/>
  <cols>
    <col min="1" max="1" width="19.710937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88" customWidth="1"/>
    <col min="27" max="27" width="9.28515625" customWidth="1"/>
    <col min="28" max="28" width="29.28515625" customWidth="1"/>
    <col min="29" max="29" width="3.85546875" customWidth="1"/>
    <col min="30" max="30" width="97.7109375" customWidth="1"/>
    <col min="31" max="33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42578125" bestFit="1" customWidth="1"/>
  </cols>
  <sheetData>
    <row r="1" spans="1:53" ht="37.5" customHeight="1" x14ac:dyDescent="0.25">
      <c r="A1" t="s">
        <v>118</v>
      </c>
      <c r="BA1" s="69" t="s">
        <v>300</v>
      </c>
    </row>
    <row r="2" spans="1:53" ht="27" customHeight="1" thickBot="1" x14ac:dyDescent="0.3">
      <c r="BA2" s="75" t="s">
        <v>304</v>
      </c>
    </row>
    <row r="3" spans="1:53" ht="27" customHeight="1" thickTop="1" thickBot="1" x14ac:dyDescent="0.3">
      <c r="BA3" s="75" t="s">
        <v>145</v>
      </c>
    </row>
    <row r="4" spans="1:53" ht="27" customHeight="1" thickTop="1" thickBot="1" x14ac:dyDescent="0.3">
      <c r="BA4" s="75" t="s">
        <v>308</v>
      </c>
    </row>
    <row r="5" spans="1:53" ht="27" customHeight="1" thickTop="1" thickBot="1" x14ac:dyDescent="0.3">
      <c r="BA5" s="75" t="s">
        <v>310</v>
      </c>
    </row>
    <row r="6" spans="1:53" ht="27" customHeight="1" thickTop="1" thickBot="1" x14ac:dyDescent="0.3">
      <c r="BA6" s="75" t="s">
        <v>313</v>
      </c>
    </row>
    <row r="7" spans="1:53" ht="27" customHeight="1" thickTop="1" thickBot="1" x14ac:dyDescent="0.3">
      <c r="BA7" s="75" t="s">
        <v>315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388</v>
      </c>
    </row>
    <row r="160" spans="1:1" x14ac:dyDescent="0.25">
      <c r="A160" t="s">
        <v>389</v>
      </c>
    </row>
    <row r="187" spans="1:1" x14ac:dyDescent="0.25">
      <c r="A187" t="s">
        <v>390</v>
      </c>
    </row>
    <row r="213" spans="1:1" x14ac:dyDescent="0.25">
      <c r="A213" t="s">
        <v>391</v>
      </c>
    </row>
    <row r="240" spans="1:1" x14ac:dyDescent="0.25">
      <c r="A240" t="s">
        <v>392</v>
      </c>
    </row>
    <row r="266" spans="1:33" ht="15.75" thickBot="1" x14ac:dyDescent="0.3"/>
    <row r="267" spans="1:33" ht="37.5" customHeight="1" thickBot="1" x14ac:dyDescent="0.3">
      <c r="A267" t="s">
        <v>66</v>
      </c>
      <c r="AA267" s="200" t="s">
        <v>286</v>
      </c>
      <c r="AB267" s="200"/>
      <c r="AC267" s="166" t="s">
        <v>290</v>
      </c>
      <c r="AD267" s="166" t="s">
        <v>291</v>
      </c>
      <c r="AE267" s="166">
        <v>2016</v>
      </c>
      <c r="AF267" s="166">
        <v>2016</v>
      </c>
      <c r="AG267" s="166" t="s">
        <v>287</v>
      </c>
    </row>
    <row r="268" spans="1:33" ht="27" customHeight="1" x14ac:dyDescent="0.25">
      <c r="AA268" s="222" t="s">
        <v>11</v>
      </c>
      <c r="AB268" s="201" t="s">
        <v>302</v>
      </c>
      <c r="AC268" s="70">
        <v>1</v>
      </c>
      <c r="AD268" s="71" t="s">
        <v>303</v>
      </c>
      <c r="AE268" s="72">
        <v>85.48</v>
      </c>
      <c r="AF268" s="72">
        <v>80.14</v>
      </c>
      <c r="AG268" s="72">
        <v>71.930000000000007</v>
      </c>
    </row>
    <row r="269" spans="1:33" ht="27" customHeight="1" x14ac:dyDescent="0.25">
      <c r="AA269" s="212"/>
      <c r="AB269" s="202"/>
      <c r="AC269" s="70">
        <v>2</v>
      </c>
      <c r="AD269" s="71" t="s">
        <v>305</v>
      </c>
      <c r="AE269" s="72">
        <v>84.05</v>
      </c>
      <c r="AF269" s="72">
        <v>80</v>
      </c>
      <c r="AG269" s="72">
        <v>72.400000000000006</v>
      </c>
    </row>
    <row r="270" spans="1:33" ht="27" customHeight="1" x14ac:dyDescent="0.25">
      <c r="AA270" s="212"/>
      <c r="AB270" s="263" t="s">
        <v>306</v>
      </c>
      <c r="AC270" s="70">
        <v>3</v>
      </c>
      <c r="AD270" s="71" t="s">
        <v>307</v>
      </c>
      <c r="AE270" s="73">
        <v>87.08</v>
      </c>
      <c r="AF270" s="73">
        <v>88.28</v>
      </c>
      <c r="AG270" s="72">
        <v>81.36</v>
      </c>
    </row>
    <row r="271" spans="1:33" ht="27" customHeight="1" x14ac:dyDescent="0.25">
      <c r="AA271" s="223"/>
      <c r="AB271" s="202"/>
      <c r="AC271" s="70">
        <v>4</v>
      </c>
      <c r="AD271" s="71" t="s">
        <v>309</v>
      </c>
      <c r="AE271" s="73">
        <v>89.51</v>
      </c>
      <c r="AF271" s="73">
        <v>90.78</v>
      </c>
      <c r="AG271" s="72">
        <v>84.9</v>
      </c>
    </row>
    <row r="272" spans="1:33" ht="27" customHeight="1" x14ac:dyDescent="0.25">
      <c r="AA272" s="211" t="s">
        <v>12</v>
      </c>
      <c r="AB272" s="263" t="s">
        <v>311</v>
      </c>
      <c r="AC272" s="70">
        <v>5</v>
      </c>
      <c r="AD272" s="71" t="s">
        <v>312</v>
      </c>
      <c r="AE272" s="73">
        <v>89.01</v>
      </c>
      <c r="AF272" s="73">
        <v>87.14</v>
      </c>
      <c r="AG272" s="72">
        <v>82.09</v>
      </c>
    </row>
    <row r="273" spans="27:33" ht="27" customHeight="1" x14ac:dyDescent="0.25">
      <c r="AA273" s="212"/>
      <c r="AB273" s="264"/>
      <c r="AC273" s="70">
        <v>6</v>
      </c>
      <c r="AD273" s="71" t="s">
        <v>314</v>
      </c>
      <c r="AE273" s="72">
        <v>84.34</v>
      </c>
      <c r="AF273" s="73">
        <v>92.91</v>
      </c>
      <c r="AG273" s="72">
        <v>78.010000000000005</v>
      </c>
    </row>
    <row r="274" spans="27:33" ht="27" customHeight="1" x14ac:dyDescent="0.25">
      <c r="AA274" s="212"/>
      <c r="AB274" s="202"/>
      <c r="AC274" s="70">
        <v>7</v>
      </c>
      <c r="AD274" s="71" t="s">
        <v>316</v>
      </c>
      <c r="AE274" s="72">
        <v>76.25</v>
      </c>
      <c r="AF274" s="72">
        <v>82.01</v>
      </c>
      <c r="AG274" s="72">
        <v>68.849999999999994</v>
      </c>
    </row>
    <row r="275" spans="27:33" ht="27" customHeight="1" x14ac:dyDescent="0.25">
      <c r="AA275" s="212"/>
      <c r="AB275" s="263" t="s">
        <v>317</v>
      </c>
      <c r="AC275" s="70">
        <v>8</v>
      </c>
      <c r="AD275" s="71" t="s">
        <v>318</v>
      </c>
      <c r="AE275" s="73">
        <v>87.18</v>
      </c>
      <c r="AF275" s="73">
        <v>89.29</v>
      </c>
      <c r="AG275" s="72">
        <v>82.88</v>
      </c>
    </row>
    <row r="276" spans="27:33" ht="27" customHeight="1" x14ac:dyDescent="0.25">
      <c r="AA276" s="212"/>
      <c r="AB276" s="202"/>
      <c r="AC276" s="70">
        <v>9</v>
      </c>
      <c r="AD276" s="71" t="s">
        <v>319</v>
      </c>
      <c r="AE276" s="73">
        <v>89.17</v>
      </c>
      <c r="AF276" s="73">
        <v>95</v>
      </c>
      <c r="AG276" s="73">
        <v>86.01</v>
      </c>
    </row>
    <row r="277" spans="27:33" ht="27" customHeight="1" x14ac:dyDescent="0.25">
      <c r="AA277" s="223"/>
      <c r="AB277" s="167" t="s">
        <v>320</v>
      </c>
      <c r="AC277" s="70">
        <v>10</v>
      </c>
      <c r="AD277" s="71" t="s">
        <v>321</v>
      </c>
      <c r="AE277" s="73">
        <v>88.56</v>
      </c>
      <c r="AF277" s="72">
        <v>81.56</v>
      </c>
      <c r="AG277" s="72">
        <v>77.41</v>
      </c>
    </row>
    <row r="278" spans="27:33" ht="27" customHeight="1" x14ac:dyDescent="0.25">
      <c r="AA278" s="211" t="s">
        <v>13</v>
      </c>
      <c r="AB278" s="263" t="s">
        <v>322</v>
      </c>
      <c r="AC278" s="70">
        <v>11</v>
      </c>
      <c r="AD278" s="71" t="s">
        <v>323</v>
      </c>
      <c r="AE278" s="72">
        <v>82.4</v>
      </c>
      <c r="AF278" s="73">
        <v>90.07</v>
      </c>
      <c r="AG278" s="72">
        <v>74.319999999999993</v>
      </c>
    </row>
    <row r="279" spans="27:33" ht="27" customHeight="1" x14ac:dyDescent="0.25">
      <c r="AA279" s="212"/>
      <c r="AB279" s="264"/>
      <c r="AC279" s="70">
        <v>12</v>
      </c>
      <c r="AD279" s="71" t="s">
        <v>324</v>
      </c>
      <c r="AE279" s="72">
        <v>82.42</v>
      </c>
      <c r="AF279" s="73">
        <v>85.82</v>
      </c>
      <c r="AG279" s="72">
        <v>74.2</v>
      </c>
    </row>
    <row r="280" spans="27:33" ht="27" customHeight="1" x14ac:dyDescent="0.25">
      <c r="AA280" s="212"/>
      <c r="AB280" s="202"/>
      <c r="AC280" s="70">
        <v>13</v>
      </c>
      <c r="AD280" s="71" t="s">
        <v>325</v>
      </c>
      <c r="AE280" s="72">
        <v>85.31</v>
      </c>
      <c r="AF280" s="73">
        <v>93.62</v>
      </c>
      <c r="AG280" s="72">
        <v>81.02</v>
      </c>
    </row>
    <row r="281" spans="27:33" ht="27" customHeight="1" thickBot="1" x14ac:dyDescent="0.3">
      <c r="AA281" s="213"/>
      <c r="AB281" s="167" t="s">
        <v>326</v>
      </c>
      <c r="AC281" s="70">
        <v>14</v>
      </c>
      <c r="AD281" s="71" t="s">
        <v>327</v>
      </c>
      <c r="AE281" s="73">
        <v>92.33</v>
      </c>
      <c r="AF281" s="73">
        <v>93.57</v>
      </c>
      <c r="AG281" s="73">
        <v>86.87</v>
      </c>
    </row>
    <row r="292" spans="1:33" ht="15.75" thickBot="1" x14ac:dyDescent="0.3"/>
    <row r="293" spans="1:33" ht="37.5" customHeight="1" thickBot="1" x14ac:dyDescent="0.3">
      <c r="A293" t="s">
        <v>67</v>
      </c>
      <c r="AA293" s="200" t="s">
        <v>286</v>
      </c>
      <c r="AB293" s="200"/>
      <c r="AC293" s="166" t="s">
        <v>290</v>
      </c>
      <c r="AD293" s="166" t="s">
        <v>291</v>
      </c>
      <c r="AE293" s="166">
        <v>2016</v>
      </c>
      <c r="AF293" s="166">
        <v>2016</v>
      </c>
      <c r="AG293" s="166" t="s">
        <v>287</v>
      </c>
    </row>
    <row r="294" spans="1:33" ht="27" customHeight="1" x14ac:dyDescent="0.25">
      <c r="AA294" s="208" t="s">
        <v>14</v>
      </c>
      <c r="AB294" s="265" t="s">
        <v>329</v>
      </c>
      <c r="AC294" s="70">
        <v>15</v>
      </c>
      <c r="AD294" s="71" t="s">
        <v>330</v>
      </c>
      <c r="AE294" s="72">
        <v>79.709999999999994</v>
      </c>
      <c r="AF294" s="73">
        <v>93.1</v>
      </c>
      <c r="AG294" s="72">
        <v>73.25</v>
      </c>
    </row>
    <row r="295" spans="1:33" ht="27" customHeight="1" x14ac:dyDescent="0.25">
      <c r="AA295" s="209"/>
      <c r="AB295" s="238"/>
      <c r="AC295" s="70">
        <v>16</v>
      </c>
      <c r="AD295" s="71" t="s">
        <v>331</v>
      </c>
      <c r="AE295" s="72">
        <v>83.11</v>
      </c>
      <c r="AF295" s="73">
        <v>96.55</v>
      </c>
      <c r="AG295" s="72">
        <v>82.08</v>
      </c>
    </row>
    <row r="296" spans="1:33" ht="27" customHeight="1" x14ac:dyDescent="0.25">
      <c r="AA296" s="209"/>
      <c r="AB296" s="237" t="s">
        <v>332</v>
      </c>
      <c r="AC296" s="70">
        <v>17</v>
      </c>
      <c r="AD296" s="71" t="s">
        <v>333</v>
      </c>
      <c r="AE296" s="72">
        <v>79.77</v>
      </c>
      <c r="AF296" s="72">
        <v>83.45</v>
      </c>
      <c r="AG296" s="72">
        <v>70.37</v>
      </c>
    </row>
    <row r="297" spans="1:33" ht="27" customHeight="1" x14ac:dyDescent="0.25">
      <c r="AA297" s="210"/>
      <c r="AB297" s="238"/>
      <c r="AC297" s="70">
        <v>18</v>
      </c>
      <c r="AD297" s="71" t="s">
        <v>334</v>
      </c>
      <c r="AE297" s="73">
        <v>85.53</v>
      </c>
      <c r="AF297" s="73">
        <v>90.78</v>
      </c>
      <c r="AG297" s="72">
        <v>80.94</v>
      </c>
    </row>
    <row r="298" spans="1:33" ht="27" customHeight="1" x14ac:dyDescent="0.25">
      <c r="AA298" s="236" t="s">
        <v>15</v>
      </c>
      <c r="AB298" s="237" t="s">
        <v>335</v>
      </c>
      <c r="AC298" s="70">
        <v>19</v>
      </c>
      <c r="AD298" s="71" t="s">
        <v>336</v>
      </c>
      <c r="AE298" s="72">
        <v>83.52</v>
      </c>
      <c r="AF298" s="73">
        <v>87.23</v>
      </c>
      <c r="AG298" s="72">
        <v>76.94</v>
      </c>
    </row>
    <row r="299" spans="1:33" ht="27" customHeight="1" x14ac:dyDescent="0.25">
      <c r="AA299" s="210"/>
      <c r="AB299" s="238"/>
      <c r="AC299" s="70">
        <v>20</v>
      </c>
      <c r="AD299" s="71" t="s">
        <v>337</v>
      </c>
      <c r="AE299" s="72">
        <v>79.17</v>
      </c>
      <c r="AF299" s="72">
        <v>80.709999999999994</v>
      </c>
      <c r="AG299" s="72">
        <v>69.31</v>
      </c>
    </row>
    <row r="300" spans="1:33" ht="27" customHeight="1" x14ac:dyDescent="0.25">
      <c r="AA300" s="236" t="s">
        <v>16</v>
      </c>
      <c r="AB300" s="237" t="s">
        <v>338</v>
      </c>
      <c r="AC300" s="70">
        <v>21</v>
      </c>
      <c r="AD300" s="71" t="s">
        <v>339</v>
      </c>
      <c r="AE300" s="73">
        <v>91.17</v>
      </c>
      <c r="AF300" s="73">
        <v>97.93</v>
      </c>
      <c r="AG300" s="73">
        <v>89.53</v>
      </c>
    </row>
    <row r="301" spans="1:33" ht="27" customHeight="1" x14ac:dyDescent="0.25">
      <c r="AA301" s="209"/>
      <c r="AB301" s="266"/>
      <c r="AC301" s="70">
        <v>22</v>
      </c>
      <c r="AD301" s="71" t="s">
        <v>340</v>
      </c>
      <c r="AE301" s="72">
        <v>69.52</v>
      </c>
      <c r="AF301" s="73">
        <v>92.14</v>
      </c>
      <c r="AG301" s="72">
        <v>76.599999999999994</v>
      </c>
    </row>
    <row r="302" spans="1:33" ht="27" customHeight="1" x14ac:dyDescent="0.25">
      <c r="AA302" s="209"/>
      <c r="AB302" s="238"/>
      <c r="AC302" s="70">
        <v>23</v>
      </c>
      <c r="AD302" s="71" t="s">
        <v>341</v>
      </c>
      <c r="AE302" s="72">
        <v>80.98</v>
      </c>
      <c r="AF302" s="73">
        <v>97.87</v>
      </c>
      <c r="AG302" s="72">
        <v>80.63</v>
      </c>
    </row>
    <row r="303" spans="1:33" ht="27" customHeight="1" x14ac:dyDescent="0.25">
      <c r="AA303" s="209"/>
      <c r="AB303" s="237" t="s">
        <v>342</v>
      </c>
      <c r="AC303" s="70">
        <v>24</v>
      </c>
      <c r="AD303" s="71" t="s">
        <v>343</v>
      </c>
      <c r="AE303" s="72">
        <v>84.76</v>
      </c>
      <c r="AF303" s="73">
        <v>90.78</v>
      </c>
      <c r="AG303" s="72">
        <v>84.95</v>
      </c>
    </row>
    <row r="304" spans="1:33" ht="27" customHeight="1" x14ac:dyDescent="0.25">
      <c r="AA304" s="209"/>
      <c r="AB304" s="266"/>
      <c r="AC304" s="70">
        <v>25</v>
      </c>
      <c r="AD304" s="71" t="s">
        <v>344</v>
      </c>
      <c r="AE304" s="72">
        <v>75.88</v>
      </c>
      <c r="AF304" s="72">
        <v>78.010000000000005</v>
      </c>
      <c r="AG304" s="72">
        <v>70.97</v>
      </c>
    </row>
    <row r="305" spans="1:33" ht="27" customHeight="1" x14ac:dyDescent="0.25">
      <c r="AA305" s="209"/>
      <c r="AB305" s="266"/>
      <c r="AC305" s="70">
        <v>26</v>
      </c>
      <c r="AD305" s="71" t="s">
        <v>345</v>
      </c>
      <c r="AE305" s="72">
        <v>85.43</v>
      </c>
      <c r="AF305" s="73">
        <v>87.23</v>
      </c>
      <c r="AG305" s="72">
        <v>78.45</v>
      </c>
    </row>
    <row r="306" spans="1:33" ht="27" customHeight="1" thickBot="1" x14ac:dyDescent="0.3">
      <c r="AA306" s="241"/>
      <c r="AB306" s="267"/>
      <c r="AC306" s="70">
        <v>27</v>
      </c>
      <c r="AD306" s="71" t="s">
        <v>346</v>
      </c>
      <c r="AE306" s="72">
        <v>81.680000000000007</v>
      </c>
      <c r="AF306" s="73">
        <v>94.33</v>
      </c>
      <c r="AG306" s="72">
        <v>72.040000000000006</v>
      </c>
    </row>
    <row r="319" spans="1:33" ht="15.75" thickBot="1" x14ac:dyDescent="0.3"/>
    <row r="320" spans="1:33" ht="37.5" customHeight="1" thickBot="1" x14ac:dyDescent="0.3">
      <c r="A320" t="s">
        <v>70</v>
      </c>
      <c r="AA320" s="200" t="s">
        <v>286</v>
      </c>
      <c r="AB320" s="200"/>
      <c r="AC320" s="166" t="s">
        <v>290</v>
      </c>
      <c r="AD320" s="166" t="s">
        <v>291</v>
      </c>
      <c r="AE320" s="166">
        <v>2016</v>
      </c>
      <c r="AF320" s="166">
        <v>2016</v>
      </c>
      <c r="AG320" s="166" t="s">
        <v>287</v>
      </c>
    </row>
    <row r="321" spans="27:33" ht="27" customHeight="1" x14ac:dyDescent="0.25">
      <c r="AA321" s="239" t="s">
        <v>17</v>
      </c>
      <c r="AB321" s="242" t="s">
        <v>348</v>
      </c>
      <c r="AC321" s="70">
        <v>28</v>
      </c>
      <c r="AD321" s="71" t="s">
        <v>349</v>
      </c>
      <c r="AE321" s="72">
        <v>63.94</v>
      </c>
      <c r="AF321" s="78">
        <v>41.84</v>
      </c>
      <c r="AG321" s="77">
        <v>51.79</v>
      </c>
    </row>
    <row r="322" spans="27:33" ht="27" customHeight="1" x14ac:dyDescent="0.25">
      <c r="AA322" s="234"/>
      <c r="AB322" s="243"/>
      <c r="AC322" s="70">
        <v>29</v>
      </c>
      <c r="AD322" s="71" t="s">
        <v>350</v>
      </c>
      <c r="AE322" s="77">
        <v>45.85</v>
      </c>
      <c r="AF322" s="78">
        <v>41.13</v>
      </c>
      <c r="AG322" s="77">
        <v>44.68</v>
      </c>
    </row>
    <row r="323" spans="27:33" ht="27" customHeight="1" x14ac:dyDescent="0.25">
      <c r="AA323" s="234"/>
      <c r="AB323" s="244" t="s">
        <v>351</v>
      </c>
      <c r="AC323" s="70">
        <v>30</v>
      </c>
      <c r="AD323" s="71" t="s">
        <v>352</v>
      </c>
      <c r="AE323" s="72">
        <v>72.17</v>
      </c>
      <c r="AF323" s="73">
        <v>87.59</v>
      </c>
      <c r="AG323" s="72">
        <v>65.959999999999994</v>
      </c>
    </row>
    <row r="324" spans="27:33" ht="27" customHeight="1" x14ac:dyDescent="0.25">
      <c r="AA324" s="240"/>
      <c r="AB324" s="243"/>
      <c r="AC324" s="70">
        <v>31</v>
      </c>
      <c r="AD324" s="71" t="s">
        <v>353</v>
      </c>
      <c r="AE324" s="73">
        <v>92.08</v>
      </c>
      <c r="AF324" s="73">
        <v>94.33</v>
      </c>
      <c r="AG324" s="73">
        <v>90.62</v>
      </c>
    </row>
    <row r="325" spans="27:33" ht="27" customHeight="1" x14ac:dyDescent="0.25">
      <c r="AA325" s="245" t="s">
        <v>18</v>
      </c>
      <c r="AB325" s="246"/>
      <c r="AC325" s="70">
        <v>32</v>
      </c>
      <c r="AD325" s="71" t="s">
        <v>354</v>
      </c>
      <c r="AE325" s="77">
        <v>58.81</v>
      </c>
      <c r="AF325" s="72">
        <v>70.510000000000005</v>
      </c>
      <c r="AG325" s="77">
        <v>59.33</v>
      </c>
    </row>
    <row r="326" spans="27:33" ht="27" customHeight="1" x14ac:dyDescent="0.25">
      <c r="AA326" s="245"/>
      <c r="AB326" s="246"/>
      <c r="AC326" s="70">
        <v>33</v>
      </c>
      <c r="AD326" s="71" t="s">
        <v>355</v>
      </c>
      <c r="AE326" s="72">
        <v>73.19</v>
      </c>
      <c r="AF326" s="72">
        <v>71.94</v>
      </c>
      <c r="AG326" s="72">
        <v>64.44</v>
      </c>
    </row>
    <row r="327" spans="27:33" ht="27" customHeight="1" x14ac:dyDescent="0.25">
      <c r="AA327" s="247"/>
      <c r="AB327" s="248"/>
      <c r="AC327" s="70">
        <v>34</v>
      </c>
      <c r="AD327" s="71" t="s">
        <v>356</v>
      </c>
      <c r="AE327" s="72">
        <v>71.930000000000007</v>
      </c>
      <c r="AF327" s="72">
        <v>74.099999999999994</v>
      </c>
      <c r="AG327" s="72">
        <v>68.69</v>
      </c>
    </row>
    <row r="328" spans="27:33" ht="27" customHeight="1" x14ac:dyDescent="0.25">
      <c r="AA328" s="233" t="s">
        <v>19</v>
      </c>
      <c r="AB328" s="249" t="s">
        <v>357</v>
      </c>
      <c r="AC328" s="70">
        <v>35</v>
      </c>
      <c r="AD328" s="71" t="s">
        <v>358</v>
      </c>
      <c r="AE328" s="72">
        <v>85.43</v>
      </c>
      <c r="AF328" s="73">
        <v>92.09</v>
      </c>
      <c r="AG328" s="73">
        <v>88.19</v>
      </c>
    </row>
    <row r="329" spans="27:33" ht="27" customHeight="1" x14ac:dyDescent="0.25">
      <c r="AA329" s="234"/>
      <c r="AB329" s="250"/>
      <c r="AC329" s="70">
        <v>36</v>
      </c>
      <c r="AD329" s="71" t="s">
        <v>359</v>
      </c>
      <c r="AE329" s="73">
        <v>96.52</v>
      </c>
      <c r="AF329" s="73">
        <v>97.87</v>
      </c>
      <c r="AG329" s="73">
        <v>94.83</v>
      </c>
    </row>
    <row r="330" spans="27:33" ht="27" customHeight="1" x14ac:dyDescent="0.25">
      <c r="AA330" s="234"/>
      <c r="AB330" s="250"/>
      <c r="AC330" s="70">
        <v>37</v>
      </c>
      <c r="AD330" s="71" t="s">
        <v>360</v>
      </c>
      <c r="AE330" s="73">
        <v>94.97</v>
      </c>
      <c r="AF330" s="73">
        <v>98.58</v>
      </c>
      <c r="AG330" s="73">
        <v>93.52</v>
      </c>
    </row>
    <row r="331" spans="27:33" ht="27" customHeight="1" x14ac:dyDescent="0.25">
      <c r="AA331" s="234"/>
      <c r="AB331" s="243"/>
      <c r="AC331" s="70">
        <v>38</v>
      </c>
      <c r="AD331" s="71" t="s">
        <v>361</v>
      </c>
      <c r="AE331" s="73">
        <v>93.83</v>
      </c>
      <c r="AF331" s="73">
        <v>95.74</v>
      </c>
      <c r="AG331" s="73">
        <v>92.24</v>
      </c>
    </row>
    <row r="332" spans="27:33" ht="27" customHeight="1" thickBot="1" x14ac:dyDescent="0.3">
      <c r="AA332" s="235"/>
      <c r="AB332" s="168" t="s">
        <v>362</v>
      </c>
      <c r="AC332" s="70">
        <v>39</v>
      </c>
      <c r="AD332" s="71" t="s">
        <v>393</v>
      </c>
      <c r="AE332" s="72">
        <v>84.65</v>
      </c>
      <c r="AF332" s="73">
        <v>90.78</v>
      </c>
      <c r="AG332" s="72">
        <v>81.91</v>
      </c>
    </row>
    <row r="346" spans="1:33" ht="15.75" thickBot="1" x14ac:dyDescent="0.3"/>
    <row r="347" spans="1:33" ht="37.5" customHeight="1" thickBot="1" x14ac:dyDescent="0.3">
      <c r="A347" t="s">
        <v>68</v>
      </c>
      <c r="AA347" s="200" t="s">
        <v>286</v>
      </c>
      <c r="AB347" s="200"/>
      <c r="AC347" s="166" t="s">
        <v>290</v>
      </c>
      <c r="AD347" s="166" t="s">
        <v>291</v>
      </c>
      <c r="AE347" s="166">
        <v>2016</v>
      </c>
      <c r="AF347" s="166">
        <v>2016</v>
      </c>
      <c r="AG347" s="166" t="s">
        <v>287</v>
      </c>
    </row>
    <row r="348" spans="1:33" ht="27" customHeight="1" x14ac:dyDescent="0.25">
      <c r="AA348" s="251" t="s">
        <v>20</v>
      </c>
      <c r="AB348" s="252"/>
      <c r="AC348" s="70">
        <v>40</v>
      </c>
      <c r="AD348" s="71" t="s">
        <v>364</v>
      </c>
      <c r="AE348" s="72">
        <v>83.95</v>
      </c>
      <c r="AF348" s="73">
        <v>87.23</v>
      </c>
      <c r="AG348" s="72">
        <v>77.8</v>
      </c>
    </row>
    <row r="349" spans="1:33" ht="27" customHeight="1" x14ac:dyDescent="0.25">
      <c r="AA349" s="253"/>
      <c r="AB349" s="254"/>
      <c r="AC349" s="70">
        <v>41</v>
      </c>
      <c r="AD349" s="71" t="s">
        <v>365</v>
      </c>
      <c r="AE349" s="72">
        <v>77.3</v>
      </c>
      <c r="AF349" s="72">
        <v>80.14</v>
      </c>
      <c r="AG349" s="72">
        <v>74.849999999999994</v>
      </c>
    </row>
    <row r="350" spans="1:33" ht="27" customHeight="1" x14ac:dyDescent="0.25">
      <c r="AA350" s="268" t="s">
        <v>21</v>
      </c>
      <c r="AB350" s="269"/>
      <c r="AC350" s="70">
        <v>42</v>
      </c>
      <c r="AD350" s="71" t="s">
        <v>366</v>
      </c>
      <c r="AE350" s="73">
        <v>90.85</v>
      </c>
      <c r="AF350" s="73">
        <v>88.65</v>
      </c>
      <c r="AG350" s="73">
        <v>87.31</v>
      </c>
    </row>
    <row r="351" spans="1:33" ht="27" customHeight="1" x14ac:dyDescent="0.25">
      <c r="AA351" s="253"/>
      <c r="AB351" s="254"/>
      <c r="AC351" s="70">
        <v>43</v>
      </c>
      <c r="AD351" s="71" t="s">
        <v>367</v>
      </c>
      <c r="AE351" s="72">
        <v>77.12</v>
      </c>
      <c r="AF351" s="73">
        <v>93.79</v>
      </c>
      <c r="AG351" s="72">
        <v>72.97</v>
      </c>
    </row>
    <row r="352" spans="1:33" ht="27" customHeight="1" x14ac:dyDescent="0.25">
      <c r="AA352" s="268" t="s">
        <v>22</v>
      </c>
      <c r="AB352" s="269"/>
      <c r="AC352" s="70">
        <v>44</v>
      </c>
      <c r="AD352" s="71" t="s">
        <v>368</v>
      </c>
      <c r="AE352" s="73">
        <v>86.83</v>
      </c>
      <c r="AF352" s="72">
        <v>80.849999999999994</v>
      </c>
      <c r="AG352" s="72">
        <v>79.09</v>
      </c>
    </row>
    <row r="353" spans="27:33" ht="27" customHeight="1" x14ac:dyDescent="0.25">
      <c r="AA353" s="270"/>
      <c r="AB353" s="271"/>
      <c r="AC353" s="70">
        <v>45</v>
      </c>
      <c r="AD353" s="71" t="s">
        <v>369</v>
      </c>
      <c r="AE353" s="73">
        <v>89.37</v>
      </c>
      <c r="AF353" s="73">
        <v>94.33</v>
      </c>
      <c r="AG353" s="73">
        <v>85.6</v>
      </c>
    </row>
    <row r="354" spans="27:33" ht="27" customHeight="1" x14ac:dyDescent="0.25">
      <c r="AA354" s="270"/>
      <c r="AB354" s="271"/>
      <c r="AC354" s="70">
        <v>46</v>
      </c>
      <c r="AD354" s="71" t="s">
        <v>370</v>
      </c>
      <c r="AE354" s="72">
        <v>79.180000000000007</v>
      </c>
      <c r="AF354" s="73">
        <v>95</v>
      </c>
      <c r="AG354" s="72">
        <v>78.81</v>
      </c>
    </row>
    <row r="355" spans="27:33" ht="27" customHeight="1" thickBot="1" x14ac:dyDescent="0.3">
      <c r="AA355" s="272"/>
      <c r="AB355" s="273"/>
      <c r="AC355" s="70">
        <v>47</v>
      </c>
      <c r="AD355" s="71" t="s">
        <v>371</v>
      </c>
      <c r="AE355" s="72">
        <v>81.77</v>
      </c>
      <c r="AF355" s="73">
        <v>87.14</v>
      </c>
      <c r="AG355" s="72">
        <v>79.37</v>
      </c>
    </row>
    <row r="372" spans="1:33" ht="15.75" thickBot="1" x14ac:dyDescent="0.3"/>
    <row r="373" spans="1:33" ht="37.5" customHeight="1" thickBot="1" x14ac:dyDescent="0.3">
      <c r="A373" t="s">
        <v>69</v>
      </c>
      <c r="AA373" s="200" t="s">
        <v>286</v>
      </c>
      <c r="AB373" s="200"/>
      <c r="AC373" s="166" t="s">
        <v>290</v>
      </c>
      <c r="AD373" s="166" t="s">
        <v>291</v>
      </c>
      <c r="AE373" s="166">
        <v>2016</v>
      </c>
      <c r="AF373" s="166">
        <v>2016</v>
      </c>
      <c r="AG373" s="166" t="s">
        <v>287</v>
      </c>
    </row>
    <row r="374" spans="1:33" ht="27" customHeight="1" x14ac:dyDescent="0.25">
      <c r="AA374" s="274" t="s">
        <v>23</v>
      </c>
      <c r="AB374" s="275"/>
      <c r="AC374" s="70">
        <v>48</v>
      </c>
      <c r="AD374" s="71" t="s">
        <v>373</v>
      </c>
      <c r="AE374" s="73">
        <v>89.81</v>
      </c>
      <c r="AF374" s="73">
        <v>91.49</v>
      </c>
      <c r="AG374" s="73">
        <v>87.45</v>
      </c>
    </row>
    <row r="375" spans="1:33" ht="27" customHeight="1" x14ac:dyDescent="0.25">
      <c r="AA375" s="276"/>
      <c r="AB375" s="277"/>
      <c r="AC375" s="70">
        <v>49</v>
      </c>
      <c r="AD375" s="71" t="s">
        <v>374</v>
      </c>
      <c r="AE375" s="73">
        <v>88.17</v>
      </c>
      <c r="AF375" s="73">
        <v>90.07</v>
      </c>
      <c r="AG375" s="72">
        <v>85.47</v>
      </c>
    </row>
    <row r="376" spans="1:33" ht="27" customHeight="1" x14ac:dyDescent="0.25">
      <c r="AA376" s="278"/>
      <c r="AB376" s="279"/>
      <c r="AC376" s="70">
        <v>50</v>
      </c>
      <c r="AD376" s="71" t="s">
        <v>375</v>
      </c>
      <c r="AE376" s="72">
        <v>83.84</v>
      </c>
      <c r="AF376" s="73">
        <v>95.04</v>
      </c>
      <c r="AG376" s="72">
        <v>81.22</v>
      </c>
    </row>
    <row r="377" spans="1:33" ht="27" customHeight="1" x14ac:dyDescent="0.25">
      <c r="AA377" s="258" t="s">
        <v>24</v>
      </c>
      <c r="AB377" s="280" t="s">
        <v>376</v>
      </c>
      <c r="AC377" s="70">
        <v>51</v>
      </c>
      <c r="AD377" s="71" t="s">
        <v>377</v>
      </c>
      <c r="AE377" s="73">
        <v>90.49</v>
      </c>
      <c r="AF377" s="73">
        <v>97.24</v>
      </c>
      <c r="AG377" s="73">
        <v>89.51</v>
      </c>
    </row>
    <row r="378" spans="1:33" ht="27" customHeight="1" x14ac:dyDescent="0.25">
      <c r="AA378" s="259"/>
      <c r="AB378" s="281"/>
      <c r="AC378" s="70">
        <v>52</v>
      </c>
      <c r="AD378" s="71" t="s">
        <v>378</v>
      </c>
      <c r="AE378" s="72">
        <v>84.02</v>
      </c>
      <c r="AF378" s="73">
        <v>92.2</v>
      </c>
      <c r="AG378" s="72">
        <v>82.63</v>
      </c>
    </row>
    <row r="379" spans="1:33" ht="27" customHeight="1" x14ac:dyDescent="0.25">
      <c r="AA379" s="259"/>
      <c r="AB379" s="282" t="s">
        <v>379</v>
      </c>
      <c r="AC379" s="70">
        <v>53</v>
      </c>
      <c r="AD379" s="71" t="s">
        <v>380</v>
      </c>
      <c r="AE379" s="73">
        <v>93.54</v>
      </c>
      <c r="AF379" s="73">
        <v>95.74</v>
      </c>
      <c r="AG379" s="73">
        <v>91.37</v>
      </c>
    </row>
    <row r="380" spans="1:33" ht="27" customHeight="1" x14ac:dyDescent="0.25">
      <c r="AA380" s="260"/>
      <c r="AB380" s="281"/>
      <c r="AC380" s="70">
        <v>54</v>
      </c>
      <c r="AD380" s="71" t="s">
        <v>381</v>
      </c>
      <c r="AE380" s="72">
        <v>85.06</v>
      </c>
      <c r="AF380" s="73">
        <v>90</v>
      </c>
      <c r="AG380" s="72">
        <v>82.91</v>
      </c>
    </row>
    <row r="381" spans="1:33" ht="27" customHeight="1" x14ac:dyDescent="0.25">
      <c r="AA381" s="276" t="s">
        <v>25</v>
      </c>
      <c r="AB381" s="277"/>
      <c r="AC381" s="70">
        <v>55</v>
      </c>
      <c r="AD381" s="71" t="s">
        <v>382</v>
      </c>
      <c r="AE381" s="72">
        <v>81.8</v>
      </c>
      <c r="AF381" s="73">
        <v>90.07</v>
      </c>
      <c r="AG381" s="72">
        <v>77.45</v>
      </c>
    </row>
    <row r="382" spans="1:33" ht="27" customHeight="1" x14ac:dyDescent="0.25">
      <c r="AA382" s="276"/>
      <c r="AB382" s="277"/>
      <c r="AC382" s="70">
        <v>56</v>
      </c>
      <c r="AD382" s="71" t="s">
        <v>383</v>
      </c>
      <c r="AE382" s="72">
        <v>81.81</v>
      </c>
      <c r="AF382" s="73">
        <v>88.65</v>
      </c>
      <c r="AG382" s="72">
        <v>75.42</v>
      </c>
    </row>
    <row r="383" spans="1:33" ht="27" customHeight="1" x14ac:dyDescent="0.25">
      <c r="AA383" s="278"/>
      <c r="AB383" s="279"/>
      <c r="AC383" s="70">
        <v>57</v>
      </c>
      <c r="AD383" s="71" t="s">
        <v>384</v>
      </c>
      <c r="AE383" s="72">
        <v>83.31</v>
      </c>
      <c r="AF383" s="73">
        <v>95.17</v>
      </c>
      <c r="AG383" s="72">
        <v>81.459999999999994</v>
      </c>
    </row>
    <row r="400" spans="1:26" ht="39" customHeight="1" thickBot="1" x14ac:dyDescent="0.3">
      <c r="A400" t="s">
        <v>92</v>
      </c>
      <c r="R400" s="343" t="s">
        <v>130</v>
      </c>
      <c r="S400" s="343"/>
      <c r="T400" s="344" t="s">
        <v>286</v>
      </c>
      <c r="U400" s="345">
        <v>2016</v>
      </c>
      <c r="V400" s="345">
        <v>2016</v>
      </c>
      <c r="W400" s="345" t="s">
        <v>287</v>
      </c>
      <c r="X400" s="345" t="s">
        <v>288</v>
      </c>
      <c r="Y400" s="345" t="s">
        <v>289</v>
      </c>
      <c r="Z400" s="137"/>
    </row>
    <row r="401" spans="1:26" ht="24.95" customHeight="1" x14ac:dyDescent="0.25">
      <c r="A401" t="s">
        <v>75</v>
      </c>
      <c r="R401" s="352" t="s">
        <v>33</v>
      </c>
      <c r="S401" s="349">
        <v>86</v>
      </c>
      <c r="T401" s="346" t="s">
        <v>11</v>
      </c>
      <c r="U401" s="93">
        <v>86.53</v>
      </c>
      <c r="V401" s="93">
        <v>84.8</v>
      </c>
      <c r="W401" s="93">
        <v>77.650000000000006</v>
      </c>
      <c r="X401" s="93">
        <v>1.73</v>
      </c>
      <c r="Y401" s="93">
        <v>8.8800000000000008</v>
      </c>
      <c r="Z401" s="138"/>
    </row>
    <row r="402" spans="1:26" ht="24.95" customHeight="1" x14ac:dyDescent="0.25">
      <c r="R402" s="353"/>
      <c r="S402" s="350"/>
      <c r="T402" s="347" t="s">
        <v>12</v>
      </c>
      <c r="U402" s="94">
        <v>85.75</v>
      </c>
      <c r="V402" s="94">
        <v>87.99</v>
      </c>
      <c r="W402" s="94">
        <v>79.209999999999994</v>
      </c>
      <c r="X402" s="94">
        <v>-2.2400000000000002</v>
      </c>
      <c r="Y402" s="94">
        <v>6.54</v>
      </c>
      <c r="Z402" s="138"/>
    </row>
    <row r="403" spans="1:26" ht="24.95" customHeight="1" thickBot="1" x14ac:dyDescent="0.3">
      <c r="R403" s="354"/>
      <c r="S403" s="351"/>
      <c r="T403" s="348" t="s">
        <v>13</v>
      </c>
      <c r="U403" s="101">
        <v>85.61</v>
      </c>
      <c r="V403" s="101">
        <v>90.77</v>
      </c>
      <c r="W403" s="101">
        <v>79.099999999999994</v>
      </c>
      <c r="X403" s="101">
        <v>-5.16</v>
      </c>
      <c r="Y403" s="101">
        <v>6.51</v>
      </c>
      <c r="Z403" s="138"/>
    </row>
    <row r="404" spans="1:26" ht="24.95" customHeight="1" x14ac:dyDescent="0.25">
      <c r="R404" s="328" t="s">
        <v>37</v>
      </c>
      <c r="S404" s="325">
        <v>82</v>
      </c>
      <c r="T404" s="96" t="s">
        <v>14</v>
      </c>
      <c r="U404" s="89">
        <v>82.03</v>
      </c>
      <c r="V404" s="89">
        <v>90.97</v>
      </c>
      <c r="W404" s="89">
        <v>76.66</v>
      </c>
      <c r="X404" s="89">
        <v>-8.94</v>
      </c>
      <c r="Y404" s="89">
        <v>5.37</v>
      </c>
      <c r="Z404" s="138"/>
    </row>
    <row r="405" spans="1:26" ht="24.95" customHeight="1" x14ac:dyDescent="0.25">
      <c r="R405" s="329"/>
      <c r="S405" s="326"/>
      <c r="T405" s="97" t="s">
        <v>15</v>
      </c>
      <c r="U405" s="90">
        <v>81.34</v>
      </c>
      <c r="V405" s="90">
        <v>83.97</v>
      </c>
      <c r="W405" s="90">
        <v>73.13</v>
      </c>
      <c r="X405" s="90">
        <v>-2.63</v>
      </c>
      <c r="Y405" s="90">
        <v>8.2100000000000009</v>
      </c>
      <c r="Z405" s="138"/>
    </row>
    <row r="406" spans="1:26" ht="24.95" customHeight="1" thickBot="1" x14ac:dyDescent="0.3">
      <c r="R406" s="330"/>
      <c r="S406" s="327"/>
      <c r="T406" s="98" t="s">
        <v>16</v>
      </c>
      <c r="U406" s="91">
        <v>81.349999999999994</v>
      </c>
      <c r="V406" s="91">
        <v>91.19</v>
      </c>
      <c r="W406" s="91">
        <v>79.02</v>
      </c>
      <c r="X406" s="91">
        <v>-9.84</v>
      </c>
      <c r="Y406" s="91">
        <v>2.33</v>
      </c>
      <c r="Z406" s="138"/>
    </row>
    <row r="407" spans="1:26" ht="24.95" customHeight="1" x14ac:dyDescent="0.25">
      <c r="R407" s="334" t="s">
        <v>41</v>
      </c>
      <c r="S407" s="331">
        <v>78</v>
      </c>
      <c r="T407" s="106" t="s">
        <v>17</v>
      </c>
      <c r="U407" s="93">
        <v>68.510000000000005</v>
      </c>
      <c r="V407" s="93">
        <v>66.22</v>
      </c>
      <c r="W407" s="93">
        <v>63.26</v>
      </c>
      <c r="X407" s="93">
        <v>2.29</v>
      </c>
      <c r="Y407" s="93">
        <v>5.25</v>
      </c>
      <c r="Z407" s="138"/>
    </row>
    <row r="408" spans="1:26" ht="24.95" customHeight="1" x14ac:dyDescent="0.25">
      <c r="R408" s="335"/>
      <c r="S408" s="332"/>
      <c r="T408" s="107" t="s">
        <v>18</v>
      </c>
      <c r="U408" s="95">
        <v>67.98</v>
      </c>
      <c r="V408" s="95">
        <v>72.180000000000007</v>
      </c>
      <c r="W408" s="95">
        <v>64.150000000000006</v>
      </c>
      <c r="X408" s="95">
        <v>-4.2</v>
      </c>
      <c r="Y408" s="95">
        <v>3.83</v>
      </c>
      <c r="Z408" s="138"/>
    </row>
    <row r="409" spans="1:26" ht="24.95" customHeight="1" thickBot="1" x14ac:dyDescent="0.3">
      <c r="R409" s="336"/>
      <c r="S409" s="333"/>
      <c r="T409" s="108" t="s">
        <v>19</v>
      </c>
      <c r="U409" s="102">
        <v>91.08</v>
      </c>
      <c r="V409" s="102">
        <v>95.01</v>
      </c>
      <c r="W409" s="102">
        <v>90.14</v>
      </c>
      <c r="X409" s="102">
        <v>-3.93</v>
      </c>
      <c r="Y409" s="102">
        <v>0.94</v>
      </c>
      <c r="Z409" s="138"/>
    </row>
    <row r="410" spans="1:26" ht="24.95" customHeight="1" x14ac:dyDescent="0.25">
      <c r="R410" s="340" t="s">
        <v>45</v>
      </c>
      <c r="S410" s="337">
        <v>83</v>
      </c>
      <c r="T410" s="99" t="s">
        <v>20</v>
      </c>
      <c r="U410" s="89">
        <v>80.63</v>
      </c>
      <c r="V410" s="89">
        <v>83.69</v>
      </c>
      <c r="W410" s="89">
        <v>76.319999999999993</v>
      </c>
      <c r="X410" s="89">
        <v>-3.06</v>
      </c>
      <c r="Y410" s="89">
        <v>4.3099999999999996</v>
      </c>
      <c r="Z410" s="138"/>
    </row>
    <row r="411" spans="1:26" ht="24.95" customHeight="1" x14ac:dyDescent="0.25">
      <c r="R411" s="341"/>
      <c r="S411" s="338"/>
      <c r="T411" s="100" t="s">
        <v>21</v>
      </c>
      <c r="U411" s="92">
        <v>83.99</v>
      </c>
      <c r="V411" s="92">
        <v>91.22</v>
      </c>
      <c r="W411" s="92">
        <v>80.14</v>
      </c>
      <c r="X411" s="92">
        <v>-7.23</v>
      </c>
      <c r="Y411" s="92">
        <v>3.85</v>
      </c>
      <c r="Z411" s="138"/>
    </row>
    <row r="412" spans="1:26" ht="24.95" customHeight="1" thickBot="1" x14ac:dyDescent="0.3">
      <c r="R412" s="342"/>
      <c r="S412" s="339"/>
      <c r="T412" s="100" t="s">
        <v>22</v>
      </c>
      <c r="U412" s="92">
        <v>84.29</v>
      </c>
      <c r="V412" s="92">
        <v>89.33</v>
      </c>
      <c r="W412" s="92">
        <v>80.72</v>
      </c>
      <c r="X412" s="92">
        <v>-5.04</v>
      </c>
      <c r="Y412" s="92">
        <v>3.57</v>
      </c>
      <c r="Z412" s="138"/>
    </row>
    <row r="413" spans="1:26" ht="24.95" customHeight="1" x14ac:dyDescent="0.25">
      <c r="R413" s="322" t="s">
        <v>138</v>
      </c>
      <c r="S413" s="319">
        <v>86</v>
      </c>
      <c r="T413" s="109" t="s">
        <v>23</v>
      </c>
      <c r="U413" s="103">
        <v>87.27</v>
      </c>
      <c r="V413" s="103">
        <v>92.2</v>
      </c>
      <c r="W413" s="103">
        <v>84.71</v>
      </c>
      <c r="X413" s="103">
        <v>-4.93</v>
      </c>
      <c r="Y413" s="103">
        <v>2.56</v>
      </c>
      <c r="Z413" s="138"/>
    </row>
    <row r="414" spans="1:26" ht="24.95" customHeight="1" x14ac:dyDescent="0.25">
      <c r="R414" s="323"/>
      <c r="S414" s="320"/>
      <c r="T414" s="110" t="s">
        <v>24</v>
      </c>
      <c r="U414" s="104">
        <v>88.28</v>
      </c>
      <c r="V414" s="104">
        <v>93.8</v>
      </c>
      <c r="W414" s="104">
        <v>86.6</v>
      </c>
      <c r="X414" s="104">
        <v>-5.52</v>
      </c>
      <c r="Y414" s="104">
        <v>1.68</v>
      </c>
      <c r="Z414" s="138"/>
    </row>
    <row r="415" spans="1:26" ht="24.95" customHeight="1" thickBot="1" x14ac:dyDescent="0.3">
      <c r="R415" s="324"/>
      <c r="S415" s="321"/>
      <c r="T415" s="111" t="s">
        <v>25</v>
      </c>
      <c r="U415" s="105">
        <v>82.3</v>
      </c>
      <c r="V415" s="105">
        <v>91.3</v>
      </c>
      <c r="W415" s="105">
        <v>78.11</v>
      </c>
      <c r="X415" s="105">
        <v>-9</v>
      </c>
      <c r="Y415" s="105">
        <v>4.1900000000000004</v>
      </c>
      <c r="Z415" s="138"/>
    </row>
    <row r="468" spans="1:48" ht="24.75" customHeight="1" x14ac:dyDescent="0.25">
      <c r="A468" t="s">
        <v>71</v>
      </c>
      <c r="AP468" s="292" t="s">
        <v>130</v>
      </c>
      <c r="AQ468" s="292"/>
      <c r="AR468" s="119" t="s">
        <v>286</v>
      </c>
      <c r="AS468" s="119" t="s">
        <v>290</v>
      </c>
      <c r="AT468" s="119" t="s">
        <v>291</v>
      </c>
      <c r="AU468" s="119">
        <v>2016</v>
      </c>
      <c r="AV468" s="119" t="s">
        <v>386</v>
      </c>
    </row>
    <row r="469" spans="1:48" ht="24.75" customHeight="1" x14ac:dyDescent="0.25">
      <c r="AP469" s="288" t="s">
        <v>131</v>
      </c>
      <c r="AQ469" s="288"/>
      <c r="AR469" s="121" t="s">
        <v>357</v>
      </c>
      <c r="AS469" s="122">
        <v>36</v>
      </c>
      <c r="AT469" s="122" t="s">
        <v>359</v>
      </c>
      <c r="AU469" s="123">
        <v>96.52</v>
      </c>
      <c r="AV469" s="123">
        <v>13.61</v>
      </c>
    </row>
    <row r="470" spans="1:48" ht="24.75" customHeight="1" x14ac:dyDescent="0.25">
      <c r="AP470" s="288" t="s">
        <v>131</v>
      </c>
      <c r="AQ470" s="288"/>
      <c r="AR470" s="121" t="s">
        <v>357</v>
      </c>
      <c r="AS470" s="122">
        <v>37</v>
      </c>
      <c r="AT470" s="122" t="s">
        <v>360</v>
      </c>
      <c r="AU470" s="123">
        <v>94.97</v>
      </c>
      <c r="AV470" s="123">
        <v>12.06</v>
      </c>
    </row>
    <row r="471" spans="1:48" ht="24.75" customHeight="1" x14ac:dyDescent="0.25">
      <c r="AP471" s="293" t="s">
        <v>131</v>
      </c>
      <c r="AQ471" s="293"/>
      <c r="AR471" s="121" t="s">
        <v>357</v>
      </c>
      <c r="AS471" s="122">
        <v>38</v>
      </c>
      <c r="AT471" s="122" t="s">
        <v>361</v>
      </c>
      <c r="AU471" s="123">
        <v>93.83</v>
      </c>
      <c r="AV471" s="123">
        <v>10.92</v>
      </c>
    </row>
    <row r="472" spans="1:48" ht="24.75" customHeight="1" x14ac:dyDescent="0.25">
      <c r="AP472" s="290" t="s">
        <v>387</v>
      </c>
      <c r="AQ472" s="290"/>
      <c r="AR472" s="124" t="s">
        <v>379</v>
      </c>
      <c r="AS472" s="125">
        <v>53</v>
      </c>
      <c r="AT472" s="125" t="s">
        <v>380</v>
      </c>
      <c r="AU472" s="126">
        <v>93.54</v>
      </c>
      <c r="AV472" s="126">
        <v>10.63</v>
      </c>
    </row>
    <row r="473" spans="1:48" ht="24.75" customHeight="1" x14ac:dyDescent="0.25">
      <c r="AP473" s="291" t="s">
        <v>132</v>
      </c>
      <c r="AQ473" s="291"/>
      <c r="AR473" s="127" t="s">
        <v>326</v>
      </c>
      <c r="AS473" s="128">
        <v>14</v>
      </c>
      <c r="AT473" s="128" t="s">
        <v>327</v>
      </c>
      <c r="AU473" s="129">
        <v>92.33</v>
      </c>
      <c r="AV473" s="129">
        <v>9.42</v>
      </c>
    </row>
    <row r="474" spans="1:48" ht="24.75" customHeight="1" x14ac:dyDescent="0.25">
      <c r="AP474" s="289" t="s">
        <v>131</v>
      </c>
      <c r="AQ474" s="289"/>
      <c r="AR474" s="121" t="s">
        <v>351</v>
      </c>
      <c r="AS474" s="122">
        <v>31</v>
      </c>
      <c r="AT474" s="122" t="s">
        <v>353</v>
      </c>
      <c r="AU474" s="123">
        <v>92.08</v>
      </c>
      <c r="AV474" s="123">
        <v>9.17</v>
      </c>
    </row>
    <row r="475" spans="1:48" ht="24.75" customHeight="1" x14ac:dyDescent="0.25">
      <c r="AP475" s="297" t="s">
        <v>133</v>
      </c>
      <c r="AQ475" s="297"/>
      <c r="AR475" s="130" t="s">
        <v>338</v>
      </c>
      <c r="AS475" s="131">
        <v>21</v>
      </c>
      <c r="AT475" s="131" t="s">
        <v>339</v>
      </c>
      <c r="AU475" s="132">
        <v>91.17</v>
      </c>
      <c r="AV475" s="132">
        <v>8.26</v>
      </c>
    </row>
    <row r="476" spans="1:48" ht="24.75" customHeight="1" x14ac:dyDescent="0.25">
      <c r="AP476" s="298" t="s">
        <v>142</v>
      </c>
      <c r="AQ476" s="298"/>
      <c r="AR476" s="133" t="s">
        <v>21</v>
      </c>
      <c r="AS476" s="134">
        <v>42</v>
      </c>
      <c r="AT476" s="134" t="s">
        <v>366</v>
      </c>
      <c r="AU476" s="135">
        <v>90.85</v>
      </c>
      <c r="AV476" s="135">
        <v>7.94</v>
      </c>
    </row>
    <row r="477" spans="1:48" ht="24.75" customHeight="1" x14ac:dyDescent="0.25">
      <c r="AP477" s="299" t="s">
        <v>387</v>
      </c>
      <c r="AQ477" s="299"/>
      <c r="AR477" s="124" t="s">
        <v>376</v>
      </c>
      <c r="AS477" s="125">
        <v>51</v>
      </c>
      <c r="AT477" s="125" t="s">
        <v>377</v>
      </c>
      <c r="AU477" s="126">
        <v>90.49</v>
      </c>
      <c r="AV477" s="126">
        <v>7.57</v>
      </c>
    </row>
    <row r="478" spans="1:48" ht="24.75" customHeight="1" x14ac:dyDescent="0.25">
      <c r="AP478" s="300" t="s">
        <v>387</v>
      </c>
      <c r="AQ478" s="300"/>
      <c r="AR478" s="124" t="s">
        <v>23</v>
      </c>
      <c r="AS478" s="125">
        <v>48</v>
      </c>
      <c r="AT478" s="125" t="s">
        <v>373</v>
      </c>
      <c r="AU478" s="126">
        <v>89.81</v>
      </c>
      <c r="AV478" s="126">
        <v>6.9</v>
      </c>
    </row>
    <row r="495" spans="1:48" ht="24.75" customHeight="1" x14ac:dyDescent="0.25">
      <c r="A495" t="s">
        <v>72</v>
      </c>
      <c r="AP495" s="292" t="s">
        <v>130</v>
      </c>
      <c r="AQ495" s="292"/>
      <c r="AR495" s="119" t="s">
        <v>286</v>
      </c>
      <c r="AS495" s="119" t="s">
        <v>290</v>
      </c>
      <c r="AT495" s="119" t="s">
        <v>291</v>
      </c>
      <c r="AU495" s="119">
        <v>2016</v>
      </c>
      <c r="AV495" s="119" t="s">
        <v>386</v>
      </c>
    </row>
    <row r="496" spans="1:48" ht="24.75" customHeight="1" x14ac:dyDescent="0.25">
      <c r="AP496" s="288" t="s">
        <v>131</v>
      </c>
      <c r="AQ496" s="288"/>
      <c r="AR496" s="121" t="s">
        <v>348</v>
      </c>
      <c r="AS496" s="122">
        <v>29</v>
      </c>
      <c r="AT496" s="122" t="s">
        <v>350</v>
      </c>
      <c r="AU496" s="123">
        <v>45.85</v>
      </c>
      <c r="AV496" s="123">
        <v>-37.06</v>
      </c>
    </row>
    <row r="497" spans="42:48" ht="24.75" customHeight="1" x14ac:dyDescent="0.25">
      <c r="AP497" s="288" t="s">
        <v>131</v>
      </c>
      <c r="AQ497" s="288"/>
      <c r="AR497" s="121" t="s">
        <v>18</v>
      </c>
      <c r="AS497" s="122">
        <v>32</v>
      </c>
      <c r="AT497" s="122" t="s">
        <v>354</v>
      </c>
      <c r="AU497" s="123">
        <v>58.81</v>
      </c>
      <c r="AV497" s="123">
        <v>-24.11</v>
      </c>
    </row>
    <row r="498" spans="42:48" ht="24.75" customHeight="1" x14ac:dyDescent="0.25">
      <c r="AP498" s="289" t="s">
        <v>131</v>
      </c>
      <c r="AQ498" s="289"/>
      <c r="AR498" s="121" t="s">
        <v>348</v>
      </c>
      <c r="AS498" s="122">
        <v>28</v>
      </c>
      <c r="AT498" s="122" t="s">
        <v>349</v>
      </c>
      <c r="AU498" s="123">
        <v>63.94</v>
      </c>
      <c r="AV498" s="123">
        <v>-18.97</v>
      </c>
    </row>
    <row r="499" spans="42:48" ht="24.75" customHeight="1" x14ac:dyDescent="0.25">
      <c r="AP499" s="287" t="s">
        <v>133</v>
      </c>
      <c r="AQ499" s="287"/>
      <c r="AR499" s="130" t="s">
        <v>338</v>
      </c>
      <c r="AS499" s="131">
        <v>22</v>
      </c>
      <c r="AT499" s="131" t="s">
        <v>340</v>
      </c>
      <c r="AU499" s="132">
        <v>69.52</v>
      </c>
      <c r="AV499" s="132">
        <v>-13.39</v>
      </c>
    </row>
    <row r="500" spans="42:48" ht="24.75" customHeight="1" x14ac:dyDescent="0.25">
      <c r="AP500" s="288" t="s">
        <v>131</v>
      </c>
      <c r="AQ500" s="288"/>
      <c r="AR500" s="121" t="s">
        <v>18</v>
      </c>
      <c r="AS500" s="122">
        <v>34</v>
      </c>
      <c r="AT500" s="122" t="s">
        <v>356</v>
      </c>
      <c r="AU500" s="123">
        <v>71.930000000000007</v>
      </c>
      <c r="AV500" s="123">
        <v>-10.99</v>
      </c>
    </row>
    <row r="501" spans="42:48" ht="24.75" customHeight="1" x14ac:dyDescent="0.25">
      <c r="AP501" s="288" t="s">
        <v>131</v>
      </c>
      <c r="AQ501" s="288"/>
      <c r="AR501" s="121" t="s">
        <v>351</v>
      </c>
      <c r="AS501" s="122">
        <v>30</v>
      </c>
      <c r="AT501" s="122" t="s">
        <v>352</v>
      </c>
      <c r="AU501" s="123">
        <v>72.17</v>
      </c>
      <c r="AV501" s="123">
        <v>-10.74</v>
      </c>
    </row>
    <row r="502" spans="42:48" ht="24.75" customHeight="1" x14ac:dyDescent="0.25">
      <c r="AP502" s="289" t="s">
        <v>131</v>
      </c>
      <c r="AQ502" s="289"/>
      <c r="AR502" s="121" t="s">
        <v>18</v>
      </c>
      <c r="AS502" s="122">
        <v>33</v>
      </c>
      <c r="AT502" s="122" t="s">
        <v>355</v>
      </c>
      <c r="AU502" s="123">
        <v>73.19</v>
      </c>
      <c r="AV502" s="123">
        <v>-9.7200000000000006</v>
      </c>
    </row>
    <row r="503" spans="42:48" ht="24.75" customHeight="1" x14ac:dyDescent="0.25">
      <c r="AP503" s="294" t="s">
        <v>133</v>
      </c>
      <c r="AQ503" s="294"/>
      <c r="AR503" s="130" t="s">
        <v>342</v>
      </c>
      <c r="AS503" s="131">
        <v>25</v>
      </c>
      <c r="AT503" s="131" t="s">
        <v>344</v>
      </c>
      <c r="AU503" s="132">
        <v>75.88</v>
      </c>
      <c r="AV503" s="132">
        <v>-7.03</v>
      </c>
    </row>
    <row r="504" spans="42:48" ht="24.75" customHeight="1" x14ac:dyDescent="0.25">
      <c r="AP504" s="295" t="s">
        <v>132</v>
      </c>
      <c r="AQ504" s="295"/>
      <c r="AR504" s="127" t="s">
        <v>311</v>
      </c>
      <c r="AS504" s="128">
        <v>7</v>
      </c>
      <c r="AT504" s="128" t="s">
        <v>316</v>
      </c>
      <c r="AU504" s="129">
        <v>76.25</v>
      </c>
      <c r="AV504" s="129">
        <v>-6.66</v>
      </c>
    </row>
    <row r="505" spans="42:48" ht="24.75" customHeight="1" x14ac:dyDescent="0.25">
      <c r="AP505" s="296" t="s">
        <v>142</v>
      </c>
      <c r="AQ505" s="296"/>
      <c r="AR505" s="133" t="s">
        <v>21</v>
      </c>
      <c r="AS505" s="134">
        <v>43</v>
      </c>
      <c r="AT505" s="134" t="s">
        <v>367</v>
      </c>
      <c r="AU505" s="135">
        <v>77.12</v>
      </c>
      <c r="AV505" s="135">
        <v>-5.79</v>
      </c>
    </row>
  </sheetData>
  <mergeCells count="68">
    <mergeCell ref="AP500:AQ500"/>
    <mergeCell ref="AP501:AQ501"/>
    <mergeCell ref="AP502:AQ502"/>
    <mergeCell ref="AP503:AQ503"/>
    <mergeCell ref="AP504:AQ504"/>
    <mergeCell ref="AP505:AQ505"/>
    <mergeCell ref="AP478:AQ478"/>
    <mergeCell ref="AP495:AQ495"/>
    <mergeCell ref="AP496:AQ496"/>
    <mergeCell ref="AP497:AQ497"/>
    <mergeCell ref="AP498:AQ498"/>
    <mergeCell ref="AP499:AQ499"/>
    <mergeCell ref="AP472:AQ472"/>
    <mergeCell ref="AP473:AQ473"/>
    <mergeCell ref="AP474:AQ474"/>
    <mergeCell ref="AP475:AQ475"/>
    <mergeCell ref="AP476:AQ476"/>
    <mergeCell ref="AP477:AQ477"/>
    <mergeCell ref="S413:S415"/>
    <mergeCell ref="R413:R415"/>
    <mergeCell ref="AP468:AQ468"/>
    <mergeCell ref="AP469:AQ469"/>
    <mergeCell ref="AP470:AQ470"/>
    <mergeCell ref="AP471:AQ471"/>
    <mergeCell ref="S404:S406"/>
    <mergeCell ref="R404:R406"/>
    <mergeCell ref="S407:S409"/>
    <mergeCell ref="R407:R409"/>
    <mergeCell ref="S410:S412"/>
    <mergeCell ref="R410:R412"/>
    <mergeCell ref="AA377:AA380"/>
    <mergeCell ref="AB377:AB378"/>
    <mergeCell ref="AB379:AB380"/>
    <mergeCell ref="AA381:AB383"/>
    <mergeCell ref="R400:S400"/>
    <mergeCell ref="S401:S403"/>
    <mergeCell ref="R401:R403"/>
    <mergeCell ref="AA347:AB347"/>
    <mergeCell ref="AA348:AB349"/>
    <mergeCell ref="AA350:AB351"/>
    <mergeCell ref="AA352:AB355"/>
    <mergeCell ref="AA373:AB373"/>
    <mergeCell ref="AA374:AB376"/>
    <mergeCell ref="AA321:AA324"/>
    <mergeCell ref="AB321:AB322"/>
    <mergeCell ref="AB323:AB324"/>
    <mergeCell ref="AA325:AB327"/>
    <mergeCell ref="AA328:AA332"/>
    <mergeCell ref="AB328:AB331"/>
    <mergeCell ref="AA298:AA299"/>
    <mergeCell ref="AB298:AB299"/>
    <mergeCell ref="AA300:AA306"/>
    <mergeCell ref="AB300:AB302"/>
    <mergeCell ref="AB303:AB306"/>
    <mergeCell ref="AA320:AB320"/>
    <mergeCell ref="AA278:AA281"/>
    <mergeCell ref="AB278:AB280"/>
    <mergeCell ref="AA293:AB293"/>
    <mergeCell ref="AA294:AA297"/>
    <mergeCell ref="AB294:AB295"/>
    <mergeCell ref="AB296:AB297"/>
    <mergeCell ref="AA267:AB267"/>
    <mergeCell ref="AA268:AA271"/>
    <mergeCell ref="AB268:AB269"/>
    <mergeCell ref="AB270:AB271"/>
    <mergeCell ref="AA272:AA277"/>
    <mergeCell ref="AB272:AB274"/>
    <mergeCell ref="AB275:AB276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20</vt:i4>
      </vt:variant>
    </vt:vector>
  </HeadingPairs>
  <TitlesOfParts>
    <vt:vector size="28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2017-08-16T16:38:27Z</dcterms:modified>
</cp:coreProperties>
</file>