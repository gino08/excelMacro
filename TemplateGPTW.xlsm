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5" activeTab="7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544" r:id="rId7"/>
    <sheet name="Graficos Indicadores" sheetId="561" r:id="rId8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D60" i="3"/>
  <c r="C60" i="3"/>
  <c r="G60" i="3" s="1"/>
  <c r="Q59" i="3"/>
  <c r="Q58" i="3"/>
  <c r="Q57" i="3"/>
  <c r="Q56" i="3"/>
  <c r="F56" i="3"/>
  <c r="H56" i="3" s="1"/>
  <c r="E56" i="3"/>
  <c r="D56" i="3"/>
  <c r="C56" i="3"/>
  <c r="G56" i="3" s="1"/>
  <c r="Q55" i="3"/>
  <c r="Q54" i="3"/>
  <c r="Q53" i="3"/>
  <c r="F53" i="3"/>
  <c r="E53" i="3"/>
  <c r="D53" i="3"/>
  <c r="C53" i="3"/>
  <c r="H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E31" i="3"/>
  <c r="D31" i="3"/>
  <c r="C31" i="3"/>
  <c r="H31" i="3" s="1"/>
  <c r="Q29" i="3"/>
  <c r="Q28" i="3"/>
  <c r="Q27" i="3"/>
  <c r="Q26" i="3"/>
  <c r="Q25" i="3"/>
  <c r="Q24" i="3"/>
  <c r="Q23" i="3"/>
  <c r="F23" i="3"/>
  <c r="H23" i="3" s="1"/>
  <c r="E23" i="3"/>
  <c r="D23" i="3"/>
  <c r="C23" i="3"/>
  <c r="G23" i="3" s="1"/>
  <c r="Q22" i="3"/>
  <c r="Q21" i="3"/>
  <c r="F21" i="3"/>
  <c r="H21" i="3" s="1"/>
  <c r="E21" i="3"/>
  <c r="D21" i="3"/>
  <c r="C21" i="3"/>
  <c r="G21" i="3" s="1"/>
  <c r="Q20" i="3"/>
  <c r="Q19" i="3"/>
  <c r="Q18" i="3"/>
  <c r="Q17" i="3"/>
  <c r="F17" i="3"/>
  <c r="H17" i="3" s="1"/>
  <c r="E17" i="3"/>
  <c r="D17" i="3"/>
  <c r="C17" i="3"/>
  <c r="G17" i="3" s="1"/>
  <c r="Q15" i="3"/>
  <c r="Q14" i="3"/>
  <c r="Q13" i="3"/>
  <c r="Q12" i="3"/>
  <c r="F12" i="3"/>
  <c r="H12" i="3" s="1"/>
  <c r="E12" i="3"/>
  <c r="D12" i="3"/>
  <c r="C12" i="3"/>
  <c r="G12" i="3" s="1"/>
  <c r="Q11" i="3"/>
  <c r="Q10" i="3"/>
  <c r="Q9" i="3"/>
  <c r="Q8" i="3"/>
  <c r="Q7" i="3"/>
  <c r="Q6" i="3"/>
  <c r="F6" i="3"/>
  <c r="H6" i="3" s="1"/>
  <c r="E6" i="3"/>
  <c r="D6" i="3"/>
  <c r="C6" i="3"/>
  <c r="G6" i="3" s="1"/>
  <c r="Q5" i="3"/>
  <c r="Q4" i="3"/>
  <c r="Q3" i="3"/>
  <c r="Q2" i="3"/>
  <c r="F2" i="3"/>
  <c r="H2" i="3" s="1"/>
  <c r="E2" i="3"/>
  <c r="D2" i="3"/>
  <c r="C2" i="3"/>
  <c r="G2" i="3" s="1"/>
  <c r="G31" i="3" l="1"/>
  <c r="G35" i="3"/>
  <c r="G44" i="3"/>
  <c r="G46" i="3"/>
  <c r="G48" i="3"/>
  <c r="G53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<sst xmlns="http://schemas.openxmlformats.org/spreadsheetml/2006/main" count="996" uniqueCount="455">
  <si>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</si>
  <si>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</si>
  <si>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</si>
  <si>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</si>
  <si>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</si>
  <si>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</si>
  <si>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</si>
  <si>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</si>
  <si>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</si>
  <si>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</si>
  <si>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</si>
  <si>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</si>
  <si>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</si>
  <si>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</si>
  <si>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</si>
  <si>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</si>
  <si>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</si>
  <si>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</si>
  <si>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</si>
  <si>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</si>
  <si>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</si>
  <si>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</si>
  <si>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</si>
  <si>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</si>
  <si>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</si>
  <si>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</si>
  <si>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</si>
  <si>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</si>
  <si>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</si>
  <si>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</si>
  <si>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</si>
  <si>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</si>
  <si>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</si>
  <si>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</si>
  <si>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</si>
  <si>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</si>
  <si>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</si>
  <si>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</si>
  <si>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</si>
  <si>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</si>
  <si>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</si>
  <si>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</si>
  <si>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</si>
  <si>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</si>
  <si>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</si>
  <si>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</si>
  <si>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</si>
  <si>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</si>
  <si>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</si>
  <si>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</si>
  <si>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</si>
  <si>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</si>
  <si>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</si>
  <si>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</si>
  <si>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</si>
  <si>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</si>
  <si>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</si>
  <si>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</si>
  <si>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</si>
  <si>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</si>
  <si>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</si>
  <si>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</si>
  <si>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</si>
  <si>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</si>
  <si>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</si>
  <si>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</si>
  <si>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</si>
  <si>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</si>
  <si>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</si>
  <si>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</si>
  <si>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</si>
  <si>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</si>
  <si>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</si>
  <si>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</si>
  <si>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</si>
  <si>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</si>
  <si>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</si>
  <si>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</si>
  <si>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</si>
  <si>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</si>
  <si>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</si>
  <si>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</si>
  <si>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</si>
  <si>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</si>
  <si>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</si>
  <si>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</si>
  <si>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</si>
  <si>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</si>
  <si>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</si>
  <si>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</si>
  <si>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</si>
  <si>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</si>
  <si>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</si>
  <si>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</si>
  <si>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</si>
  <si>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</si>
  <si>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</si>
  <si>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</si>
  <si>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</si>
  <si>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</si>
  <si>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</si>
  <si>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</si>
  <si>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</si>
  <si>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</si>
  <si>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</si>
  <si>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</si>
  <si>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</si>
  <si>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</si>
  <si>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</si>
  <si>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</si>
  <si>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</si>
  <si>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</si>
  <si>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</si>
  <si>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</si>
  <si>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</si>
  <si>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</si>
  <si>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</si>
  <si>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</si>
  <si>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</si>
  <si>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</si>
  <si>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</si>
  <si>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</si>
  <si>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</si>
  <si>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</si>
  <si>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</si>
  <si>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</si>
  <si>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</si>
  <si>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</si>
  <si>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</si>
  <si>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</si>
  <si>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</si>
  <si>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</si>
  <si>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</si>
  <si>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</si>
  <si>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</si>
  <si>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</si>
  <si>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</si>
  <si>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</si>
  <si>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</si>
  <si>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</si>
  <si>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</si>
  <si>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</si>
  <si>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</si>
  <si>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</si>
  <si>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</si>
  <si>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</si>
  <si>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</si>
  <si>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</si>
  <si>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</si>
  <si>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</si>
  <si>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</si>
  <si>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</si>
  <si>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</si>
  <si>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</si>
  <si>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</si>
  <si>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</si>
  <si>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</si>
  <si>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</si>
  <si>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</si>
  <si>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</si>
  <si>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</si>
  <si>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</si>
  <si>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</si>
  <si>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</si>
  <si>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</si>
  <si>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</si>
  <si>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</si>
  <si>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</si>
  <si>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</si>
  <si>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</si>
  <si>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</si>
  <si>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</si>
  <si>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</si>
  <si>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</si>
  <si>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</si>
  <si>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</si>
  <si>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</si>
  <si>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</si>
  <si>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</si>
  <si>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</si>
  <si>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</si>
  <si>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</si>
  <si>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</si>
  <si>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</si>
  <si>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</si>
  <si>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</si>
  <si>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</si>
  <si>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</si>
  <si>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</si>
  <si>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</si>
  <si>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</si>
  <si>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</si>
  <si>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</si>
  <si>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</si>
  <si>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</si>
  <si>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</si>
  <si>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</si>
  <si>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</si>
  <si>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</si>
  <si>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</si>
  <si>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</si>
  <si>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</si>
  <si>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</si>
  <si>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</si>
  <si>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</si>
  <si>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</si>
  <si>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</si>
  <si>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</si>
  <si>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</si>
  <si>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</si>
  <si>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</si>
  <si>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</si>
  <si>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</si>
  <si>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</si>
  <si>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</si>
  <si>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</si>
  <si>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</si>
  <si>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</si>
  <si>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</si>
  <si>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</si>
  <si>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</si>
  <si>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</si>
  <si>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</si>
  <si>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</si>
  <si>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</si>
  <si>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</si>
  <si>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</si>
  <si>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</si>
  <si>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</si>
  <si>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</si>
  <si>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</si>
  <si>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</si>
  <si>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</si>
  <si>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</si>
  <si>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</si>
  <si>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</si>
  <si>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</si>
  <si>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</si>
  <si>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</si>
  <si>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</si>
  <si>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</si>
  <si>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</si>
  <si>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</si>
  <si>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</si>
  <si>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</si>
  <si>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</si>
  <si>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</si>
  <si>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</si>
  <si>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</si>
  <si>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</si>
  <si>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</si>
  <si>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</si>
  <si>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</si>
  <si>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</si>
  <si>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</si>
  <si>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</si>
  <si>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</si>
  <si>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</si>
  <si>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</si>
  <si>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</si>
  <si>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</si>
  <si>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</si>
  <si>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</si>
  <si>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</si>
  <si>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</si>
  <si>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</si>
  <si>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</si>
  <si>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</si>
  <si>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</si>
  <si>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</si>
  <si>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</si>
  <si>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</si>
  <si>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</si>
  <si>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</si>
  <si>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</si>
  <si>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</si>
  <si>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</si>
  <si>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</si>
  <si>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</si>
  <si>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</si>
  <si>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</si>
  <si>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</si>
  <si>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</si>
  <si>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</si>
  <si>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</si>
  <si>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</si>
  <si>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</si>
  <si>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</si>
  <si>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</si>
  <si>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</si>
  <si>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</si>
  <si>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</si>
  <si>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</si>
  <si>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</si>
  <si>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</si>
  <si>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</si>
  <si>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</si>
  <si>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</si>
  <si>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</si>
  <si>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</si>
  <si>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</si>
  <si>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</si>
  <si>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</si>
  <si>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</si>
  <si>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</si>
  <si>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</si>
  <si>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</si>
  <si>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</si>
  <si>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</si>
  <si>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</si>
  <si>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</si>
  <si>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</si>
  <si>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</si>
  <si>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</si>
  <si>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</si>
  <si>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</si>
  <si>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</si>
  <si>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</si>
  <si>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</si>
  <si>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</si>
  <si>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</si>
  <si>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</si>
  <si>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</si>
  <si>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</si>
  <si>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</si>
  <si>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</si>
  <si>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</si>
  <si>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</si>
  <si>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#Mejores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</si>
  <si>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</si>
  <si>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</si>
  <si>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</si>
  <si>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</si>
  <si>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</si>
  <si>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</si>
  <si>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</si>
  <si>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</si>
  <si>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</si>
  <si>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</si>
  <si>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</si>
  <si>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</si>
  <si>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</si>
  <si>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</si>
  <si>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</si>
  <si>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</si>
  <si>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</si>
  <si>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</si>
  <si>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</si>
  <si>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</si>
  <si>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</si>
  <si>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</si>
  <si>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</si>
  <si>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</si>
  <si>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</si>
  <si>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</si>
  <si>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</si>
  <si>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</si>
  <si>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</si>
  <si>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</si>
  <si>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</si>
  <si>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</si>
  <si>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</si>
  <si>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</si>
  <si>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</si>
  <si>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</si>
  <si>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</si>
  <si>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J64</t>
  </si>
  <si>
    <t>Q70</t>
  </si>
  <si>
    <t>P75</t>
  </si>
  <si>
    <t>P82</t>
  </si>
  <si>
    <t>Sentencias Adicionales</t>
  </si>
  <si>
    <t>Evolucion Año Anterior</t>
  </si>
  <si>
    <t>Fortalezas</t>
  </si>
  <si>
    <t>Oportunidades de Mejora</t>
  </si>
  <si>
    <t>H85</t>
  </si>
  <si>
    <t>N95</t>
  </si>
  <si>
    <t>H97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</si>
  <si>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</si>
  <si>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</si>
  <si>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</si>
  <si>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</si>
  <si>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</si>
  <si>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</si>
  <si>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</si>
  <si>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</si>
  <si>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</si>
  <si>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</si>
  <si>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</si>
  <si>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</si>
  <si>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</si>
  <si>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</si>
  <si>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</si>
  <si>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</si>
  <si>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</si>
  <si>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</si>
  <si>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</si>
  <si>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</si>
  <si>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</si>
  <si>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</si>
  <si>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</si>
  <si>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</si>
  <si>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</si>
  <si>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</si>
  <si>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</si>
  <si>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</si>
  <si>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</si>
  <si>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</si>
  <si>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</si>
  <si>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</si>
  <si>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</si>
  <si>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</si>
  <si>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</si>
  <si>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</si>
  <si>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</si>
  <si>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</si>
  <si>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</si>
  <si>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</si>
  <si>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T131</t>
  </si>
  <si>
    <t>Años - Indicadores Evolutivos</t>
  </si>
  <si>
    <t>CRED</t>
  </si>
  <si>
    <t>RES</t>
  </si>
  <si>
    <t>IMP</t>
  </si>
  <si>
    <t>ORG</t>
  </si>
  <si>
    <t>CAM</t>
  </si>
  <si>
    <t>PG</t>
  </si>
  <si>
    <t>Percepcion</t>
  </si>
  <si>
    <t>GraficoSintetis1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</si>
  <si>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</si>
  <si>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</si>
  <si>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</si>
  <si>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</si>
  <si>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</si>
  <si>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</si>
  <si>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</si>
  <si>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</si>
  <si>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</si>
  <si>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</si>
  <si>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</si>
  <si>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</si>
  <si>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R117</t>
  </si>
  <si>
    <t>T128</t>
  </si>
  <si>
    <t>M117</t>
  </si>
  <si>
    <t>Q128</t>
  </si>
  <si>
    <t>CategoriasInicio</t>
  </si>
  <si>
    <t>CategoriasFin</t>
  </si>
  <si>
    <t>L128</t>
  </si>
  <si>
    <t>L117</t>
  </si>
  <si>
    <t>P78</t>
  </si>
  <si>
    <t>M79</t>
  </si>
  <si>
    <t>P79</t>
  </si>
  <si>
    <t>M80</t>
  </si>
  <si>
    <t>P80</t>
  </si>
  <si>
    <t>M81</t>
  </si>
  <si>
    <t>P81</t>
  </si>
  <si>
    <t>M82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</si>
</sst>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49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7" fillId="19" borderId="21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6" fillId="53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56" fillId="42" borderId="6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9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80004064"/>
        <c:axId val="1800035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04064"/>
        <c:axId val="180003504"/>
      </c:lineChart>
      <c:catAx>
        <c:axId val="18000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003504"/>
        <c:crosses val="autoZero"/>
        <c:auto val="1"/>
        <c:lblAlgn val="ctr"/>
        <c:lblOffset val="100"/>
        <c:noMultiLvlLbl val="0"/>
      </c:catAx>
      <c:valAx>
        <c:axId val="18000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0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490112"/>
        <c:axId val="1764884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90112"/>
        <c:axId val="176488432"/>
      </c:lineChart>
      <c:catAx>
        <c:axId val="176490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488432"/>
        <c:crosses val="autoZero"/>
        <c:auto val="1"/>
        <c:lblAlgn val="ctr"/>
        <c:lblOffset val="100"/>
        <c:noMultiLvlLbl val="0"/>
      </c:catAx>
      <c:valAx>
        <c:axId val="176488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4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4596016"/>
        <c:axId val="2145948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96016"/>
        <c:axId val="214594896"/>
      </c:lineChart>
      <c:catAx>
        <c:axId val="214596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594896"/>
        <c:crosses val="autoZero"/>
        <c:auto val="1"/>
        <c:lblAlgn val="ctr"/>
        <c:lblOffset val="100"/>
        <c:noMultiLvlLbl val="0"/>
      </c:catAx>
      <c:valAx>
        <c:axId val="214594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59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760352"/>
        <c:axId val="1777609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60352"/>
        <c:axId val="177760912"/>
      </c:lineChart>
      <c:catAx>
        <c:axId val="177760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60912"/>
        <c:crosses val="autoZero"/>
        <c:auto val="1"/>
        <c:lblAlgn val="ctr"/>
        <c:lblOffset val="100"/>
        <c:noMultiLvlLbl val="0"/>
      </c:catAx>
      <c:valAx>
        <c:axId val="177760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7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767072"/>
        <c:axId val="1777676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67072"/>
        <c:axId val="177767632"/>
      </c:lineChart>
      <c:catAx>
        <c:axId val="177767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767632"/>
        <c:crosses val="autoZero"/>
        <c:auto val="1"/>
        <c:lblAlgn val="ctr"/>
        <c:lblOffset val="100"/>
        <c:noMultiLvlLbl val="0"/>
      </c:catAx>
      <c:valAx>
        <c:axId val="177767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76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203504"/>
        <c:axId val="1792040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03504"/>
        <c:axId val="179204064"/>
      </c:lineChart>
      <c:catAx>
        <c:axId val="179203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204064"/>
        <c:crosses val="autoZero"/>
        <c:auto val="1"/>
        <c:lblAlgn val="ctr"/>
        <c:lblOffset val="100"/>
        <c:noMultiLvlLbl val="0"/>
      </c:catAx>
      <c:valAx>
        <c:axId val="179204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20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210224"/>
        <c:axId val="1792107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10224"/>
        <c:axId val="179210784"/>
      </c:lineChart>
      <c:catAx>
        <c:axId val="179210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210784"/>
        <c:crosses val="autoZero"/>
        <c:auto val="1"/>
        <c:lblAlgn val="ctr"/>
        <c:lblOffset val="100"/>
        <c:noMultiLvlLbl val="0"/>
      </c:catAx>
      <c:valAx>
        <c:axId val="17921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21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216944"/>
        <c:axId val="1792175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16944"/>
        <c:axId val="179217504"/>
      </c:lineChart>
      <c:catAx>
        <c:axId val="179216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217504"/>
        <c:crosses val="autoZero"/>
        <c:auto val="1"/>
        <c:lblAlgn val="ctr"/>
        <c:lblOffset val="100"/>
        <c:noMultiLvlLbl val="0"/>
      </c:catAx>
      <c:valAx>
        <c:axId val="179217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21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5885968"/>
        <c:axId val="2158865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885968"/>
        <c:axId val="215886528"/>
      </c:lineChart>
      <c:catAx>
        <c:axId val="21588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886528"/>
        <c:crosses val="autoZero"/>
        <c:auto val="1"/>
        <c:lblAlgn val="ctr"/>
        <c:lblOffset val="100"/>
        <c:noMultiLvlLbl val="0"/>
      </c:catAx>
      <c:valAx>
        <c:axId val="215886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8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5892688"/>
        <c:axId val="2158932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892688"/>
        <c:axId val="215893248"/>
      </c:lineChart>
      <c:catAx>
        <c:axId val="215892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893248"/>
        <c:crosses val="autoZero"/>
        <c:auto val="1"/>
        <c:lblAlgn val="ctr"/>
        <c:lblOffset val="100"/>
        <c:noMultiLvlLbl val="0"/>
      </c:catAx>
      <c:valAx>
        <c:axId val="215893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89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6820512"/>
        <c:axId val="2868255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820512"/>
        <c:axId val="286825552"/>
      </c:lineChart>
      <c:catAx>
        <c:axId val="28682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825552"/>
        <c:crosses val="autoZero"/>
        <c:auto val="1"/>
        <c:lblAlgn val="ctr"/>
        <c:lblOffset val="100"/>
        <c:noMultiLvlLbl val="0"/>
      </c:catAx>
      <c:valAx>
        <c:axId val="286825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8682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580112"/>
        <c:axId val="227581232"/>
      </c:lineChart>
      <c:catAx>
        <c:axId val="22758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7581232"/>
        <c:crosses val="autoZero"/>
        <c:auto val="1"/>
        <c:lblAlgn val="ctr"/>
        <c:lblOffset val="100"/>
        <c:noMultiLvlLbl val="0"/>
      </c:catAx>
      <c:valAx>
        <c:axId val="22758123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2758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4353120"/>
        <c:axId val="29435368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53120"/>
        <c:axId val="294353680"/>
      </c:lineChart>
      <c:catAx>
        <c:axId val="294353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353680"/>
        <c:crosses val="autoZero"/>
        <c:auto val="1"/>
        <c:lblAlgn val="ctr"/>
        <c:lblOffset val="100"/>
        <c:noMultiLvlLbl val="0"/>
      </c:catAx>
      <c:valAx>
        <c:axId val="294353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054160"/>
        <c:axId val="295053600"/>
      </c:lineChart>
      <c:catAx>
        <c:axId val="29505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5053600"/>
        <c:crosses val="autoZero"/>
        <c:auto val="1"/>
        <c:lblAlgn val="ctr"/>
        <c:lblOffset val="100"/>
        <c:noMultiLvlLbl val="0"/>
      </c:catAx>
      <c:valAx>
        <c:axId val="29505360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9505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5056400"/>
        <c:axId val="2971484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56400"/>
        <c:axId val="297148464"/>
      </c:lineChart>
      <c:catAx>
        <c:axId val="295056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148464"/>
        <c:crosses val="autoZero"/>
        <c:auto val="1"/>
        <c:lblAlgn val="ctr"/>
        <c:lblOffset val="100"/>
        <c:noMultiLvlLbl val="0"/>
      </c:catAx>
      <c:valAx>
        <c:axId val="297148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05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7143424"/>
        <c:axId val="470067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143424"/>
        <c:axId val="47006736"/>
      </c:lineChart>
      <c:catAx>
        <c:axId val="297143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7006736"/>
        <c:crosses val="autoZero"/>
        <c:auto val="1"/>
        <c:lblAlgn val="ctr"/>
        <c:lblOffset val="100"/>
        <c:noMultiLvlLbl val="0"/>
      </c:catAx>
      <c:valAx>
        <c:axId val="47006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14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2317504"/>
        <c:axId val="2923158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317504"/>
        <c:axId val="292315824"/>
      </c:lineChart>
      <c:catAx>
        <c:axId val="292317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315824"/>
        <c:crosses val="autoZero"/>
        <c:auto val="1"/>
        <c:lblAlgn val="ctr"/>
        <c:lblOffset val="100"/>
        <c:noMultiLvlLbl val="0"/>
      </c:catAx>
      <c:valAx>
        <c:axId val="292315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231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2883200"/>
        <c:axId val="2828854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83200"/>
        <c:axId val="282885440"/>
      </c:lineChart>
      <c:catAx>
        <c:axId val="282883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2885440"/>
        <c:crosses val="autoZero"/>
        <c:auto val="1"/>
        <c:lblAlgn val="ctr"/>
        <c:lblOffset val="100"/>
        <c:noMultiLvlLbl val="0"/>
      </c:catAx>
      <c:valAx>
        <c:axId val="282885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288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6991648"/>
        <c:axId val="2828703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991648"/>
        <c:axId val="282870352"/>
      </c:lineChart>
      <c:catAx>
        <c:axId val="296991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2870352"/>
        <c:crosses val="autoZero"/>
        <c:auto val="1"/>
        <c:lblAlgn val="ctr"/>
        <c:lblOffset val="100"/>
        <c:noMultiLvlLbl val="0"/>
      </c:catAx>
      <c:valAx>
        <c:axId val="282870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9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551152"/>
        <c:axId val="2235483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51152"/>
        <c:axId val="223548352"/>
      </c:lineChart>
      <c:catAx>
        <c:axId val="22355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548352"/>
        <c:crosses val="autoZero"/>
        <c:auto val="1"/>
        <c:lblAlgn val="ctr"/>
        <c:lblOffset val="100"/>
        <c:noMultiLvlLbl val="0"/>
      </c:catAx>
      <c:valAx>
        <c:axId val="223548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55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461040"/>
        <c:axId val="2857688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461040"/>
        <c:axId val="285768832"/>
      </c:lineChart>
      <c:catAx>
        <c:axId val="288461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5768832"/>
        <c:crosses val="autoZero"/>
        <c:auto val="1"/>
        <c:lblAlgn val="ctr"/>
        <c:lblOffset val="100"/>
        <c:noMultiLvlLbl val="0"/>
      </c:catAx>
      <c:valAx>
        <c:axId val="285768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46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6806736"/>
        <c:axId val="2868078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806736"/>
        <c:axId val="286807856"/>
      </c:lineChart>
      <c:catAx>
        <c:axId val="286806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86807856"/>
        <c:crosses val="autoZero"/>
        <c:auto val="1"/>
        <c:lblAlgn val="ctr"/>
        <c:lblOffset val="100"/>
        <c:noMultiLvlLbl val="0"/>
      </c:catAx>
      <c:valAx>
        <c:axId val="286807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680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2246576"/>
        <c:axId val="2922426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246576"/>
        <c:axId val="292242656"/>
      </c:lineChart>
      <c:catAx>
        <c:axId val="292246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242656"/>
        <c:crosses val="autoZero"/>
        <c:auto val="1"/>
        <c:lblAlgn val="ctr"/>
        <c:lblOffset val="100"/>
        <c:noMultiLvlLbl val="0"/>
      </c:catAx>
      <c:valAx>
        <c:axId val="292242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224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9481088"/>
        <c:axId val="1794833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81088"/>
        <c:axId val="179483328"/>
      </c:lineChart>
      <c:catAx>
        <c:axId val="17948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483328"/>
        <c:crosses val="autoZero"/>
        <c:auto val="1"/>
        <c:lblAlgn val="ctr"/>
        <c:lblOffset val="100"/>
        <c:noMultiLvlLbl val="0"/>
      </c:catAx>
      <c:valAx>
        <c:axId val="179483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48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180975</xdr:rowOff>
        </xdr:from>
        <xdr:to>
          <xdr:col>8</xdr:col>
          <xdr:colOff>0</xdr:colOff>
          <xdr:row>46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48</xdr:row>
          <xdr:rowOff>9525</xdr:rowOff>
        </xdr:from>
        <xdr:to>
          <xdr:col>8</xdr:col>
          <xdr:colOff>0</xdr:colOff>
          <xdr:row>50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1</xdr:row>
          <xdr:rowOff>0</xdr:rowOff>
        </xdr:from>
        <xdr:to>
          <xdr:col>6</xdr:col>
          <xdr:colOff>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L7" sqref="L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4" t="s">
        <v>6</v>
      </c>
      <c r="G2" s="194"/>
      <c r="H2" s="194"/>
      <c r="J2" s="194" t="s">
        <v>7</v>
      </c>
      <c r="K2" s="194"/>
      <c r="L2" s="194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417</v>
      </c>
      <c r="J6" s="6" t="s">
        <v>20</v>
      </c>
      <c r="K6" s="6" t="s">
        <v>8</v>
      </c>
      <c r="L6" s="6" t="s">
        <v>417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5" t="s">
        <v>231</v>
      </c>
      <c r="B1" s="215"/>
      <c r="C1" s="124"/>
      <c r="D1" s="204" t="s">
        <v>174</v>
      </c>
      <c r="E1" s="205"/>
      <c r="F1" s="205"/>
      <c r="G1" s="205"/>
      <c r="H1" s="205"/>
      <c r="I1" s="205"/>
      <c r="J1" s="205"/>
      <c r="K1" s="125"/>
      <c r="L1" s="204" t="s">
        <v>175</v>
      </c>
      <c r="M1" s="205"/>
      <c r="N1" s="205"/>
      <c r="O1" s="205"/>
      <c r="P1" s="206"/>
      <c r="Q1" s="125"/>
      <c r="R1" s="204" t="s">
        <v>176</v>
      </c>
      <c r="S1" s="206"/>
      <c r="T1" s="125"/>
      <c r="U1" s="204" t="s">
        <v>253</v>
      </c>
      <c r="V1" s="205"/>
      <c r="W1" s="205"/>
      <c r="X1" s="205"/>
      <c r="Y1" s="206"/>
      <c r="Z1" s="125"/>
      <c r="AA1" s="204" t="s">
        <v>254</v>
      </c>
      <c r="AB1" s="205"/>
      <c r="AC1" s="205"/>
      <c r="AD1" s="205"/>
      <c r="AE1" s="205"/>
      <c r="AF1" s="205"/>
      <c r="AG1" s="205"/>
      <c r="AH1" s="205"/>
      <c r="AI1" s="205"/>
      <c r="AJ1" s="206"/>
      <c r="AK1" s="125"/>
      <c r="AL1" s="204" t="s">
        <v>255</v>
      </c>
      <c r="AM1" s="205"/>
      <c r="AN1" s="205"/>
      <c r="AO1" s="205"/>
      <c r="AP1" s="205"/>
      <c r="AQ1" s="206"/>
      <c r="AR1" s="125"/>
      <c r="AS1" s="204" t="s">
        <v>256</v>
      </c>
      <c r="AT1" s="205"/>
      <c r="AU1" s="205"/>
      <c r="AV1" s="205"/>
      <c r="AW1" s="205"/>
      <c r="AX1" s="205"/>
      <c r="AY1" s="205"/>
      <c r="AZ1" s="205"/>
      <c r="BA1" s="205"/>
      <c r="BB1" s="205"/>
      <c r="BC1" s="205"/>
      <c r="BD1" s="205"/>
      <c r="BE1" s="205"/>
      <c r="BF1" s="206"/>
      <c r="BG1" s="125"/>
      <c r="BH1" s="204" t="s">
        <v>257</v>
      </c>
      <c r="BI1" s="205"/>
      <c r="BJ1" s="205"/>
      <c r="BK1" s="206"/>
      <c r="BL1" s="125"/>
      <c r="BM1" s="204" t="s">
        <v>258</v>
      </c>
      <c r="BN1" s="205"/>
      <c r="BO1" s="205"/>
      <c r="BP1" s="205"/>
      <c r="BQ1" s="206"/>
      <c r="BR1" s="125"/>
      <c r="BS1" s="204" t="s">
        <v>259</v>
      </c>
      <c r="BT1" s="205"/>
      <c r="BU1" s="205"/>
      <c r="BV1" s="206"/>
    </row>
    <row r="2" spans="1:74" ht="273.75">
      <c r="A2" s="213" t="s">
        <v>260</v>
      </c>
      <c r="B2" s="213"/>
      <c r="C2" s="214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16" t="s">
        <v>12</v>
      </c>
      <c r="B7" s="217"/>
      <c r="C7" s="218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19" t="s">
        <v>13</v>
      </c>
      <c r="B8" s="220"/>
      <c r="C8" s="221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22" t="s">
        <v>14</v>
      </c>
      <c r="B9" s="223"/>
      <c r="C9" s="224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195" t="s">
        <v>15</v>
      </c>
      <c r="B10" s="196"/>
      <c r="C10" s="197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198" t="s">
        <v>16</v>
      </c>
      <c r="B11" s="199"/>
      <c r="C11" s="200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10" t="s">
        <v>18</v>
      </c>
      <c r="B13" s="211"/>
      <c r="C13" s="21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01">
        <f>+SUM(L3:P3)</f>
        <v>4698</v>
      </c>
      <c r="M16" s="202"/>
      <c r="N16" s="202"/>
      <c r="O16" s="202"/>
      <c r="P16" s="203"/>
      <c r="Q16" s="125"/>
      <c r="R16" s="201">
        <f>+SUM(R3:S3)</f>
        <v>4667</v>
      </c>
      <c r="S16" s="203"/>
      <c r="T16" s="125"/>
      <c r="U16" s="201">
        <f>+SUM(U3:Y3)</f>
        <v>4690</v>
      </c>
      <c r="V16" s="202"/>
      <c r="W16" s="202"/>
      <c r="X16" s="202"/>
      <c r="Y16" s="203"/>
      <c r="Z16" s="125"/>
      <c r="AA16" s="201">
        <f>+SUM(AA3:AJ3)</f>
        <v>4649</v>
      </c>
      <c r="AB16" s="202"/>
      <c r="AC16" s="202"/>
      <c r="AD16" s="202"/>
      <c r="AE16" s="202"/>
      <c r="AF16" s="202"/>
      <c r="AG16" s="202"/>
      <c r="AH16" s="202"/>
      <c r="AI16" s="202"/>
      <c r="AJ16" s="203"/>
      <c r="AK16" s="125"/>
      <c r="AL16" s="201">
        <f>+SUM(AL3:AQ3)</f>
        <v>4670</v>
      </c>
      <c r="AM16" s="202"/>
      <c r="AN16" s="202"/>
      <c r="AO16" s="202"/>
      <c r="AP16" s="202"/>
      <c r="AQ16" s="203"/>
      <c r="AR16" s="125"/>
      <c r="AS16" s="201">
        <f>+SUM(AS3:BF3)</f>
        <v>4886</v>
      </c>
      <c r="AT16" s="202"/>
      <c r="AU16" s="202"/>
      <c r="AV16" s="202"/>
      <c r="AW16" s="202"/>
      <c r="AX16" s="202"/>
      <c r="AY16" s="202"/>
      <c r="AZ16" s="202"/>
      <c r="BA16" s="202"/>
      <c r="BB16" s="202"/>
      <c r="BC16" s="202"/>
      <c r="BD16" s="202"/>
      <c r="BE16" s="202"/>
      <c r="BF16" s="203"/>
      <c r="BG16" s="125"/>
      <c r="BH16" s="201">
        <f>+SUM(BH3:BK3)</f>
        <v>4149</v>
      </c>
      <c r="BI16" s="202"/>
      <c r="BJ16" s="202"/>
      <c r="BK16" s="203"/>
      <c r="BL16" s="125"/>
      <c r="BM16" s="201">
        <f>+SUM(BM3:BQ3)</f>
        <v>3932</v>
      </c>
      <c r="BN16" s="202"/>
      <c r="BO16" s="202"/>
      <c r="BP16" s="202"/>
      <c r="BQ16" s="203"/>
      <c r="BR16" s="125"/>
      <c r="BS16" s="201">
        <f>+SUM(BS3:BV3)</f>
        <v>1839</v>
      </c>
      <c r="BT16" s="202"/>
      <c r="BU16" s="202"/>
      <c r="BV16" s="203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07">
        <f>+SUM(BM5:BQ5)</f>
        <v>4577</v>
      </c>
      <c r="BN19" s="208"/>
      <c r="BO19" s="208"/>
      <c r="BP19" s="208"/>
      <c r="BQ19" s="209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193" priority="43" stopIfTrue="1" operator="lessThanOrEqual">
      <formula>44.49</formula>
    </cfRule>
    <cfRule type="cellIs" dxfId="192" priority="44" stopIfTrue="1" operator="greaterThanOrEqual">
      <formula>85.5</formula>
    </cfRule>
    <cfRule type="cellIs" dxfId="191" priority="45" stopIfTrue="1" operator="between">
      <formula>44.5</formula>
      <formula>60.49</formula>
    </cfRule>
  </conditionalFormatting>
  <conditionalFormatting sqref="D7:D11">
    <cfRule type="cellIs" dxfId="190" priority="40" stopIfTrue="1" operator="lessThanOrEqual">
      <formula>44.49</formula>
    </cfRule>
    <cfRule type="cellIs" dxfId="189" priority="41" stopIfTrue="1" operator="greaterThanOrEqual">
      <formula>85.5</formula>
    </cfRule>
    <cfRule type="cellIs" dxfId="188" priority="42" stopIfTrue="1" operator="between">
      <formula>44.5</formula>
      <formula>60.49</formula>
    </cfRule>
  </conditionalFormatting>
  <conditionalFormatting sqref="E7:E11">
    <cfRule type="cellIs" dxfId="187" priority="37" stopIfTrue="1" operator="lessThanOrEqual">
      <formula>44.49</formula>
    </cfRule>
    <cfRule type="cellIs" dxfId="186" priority="38" stopIfTrue="1" operator="greaterThanOrEqual">
      <formula>85.5</formula>
    </cfRule>
    <cfRule type="cellIs" dxfId="185" priority="39" stopIfTrue="1" operator="between">
      <formula>44.5</formula>
      <formula>60.49</formula>
    </cfRule>
  </conditionalFormatting>
  <conditionalFormatting sqref="F7:F11">
    <cfRule type="cellIs" dxfId="184" priority="34" stopIfTrue="1" operator="lessThanOrEqual">
      <formula>44.49</formula>
    </cfRule>
    <cfRule type="cellIs" dxfId="183" priority="35" stopIfTrue="1" operator="greaterThanOrEqual">
      <formula>85.5</formula>
    </cfRule>
    <cfRule type="cellIs" dxfId="182" priority="36" stopIfTrue="1" operator="between">
      <formula>44.5</formula>
      <formula>60.49</formula>
    </cfRule>
  </conditionalFormatting>
  <conditionalFormatting sqref="G7:G11">
    <cfRule type="cellIs" dxfId="181" priority="31" stopIfTrue="1" operator="lessThanOrEqual">
      <formula>44.49</formula>
    </cfRule>
    <cfRule type="cellIs" dxfId="180" priority="32" stopIfTrue="1" operator="greaterThanOrEqual">
      <formula>85.5</formula>
    </cfRule>
    <cfRule type="cellIs" dxfId="179" priority="33" stopIfTrue="1" operator="between">
      <formula>44.5</formula>
      <formula>60.49</formula>
    </cfRule>
  </conditionalFormatting>
  <conditionalFormatting sqref="R7:R11">
    <cfRule type="cellIs" dxfId="178" priority="28" stopIfTrue="1" operator="lessThanOrEqual">
      <formula>44.49</formula>
    </cfRule>
    <cfRule type="cellIs" dxfId="177" priority="29" stopIfTrue="1" operator="greaterThanOrEqual">
      <formula>85.5</formula>
    </cfRule>
    <cfRule type="cellIs" dxfId="176" priority="30" stopIfTrue="1" operator="between">
      <formula>44.5</formula>
      <formula>60.49</formula>
    </cfRule>
  </conditionalFormatting>
  <conditionalFormatting sqref="S7:S11">
    <cfRule type="cellIs" dxfId="175" priority="25" stopIfTrue="1" operator="lessThanOrEqual">
      <formula>44.49</formula>
    </cfRule>
    <cfRule type="cellIs" dxfId="174" priority="26" stopIfTrue="1" operator="greaterThanOrEqual">
      <formula>85.5</formula>
    </cfRule>
    <cfRule type="cellIs" dxfId="173" priority="27" stopIfTrue="1" operator="between">
      <formula>44.5</formula>
      <formula>60.49</formula>
    </cfRule>
  </conditionalFormatting>
  <conditionalFormatting sqref="U7:U11">
    <cfRule type="cellIs" dxfId="172" priority="22" stopIfTrue="1" operator="lessThanOrEqual">
      <formula>44.49</formula>
    </cfRule>
    <cfRule type="cellIs" dxfId="171" priority="23" stopIfTrue="1" operator="greaterThanOrEqual">
      <formula>85.5</formula>
    </cfRule>
    <cfRule type="cellIs" dxfId="170" priority="24" stopIfTrue="1" operator="between">
      <formula>44.5</formula>
      <formula>60.49</formula>
    </cfRule>
  </conditionalFormatting>
  <conditionalFormatting sqref="V7:Y11">
    <cfRule type="cellIs" dxfId="169" priority="19" stopIfTrue="1" operator="lessThanOrEqual">
      <formula>44.49</formula>
    </cfRule>
    <cfRule type="cellIs" dxfId="168" priority="20" stopIfTrue="1" operator="greaterThanOrEqual">
      <formula>85.5</formula>
    </cfRule>
    <cfRule type="cellIs" dxfId="167" priority="21" stopIfTrue="1" operator="between">
      <formula>44.5</formula>
      <formula>60.49</formula>
    </cfRule>
  </conditionalFormatting>
  <conditionalFormatting sqref="AA7:AJ11">
    <cfRule type="cellIs" dxfId="166" priority="16" stopIfTrue="1" operator="lessThanOrEqual">
      <formula>44.49</formula>
    </cfRule>
    <cfRule type="cellIs" dxfId="165" priority="17" stopIfTrue="1" operator="greaterThanOrEqual">
      <formula>85.5</formula>
    </cfRule>
    <cfRule type="cellIs" dxfId="164" priority="18" stopIfTrue="1" operator="between">
      <formula>44.5</formula>
      <formula>60.49</formula>
    </cfRule>
  </conditionalFormatting>
  <conditionalFormatting sqref="AL7:AQ11">
    <cfRule type="cellIs" dxfId="163" priority="13" stopIfTrue="1" operator="lessThanOrEqual">
      <formula>44.49</formula>
    </cfRule>
    <cfRule type="cellIs" dxfId="162" priority="14" stopIfTrue="1" operator="greaterThanOrEqual">
      <formula>85.5</formula>
    </cfRule>
    <cfRule type="cellIs" dxfId="161" priority="15" stopIfTrue="1" operator="between">
      <formula>44.5</formula>
      <formula>60.49</formula>
    </cfRule>
  </conditionalFormatting>
  <conditionalFormatting sqref="AS7:BD11 BF7:BF11">
    <cfRule type="cellIs" dxfId="160" priority="10" stopIfTrue="1" operator="lessThanOrEqual">
      <formula>44.49</formula>
    </cfRule>
    <cfRule type="cellIs" dxfId="159" priority="11" stopIfTrue="1" operator="greaterThanOrEqual">
      <formula>85.5</formula>
    </cfRule>
    <cfRule type="cellIs" dxfId="158" priority="12" stopIfTrue="1" operator="between">
      <formula>44.5</formula>
      <formula>60.49</formula>
    </cfRule>
  </conditionalFormatting>
  <conditionalFormatting sqref="BH7:BK11">
    <cfRule type="cellIs" dxfId="157" priority="7" stopIfTrue="1" operator="lessThanOrEqual">
      <formula>44.49</formula>
    </cfRule>
    <cfRule type="cellIs" dxfId="156" priority="8" stopIfTrue="1" operator="greaterThanOrEqual">
      <formula>85.5</formula>
    </cfRule>
    <cfRule type="cellIs" dxfId="155" priority="9" stopIfTrue="1" operator="between">
      <formula>44.5</formula>
      <formula>60.49</formula>
    </cfRule>
  </conditionalFormatting>
  <conditionalFormatting sqref="BM7:BQ11">
    <cfRule type="cellIs" dxfId="154" priority="4" stopIfTrue="1" operator="lessThanOrEqual">
      <formula>44.49</formula>
    </cfRule>
    <cfRule type="cellIs" dxfId="153" priority="5" stopIfTrue="1" operator="greaterThanOrEqual">
      <formula>85.5</formula>
    </cfRule>
    <cfRule type="cellIs" dxfId="152" priority="6" stopIfTrue="1" operator="between">
      <formula>44.5</formula>
      <formula>60.49</formula>
    </cfRule>
  </conditionalFormatting>
  <conditionalFormatting sqref="BS7:BV11">
    <cfRule type="cellIs" dxfId="151" priority="1" stopIfTrue="1" operator="lessThanOrEqual">
      <formula>44.49</formula>
    </cfRule>
    <cfRule type="cellIs" dxfId="150" priority="2" stopIfTrue="1" operator="greaterThanOrEqual">
      <formula>85.5</formula>
    </cfRule>
    <cfRule type="cellIs" dxfId="14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31"/>
  <sheetViews>
    <sheetView topLeftCell="G67" zoomScaleNormal="100" workbookViewId="0">
      <selection activeCell="O82" sqref="O8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</cols>
  <sheetData>
    <row r="1" spans="1:2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73"/>
    </row>
    <row r="2" spans="1:20">
      <c r="A2" s="308" t="s">
        <v>61</v>
      </c>
      <c r="B2" s="272" t="s">
        <v>62</v>
      </c>
      <c r="C2" s="320">
        <f>+ROUND(AVERAGE(M2:M5),0)</f>
        <v>87</v>
      </c>
      <c r="D2" s="320">
        <f>+ROUND(AVERAGE(N2:N5),0)</f>
        <v>84</v>
      </c>
      <c r="E2" s="320">
        <f>+ROUND(AVERAGE(O2:O5),0)</f>
        <v>89</v>
      </c>
      <c r="F2" s="320">
        <f>+ROUND(AVERAGE(P2:P5),0)</f>
        <v>78</v>
      </c>
      <c r="G2" s="316">
        <f>+C2-E2</f>
        <v>-2</v>
      </c>
      <c r="H2" s="318">
        <f>+C2-F2</f>
        <v>9</v>
      </c>
      <c r="I2" s="312" t="s">
        <v>62</v>
      </c>
      <c r="J2" s="314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/>
    </row>
    <row r="3" spans="1:20" ht="15.75" thickBot="1">
      <c r="A3" s="308"/>
      <c r="B3" s="272"/>
      <c r="C3" s="320"/>
      <c r="D3" s="320"/>
      <c r="E3" s="320"/>
      <c r="F3" s="320"/>
      <c r="G3" s="316"/>
      <c r="H3" s="318"/>
      <c r="I3" s="312"/>
      <c r="J3" s="315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/>
    </row>
    <row r="4" spans="1:20">
      <c r="A4" s="308"/>
      <c r="B4" s="272"/>
      <c r="C4" s="320"/>
      <c r="D4" s="320"/>
      <c r="E4" s="320"/>
      <c r="F4" s="320"/>
      <c r="G4" s="316"/>
      <c r="H4" s="318"/>
      <c r="I4" s="312"/>
      <c r="J4" s="314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/>
    </row>
    <row r="5" spans="1:20" ht="15.75" thickBot="1">
      <c r="A5" s="308"/>
      <c r="B5" s="273"/>
      <c r="C5" s="321"/>
      <c r="D5" s="321"/>
      <c r="E5" s="321"/>
      <c r="F5" s="321"/>
      <c r="G5" s="317"/>
      <c r="H5" s="319"/>
      <c r="I5" s="313"/>
      <c r="J5" s="315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/>
    </row>
    <row r="6" spans="1:20">
      <c r="A6" s="308"/>
      <c r="B6" s="271" t="s">
        <v>69</v>
      </c>
      <c r="C6" s="248">
        <f>+ROUND(AVERAGE(M6:M11),0)</f>
        <v>86</v>
      </c>
      <c r="D6" s="248">
        <f>+ROUND(AVERAGE(N6:N11),0)</f>
        <v>82</v>
      </c>
      <c r="E6" s="248">
        <f>+ROUND(AVERAGE(O6:O11),0)</f>
        <v>89</v>
      </c>
      <c r="F6" s="248">
        <f>+ROUND(AVERAGE(P6:P11),0)</f>
        <v>80</v>
      </c>
      <c r="G6" s="295">
        <f>+C6-E6</f>
        <v>-3</v>
      </c>
      <c r="H6" s="251">
        <f>+C6-F6</f>
        <v>6</v>
      </c>
      <c r="I6" s="312" t="s">
        <v>69</v>
      </c>
      <c r="J6" s="314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/>
    </row>
    <row r="7" spans="1:20">
      <c r="A7" s="308"/>
      <c r="B7" s="272"/>
      <c r="C7" s="235"/>
      <c r="D7" s="235"/>
      <c r="E7" s="235"/>
      <c r="F7" s="235"/>
      <c r="G7" s="275"/>
      <c r="H7" s="225"/>
      <c r="I7" s="312"/>
      <c r="J7" s="314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/>
    </row>
    <row r="8" spans="1:20" ht="15.75" thickBot="1">
      <c r="A8" s="308"/>
      <c r="B8" s="272"/>
      <c r="C8" s="235"/>
      <c r="D8" s="235"/>
      <c r="E8" s="235"/>
      <c r="F8" s="235"/>
      <c r="G8" s="275"/>
      <c r="H8" s="225"/>
      <c r="I8" s="312"/>
      <c r="J8" s="315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/>
    </row>
    <row r="9" spans="1:20" ht="28.5">
      <c r="A9" s="308"/>
      <c r="B9" s="272"/>
      <c r="C9" s="235"/>
      <c r="D9" s="235"/>
      <c r="E9" s="235"/>
      <c r="F9" s="235"/>
      <c r="G9" s="275"/>
      <c r="H9" s="225"/>
      <c r="I9" s="312"/>
      <c r="J9" s="314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/>
    </row>
    <row r="10" spans="1:20" ht="15.75" thickBot="1">
      <c r="A10" s="308"/>
      <c r="B10" s="272"/>
      <c r="C10" s="235"/>
      <c r="D10" s="235"/>
      <c r="E10" s="235"/>
      <c r="F10" s="235"/>
      <c r="G10" s="275"/>
      <c r="H10" s="225"/>
      <c r="I10" s="312"/>
      <c r="J10" s="315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/>
    </row>
    <row r="11" spans="1:20" ht="15.75" thickBot="1">
      <c r="A11" s="308"/>
      <c r="B11" s="273"/>
      <c r="C11" s="236"/>
      <c r="D11" s="236"/>
      <c r="E11" s="236"/>
      <c r="F11" s="236"/>
      <c r="G11" s="306"/>
      <c r="H11" s="226"/>
      <c r="I11" s="313"/>
      <c r="J11" s="157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/>
    </row>
    <row r="12" spans="1:20">
      <c r="A12" s="308"/>
      <c r="B12" s="271" t="s">
        <v>79</v>
      </c>
      <c r="C12" s="248">
        <f>+ROUND(AVERAGE(M12:M15),0)</f>
        <v>86</v>
      </c>
      <c r="D12" s="248">
        <f>+ROUND(AVERAGE(N12:N15),0)</f>
        <v>82</v>
      </c>
      <c r="E12" s="248">
        <f>+ROUND(AVERAGE(O12:O15),0)</f>
        <v>90</v>
      </c>
      <c r="F12" s="248">
        <f>+ROUND(AVERAGE(P12:P15),0)</f>
        <v>79</v>
      </c>
      <c r="G12" s="295">
        <f>+C12-E12</f>
        <v>-4</v>
      </c>
      <c r="H12" s="251">
        <f>+C12-F12</f>
        <v>7</v>
      </c>
      <c r="I12" s="312" t="s">
        <v>79</v>
      </c>
      <c r="J12" s="314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/>
    </row>
    <row r="13" spans="1:20">
      <c r="A13" s="308"/>
      <c r="B13" s="272"/>
      <c r="C13" s="235"/>
      <c r="D13" s="235"/>
      <c r="E13" s="235"/>
      <c r="F13" s="235"/>
      <c r="G13" s="275"/>
      <c r="H13" s="225"/>
      <c r="I13" s="312"/>
      <c r="J13" s="314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/>
    </row>
    <row r="14" spans="1:20" ht="15.75" thickBot="1">
      <c r="A14" s="308"/>
      <c r="B14" s="272"/>
      <c r="C14" s="235"/>
      <c r="D14" s="235"/>
      <c r="E14" s="235"/>
      <c r="F14" s="235"/>
      <c r="G14" s="275"/>
      <c r="H14" s="225"/>
      <c r="I14" s="312"/>
      <c r="J14" s="315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/>
    </row>
    <row r="15" spans="1:20" ht="15.75" thickBot="1">
      <c r="A15" s="309"/>
      <c r="B15" s="310"/>
      <c r="C15" s="249"/>
      <c r="D15" s="249"/>
      <c r="E15" s="249"/>
      <c r="F15" s="249"/>
      <c r="G15" s="311"/>
      <c r="H15" s="252"/>
      <c r="I15" s="313"/>
      <c r="J15" s="157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/>
    </row>
    <row r="16" spans="1:2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3"/>
    </row>
    <row r="17" spans="1:20">
      <c r="A17" s="307" t="s">
        <v>86</v>
      </c>
      <c r="B17" s="271" t="s">
        <v>87</v>
      </c>
      <c r="C17" s="248">
        <f>+ROUND(AVERAGE(M17:M20),0)</f>
        <v>82</v>
      </c>
      <c r="D17" s="248">
        <f>+ROUND(AVERAGE(N17:N20),0)</f>
        <v>79</v>
      </c>
      <c r="E17" s="248">
        <f>+ROUND(AVERAGE(O17:O20),0)</f>
        <v>89</v>
      </c>
      <c r="F17" s="248">
        <f>+ROUND(AVERAGE(P17:P20),0)</f>
        <v>77</v>
      </c>
      <c r="G17" s="295">
        <f>+C17-E17</f>
        <v>-7</v>
      </c>
      <c r="H17" s="251">
        <f>+C17-F17</f>
        <v>5</v>
      </c>
      <c r="I17" s="288" t="s">
        <v>87</v>
      </c>
      <c r="J17" s="305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/>
    </row>
    <row r="18" spans="1:20" ht="15.75" thickBot="1">
      <c r="A18" s="307"/>
      <c r="B18" s="272"/>
      <c r="C18" s="235"/>
      <c r="D18" s="235"/>
      <c r="E18" s="235"/>
      <c r="F18" s="235"/>
      <c r="G18" s="275"/>
      <c r="H18" s="225"/>
      <c r="I18" s="289"/>
      <c r="J18" s="292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</row>
    <row r="19" spans="1:20">
      <c r="A19" s="307"/>
      <c r="B19" s="272"/>
      <c r="C19" s="235"/>
      <c r="D19" s="235"/>
      <c r="E19" s="235"/>
      <c r="F19" s="235"/>
      <c r="G19" s="275"/>
      <c r="H19" s="225"/>
      <c r="I19" s="289"/>
      <c r="J19" s="291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</row>
    <row r="20" spans="1:20" ht="15.75" thickBot="1">
      <c r="A20" s="307"/>
      <c r="B20" s="273"/>
      <c r="C20" s="236"/>
      <c r="D20" s="236"/>
      <c r="E20" s="236"/>
      <c r="F20" s="236"/>
      <c r="G20" s="306"/>
      <c r="H20" s="226"/>
      <c r="I20" s="290"/>
      <c r="J20" s="292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</row>
    <row r="21" spans="1:20" ht="28.5">
      <c r="A21" s="307"/>
      <c r="B21" s="271" t="s">
        <v>94</v>
      </c>
      <c r="C21" s="248">
        <f>+ROUND(AVERAGE(M21:M22),0)</f>
        <v>81</v>
      </c>
      <c r="D21" s="248">
        <f>+ROUND(AVERAGE(N21:N22),0)</f>
        <v>77</v>
      </c>
      <c r="E21" s="248">
        <f>+ROUND(AVERAGE(O21:O22),0)</f>
        <v>87</v>
      </c>
      <c r="F21" s="248">
        <f>+ROUND(AVERAGE(P21:P22),0)</f>
        <v>73</v>
      </c>
      <c r="G21" s="295">
        <f>+C21-E21</f>
        <v>-6</v>
      </c>
      <c r="H21" s="251">
        <f>+C21-F21</f>
        <v>8</v>
      </c>
      <c r="I21" s="288" t="s">
        <v>94</v>
      </c>
      <c r="J21" s="291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</row>
    <row r="22" spans="1:20" ht="29.25" thickBot="1">
      <c r="A22" s="307"/>
      <c r="B22" s="273"/>
      <c r="C22" s="236"/>
      <c r="D22" s="236"/>
      <c r="E22" s="236"/>
      <c r="F22" s="236"/>
      <c r="G22" s="306"/>
      <c r="H22" s="226"/>
      <c r="I22" s="290"/>
      <c r="J22" s="292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</row>
    <row r="23" spans="1:20">
      <c r="A23" s="307"/>
      <c r="B23" s="271" t="s">
        <v>98</v>
      </c>
      <c r="C23" s="248">
        <f>+ROUND(AVERAGE(M23:M29),0)</f>
        <v>81</v>
      </c>
      <c r="D23" s="248">
        <f>+ROUND(AVERAGE(N23:N29),0)</f>
        <v>77</v>
      </c>
      <c r="E23" s="248">
        <f>+ROUND(AVERAGE(O23:O29),0)</f>
        <v>89</v>
      </c>
      <c r="F23" s="248">
        <f>+ROUND(AVERAGE(P23:P29),0)</f>
        <v>78</v>
      </c>
      <c r="G23" s="295">
        <f>+C23-E23</f>
        <v>-8</v>
      </c>
      <c r="H23" s="251">
        <f>+C23-F23</f>
        <v>3</v>
      </c>
      <c r="I23" s="288" t="s">
        <v>98</v>
      </c>
      <c r="J23" s="291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</row>
    <row r="24" spans="1:20">
      <c r="A24" s="307"/>
      <c r="B24" s="272"/>
      <c r="C24" s="235"/>
      <c r="D24" s="235"/>
      <c r="E24" s="235"/>
      <c r="F24" s="235"/>
      <c r="G24" s="275"/>
      <c r="H24" s="225"/>
      <c r="I24" s="289"/>
      <c r="J24" s="291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</row>
    <row r="25" spans="1:20" ht="15.75" thickBot="1">
      <c r="A25" s="307"/>
      <c r="B25" s="272"/>
      <c r="C25" s="235"/>
      <c r="D25" s="235"/>
      <c r="E25" s="235"/>
      <c r="F25" s="235"/>
      <c r="G25" s="275"/>
      <c r="H25" s="225"/>
      <c r="I25" s="289"/>
      <c r="J25" s="292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</row>
    <row r="26" spans="1:20">
      <c r="A26" s="307"/>
      <c r="B26" s="272"/>
      <c r="C26" s="235"/>
      <c r="D26" s="235"/>
      <c r="E26" s="235"/>
      <c r="F26" s="235"/>
      <c r="G26" s="275"/>
      <c r="H26" s="225"/>
      <c r="I26" s="289"/>
      <c r="J26" s="291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</row>
    <row r="27" spans="1:20">
      <c r="A27" s="307"/>
      <c r="B27" s="272"/>
      <c r="C27" s="235"/>
      <c r="D27" s="235"/>
      <c r="E27" s="235"/>
      <c r="F27" s="235"/>
      <c r="G27" s="275"/>
      <c r="H27" s="225"/>
      <c r="I27" s="289"/>
      <c r="J27" s="291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</row>
    <row r="28" spans="1:20">
      <c r="A28" s="307"/>
      <c r="B28" s="272"/>
      <c r="C28" s="235"/>
      <c r="D28" s="235"/>
      <c r="E28" s="235"/>
      <c r="F28" s="235"/>
      <c r="G28" s="275"/>
      <c r="H28" s="225"/>
      <c r="I28" s="289"/>
      <c r="J28" s="291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</row>
    <row r="29" spans="1:20" ht="15.75" thickBot="1">
      <c r="A29" s="307"/>
      <c r="B29" s="310"/>
      <c r="C29" s="249"/>
      <c r="D29" s="249"/>
      <c r="E29" s="249"/>
      <c r="F29" s="249"/>
      <c r="G29" s="311"/>
      <c r="H29" s="252"/>
      <c r="I29" s="290"/>
      <c r="J29" s="292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</row>
    <row r="30" spans="1:2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</row>
    <row r="31" spans="1:20">
      <c r="A31" s="293" t="s">
        <v>108</v>
      </c>
      <c r="B31" s="271" t="s">
        <v>109</v>
      </c>
      <c r="C31" s="248">
        <f>+ROUND(AVERAGE(M31:M34),0)</f>
        <v>69</v>
      </c>
      <c r="D31" s="248">
        <f>+ROUND(AVERAGE(N31:N34),0)</f>
        <v>63</v>
      </c>
      <c r="E31" s="248">
        <f>+ROUND(AVERAGE(O31:O34),0)</f>
        <v>77</v>
      </c>
      <c r="F31" s="248">
        <f>+ROUND(AVERAGE(P31:P34),0)</f>
        <v>65</v>
      </c>
      <c r="G31" s="295">
        <f>+C31-E31</f>
        <v>-8</v>
      </c>
      <c r="H31" s="251">
        <f>+C31-F31</f>
        <v>4</v>
      </c>
      <c r="I31" s="280" t="s">
        <v>109</v>
      </c>
      <c r="J31" s="296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</row>
    <row r="32" spans="1:20" ht="15.75" thickBot="1">
      <c r="A32" s="293"/>
      <c r="B32" s="272"/>
      <c r="C32" s="235"/>
      <c r="D32" s="235"/>
      <c r="E32" s="235"/>
      <c r="F32" s="235"/>
      <c r="G32" s="275"/>
      <c r="H32" s="225"/>
      <c r="I32" s="280"/>
      <c r="J32" s="283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</row>
    <row r="33" spans="1:20">
      <c r="A33" s="293"/>
      <c r="B33" s="272"/>
      <c r="C33" s="235"/>
      <c r="D33" s="235"/>
      <c r="E33" s="235"/>
      <c r="F33" s="235"/>
      <c r="G33" s="275"/>
      <c r="H33" s="225"/>
      <c r="I33" s="280"/>
      <c r="J33" s="282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</row>
    <row r="34" spans="1:20" ht="15.75" thickBot="1">
      <c r="A34" s="293"/>
      <c r="B34" s="273"/>
      <c r="C34" s="236"/>
      <c r="D34" s="236"/>
      <c r="E34" s="236"/>
      <c r="F34" s="236"/>
      <c r="G34" s="275"/>
      <c r="H34" s="226"/>
      <c r="I34" s="281"/>
      <c r="J34" s="297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</row>
    <row r="35" spans="1:20">
      <c r="A35" s="293"/>
      <c r="B35" s="298" t="s">
        <v>116</v>
      </c>
      <c r="C35" s="248">
        <f>+ROUND(AVERAGE(M35:M37),0)</f>
        <v>68</v>
      </c>
      <c r="D35" s="248">
        <f>+ROUND(AVERAGE(N35:N37),0)</f>
        <v>62</v>
      </c>
      <c r="E35" s="248">
        <f>+ROUND(AVERAGE(O35:O37),0)</f>
        <v>78</v>
      </c>
      <c r="F35" s="248">
        <f>+ROUND(AVERAGE(P35:P37),0)</f>
        <v>64</v>
      </c>
      <c r="G35" s="250">
        <f>+C35-E35</f>
        <v>-10</v>
      </c>
      <c r="H35" s="251">
        <f>+C35-F35</f>
        <v>4</v>
      </c>
      <c r="I35" s="301" t="s">
        <v>116</v>
      </c>
      <c r="J35" s="301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</row>
    <row r="36" spans="1:20">
      <c r="A36" s="293"/>
      <c r="B36" s="299"/>
      <c r="C36" s="235"/>
      <c r="D36" s="235"/>
      <c r="E36" s="235"/>
      <c r="F36" s="235"/>
      <c r="G36" s="238"/>
      <c r="H36" s="225"/>
      <c r="I36" s="302"/>
      <c r="J36" s="302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</row>
    <row r="37" spans="1:20" ht="15.75" thickBot="1">
      <c r="A37" s="293"/>
      <c r="B37" s="300"/>
      <c r="C37" s="236"/>
      <c r="D37" s="236"/>
      <c r="E37" s="236"/>
      <c r="F37" s="236"/>
      <c r="G37" s="239"/>
      <c r="H37" s="226"/>
      <c r="I37" s="303"/>
      <c r="J37" s="303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</row>
    <row r="38" spans="1:20">
      <c r="A38" s="293"/>
      <c r="B38" s="271" t="s">
        <v>120</v>
      </c>
      <c r="C38" s="248">
        <f>+ROUND(AVERAGE(M38:M42),0)</f>
        <v>91</v>
      </c>
      <c r="D38" s="248">
        <f>+ROUND(AVERAGE(N38:N42),0)</f>
        <v>89</v>
      </c>
      <c r="E38" s="248">
        <f>+ROUND(AVERAGE(O38:O42),0)</f>
        <v>96</v>
      </c>
      <c r="F38" s="248">
        <f>+ROUND(AVERAGE(P38:P42),0)</f>
        <v>91</v>
      </c>
      <c r="G38" s="274">
        <f>+C38-E38</f>
        <v>-5</v>
      </c>
      <c r="H38" s="251">
        <f>+C38-F38</f>
        <v>0</v>
      </c>
      <c r="I38" s="279" t="s">
        <v>120</v>
      </c>
      <c r="J38" s="282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</row>
    <row r="39" spans="1:20">
      <c r="A39" s="293"/>
      <c r="B39" s="272"/>
      <c r="C39" s="235"/>
      <c r="D39" s="235"/>
      <c r="E39" s="235"/>
      <c r="F39" s="235"/>
      <c r="G39" s="275"/>
      <c r="H39" s="225"/>
      <c r="I39" s="280"/>
      <c r="J39" s="283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</row>
    <row r="40" spans="1:20">
      <c r="A40" s="293"/>
      <c r="B40" s="272"/>
      <c r="C40" s="235"/>
      <c r="D40" s="235"/>
      <c r="E40" s="235"/>
      <c r="F40" s="235"/>
      <c r="G40" s="275"/>
      <c r="H40" s="225"/>
      <c r="I40" s="280"/>
      <c r="J40" s="283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</row>
    <row r="41" spans="1:20" ht="15.75" thickBot="1">
      <c r="A41" s="293"/>
      <c r="B41" s="272"/>
      <c r="C41" s="235"/>
      <c r="D41" s="235"/>
      <c r="E41" s="235"/>
      <c r="F41" s="235"/>
      <c r="G41" s="275"/>
      <c r="H41" s="225"/>
      <c r="I41" s="280"/>
      <c r="J41" s="283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</row>
    <row r="42" spans="1:20" ht="29.25" thickBot="1">
      <c r="A42" s="294"/>
      <c r="B42" s="304"/>
      <c r="C42" s="276"/>
      <c r="D42" s="276"/>
      <c r="E42" s="276"/>
      <c r="F42" s="276"/>
      <c r="G42" s="277"/>
      <c r="H42" s="278"/>
      <c r="I42" s="281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</row>
    <row r="43" spans="1:2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</row>
    <row r="44" spans="1:20">
      <c r="A44" s="284" t="s">
        <v>128</v>
      </c>
      <c r="B44" s="266" t="s">
        <v>129</v>
      </c>
      <c r="C44" s="235">
        <f>+ROUND(AVERAGE(M44:M45),0)</f>
        <v>81</v>
      </c>
      <c r="D44" s="235">
        <f>+ROUND(AVERAGE(N44:N45),0)</f>
        <v>76</v>
      </c>
      <c r="E44" s="235">
        <f>+ROUND(AVERAGE(O44:O45),0)</f>
        <v>88</v>
      </c>
      <c r="F44" s="235">
        <f>+ROUND(AVERAGE(P44:P45),0)</f>
        <v>77</v>
      </c>
      <c r="G44" s="237">
        <f>+C44-E44</f>
        <v>-7</v>
      </c>
      <c r="H44" s="225">
        <f>+C44-F44</f>
        <v>4</v>
      </c>
      <c r="I44" s="257" t="s">
        <v>129</v>
      </c>
      <c r="J44" s="258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</row>
    <row r="45" spans="1:20" ht="15.75" thickBot="1">
      <c r="A45" s="284"/>
      <c r="B45" s="286"/>
      <c r="C45" s="236"/>
      <c r="D45" s="236"/>
      <c r="E45" s="236"/>
      <c r="F45" s="236"/>
      <c r="G45" s="287"/>
      <c r="H45" s="226"/>
      <c r="I45" s="261"/>
      <c r="J45" s="262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</row>
    <row r="46" spans="1:20">
      <c r="A46" s="284"/>
      <c r="B46" s="265" t="s">
        <v>132</v>
      </c>
      <c r="C46" s="248">
        <f>+ROUND(AVERAGE(M46:M47),0)</f>
        <v>84</v>
      </c>
      <c r="D46" s="248">
        <f>+ROUND(AVERAGE(N46:N47),0)</f>
        <v>79</v>
      </c>
      <c r="E46" s="248">
        <f>+ROUND(AVERAGE(O46:O47),0)</f>
        <v>91</v>
      </c>
      <c r="F46" s="248">
        <f>+ROUND(AVERAGE(P46:P47),0)</f>
        <v>80</v>
      </c>
      <c r="G46" s="269">
        <f>+C46-E46</f>
        <v>-7</v>
      </c>
      <c r="H46" s="251">
        <f>+C46-F46</f>
        <v>4</v>
      </c>
      <c r="I46" s="257" t="s">
        <v>132</v>
      </c>
      <c r="J46" s="258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</row>
    <row r="47" spans="1:20" ht="15.75" thickBot="1">
      <c r="A47" s="284"/>
      <c r="B47" s="286"/>
      <c r="C47" s="236"/>
      <c r="D47" s="236"/>
      <c r="E47" s="236"/>
      <c r="F47" s="236"/>
      <c r="G47" s="287"/>
      <c r="H47" s="226"/>
      <c r="I47" s="261"/>
      <c r="J47" s="262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</row>
    <row r="48" spans="1:20">
      <c r="A48" s="284"/>
      <c r="B48" s="265" t="s">
        <v>135</v>
      </c>
      <c r="C48" s="248">
        <f>+ROUND(AVERAGE(M48:M51),0)</f>
        <v>84</v>
      </c>
      <c r="D48" s="248">
        <f>+ROUND(AVERAGE(N48:N51),0)</f>
        <v>79</v>
      </c>
      <c r="E48" s="248">
        <f>+ROUND(AVERAGE(O48:O51),0)</f>
        <v>91</v>
      </c>
      <c r="F48" s="248">
        <f>+ROUND(AVERAGE(P48:P51),0)</f>
        <v>82</v>
      </c>
      <c r="G48" s="269">
        <f>+C48-E48</f>
        <v>-7</v>
      </c>
      <c r="H48" s="251">
        <f>+C48-F48</f>
        <v>2</v>
      </c>
      <c r="I48" s="257" t="s">
        <v>135</v>
      </c>
      <c r="J48" s="258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</row>
    <row r="49" spans="1:20">
      <c r="A49" s="284"/>
      <c r="B49" s="266"/>
      <c r="C49" s="235"/>
      <c r="D49" s="235"/>
      <c r="E49" s="235"/>
      <c r="F49" s="235"/>
      <c r="G49" s="238"/>
      <c r="H49" s="225"/>
      <c r="I49" s="259"/>
      <c r="J49" s="260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</row>
    <row r="50" spans="1:20">
      <c r="A50" s="284"/>
      <c r="B50" s="266"/>
      <c r="C50" s="235"/>
      <c r="D50" s="235"/>
      <c r="E50" s="235"/>
      <c r="F50" s="235"/>
      <c r="G50" s="238"/>
      <c r="H50" s="225"/>
      <c r="I50" s="259"/>
      <c r="J50" s="260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</row>
    <row r="51" spans="1:20" ht="15.75" thickBot="1">
      <c r="A51" s="285"/>
      <c r="B51" s="267"/>
      <c r="C51" s="268"/>
      <c r="D51" s="268"/>
      <c r="E51" s="268"/>
      <c r="F51" s="268"/>
      <c r="G51" s="270"/>
      <c r="H51" s="256"/>
      <c r="I51" s="261"/>
      <c r="J51" s="262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</row>
    <row r="52" spans="1:2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</row>
    <row r="53" spans="1:20">
      <c r="A53" s="263" t="s">
        <v>140</v>
      </c>
      <c r="B53" s="233" t="s">
        <v>141</v>
      </c>
      <c r="C53" s="235">
        <f>+ROUND(AVERAGE(M53:M55),0)</f>
        <v>87</v>
      </c>
      <c r="D53" s="235">
        <f>+ROUND(AVERAGE(N53:N55),0)</f>
        <v>83</v>
      </c>
      <c r="E53" s="235">
        <f>+ROUND(AVERAGE(O53:O55),0)</f>
        <v>93</v>
      </c>
      <c r="F53" s="235">
        <f>+ROUND(AVERAGE(P53:P55),0)</f>
        <v>84</v>
      </c>
      <c r="G53" s="237">
        <f>+C53-E53</f>
        <v>-6</v>
      </c>
      <c r="H53" s="225">
        <f>+C53-F53</f>
        <v>3</v>
      </c>
      <c r="I53" s="254" t="s">
        <v>141</v>
      </c>
      <c r="J53" s="254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</row>
    <row r="54" spans="1:20">
      <c r="A54" s="263"/>
      <c r="B54" s="233"/>
      <c r="C54" s="235"/>
      <c r="D54" s="235"/>
      <c r="E54" s="235"/>
      <c r="F54" s="235"/>
      <c r="G54" s="238"/>
      <c r="H54" s="225"/>
      <c r="I54" s="254"/>
      <c r="J54" s="254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</row>
    <row r="55" spans="1:20" ht="15.75" thickBot="1">
      <c r="A55" s="263"/>
      <c r="B55" s="234"/>
      <c r="C55" s="236"/>
      <c r="D55" s="236"/>
      <c r="E55" s="236"/>
      <c r="F55" s="236"/>
      <c r="G55" s="239"/>
      <c r="H55" s="226"/>
      <c r="I55" s="255"/>
      <c r="J55" s="255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</row>
    <row r="56" spans="1:20">
      <c r="A56" s="263"/>
      <c r="B56" s="271" t="s">
        <v>145</v>
      </c>
      <c r="C56" s="248">
        <f>+ROUND(AVERAGE(M56:M59),0)</f>
        <v>88</v>
      </c>
      <c r="D56" s="248">
        <f>+ROUND(AVERAGE(N56:N59),0)</f>
        <v>84</v>
      </c>
      <c r="E56" s="248">
        <f>+ROUND(AVERAGE(O56:O59),0)</f>
        <v>94</v>
      </c>
      <c r="F56" s="248">
        <f>+ROUND(AVERAGE(P56:P59),0)</f>
        <v>86</v>
      </c>
      <c r="G56" s="274">
        <f>+C56-E56</f>
        <v>-6</v>
      </c>
      <c r="H56" s="251">
        <f>+C56-F56</f>
        <v>2</v>
      </c>
      <c r="I56" s="240" t="s">
        <v>145</v>
      </c>
      <c r="J56" s="243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</row>
    <row r="57" spans="1:20" ht="15.75" thickBot="1">
      <c r="A57" s="263"/>
      <c r="B57" s="272"/>
      <c r="C57" s="235"/>
      <c r="D57" s="235"/>
      <c r="E57" s="235"/>
      <c r="F57" s="235"/>
      <c r="G57" s="275"/>
      <c r="H57" s="225"/>
      <c r="I57" s="241"/>
      <c r="J57" s="244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</row>
    <row r="58" spans="1:20">
      <c r="A58" s="263"/>
      <c r="B58" s="272"/>
      <c r="C58" s="235"/>
      <c r="D58" s="235"/>
      <c r="E58" s="235"/>
      <c r="F58" s="235"/>
      <c r="G58" s="275"/>
      <c r="H58" s="225"/>
      <c r="I58" s="241"/>
      <c r="J58" s="243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</row>
    <row r="59" spans="1:20" ht="29.25" thickBot="1">
      <c r="A59" s="263"/>
      <c r="B59" s="273"/>
      <c r="C59" s="236"/>
      <c r="D59" s="236"/>
      <c r="E59" s="236"/>
      <c r="F59" s="236"/>
      <c r="G59" s="275"/>
      <c r="H59" s="226"/>
      <c r="I59" s="242"/>
      <c r="J59" s="245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</row>
    <row r="60" spans="1:20">
      <c r="A60" s="263"/>
      <c r="B60" s="246" t="s">
        <v>152</v>
      </c>
      <c r="C60" s="248">
        <f>+ROUND(AVERAGE(M60:M62),0)</f>
        <v>82</v>
      </c>
      <c r="D60" s="248">
        <f>+ROUND(AVERAGE(N60:N62),0)</f>
        <v>78</v>
      </c>
      <c r="E60" s="248">
        <f>+ROUND(AVERAGE(O60:O62),0)</f>
        <v>90</v>
      </c>
      <c r="F60" s="248">
        <f>+ROUND(AVERAGE(P60:P62),0)</f>
        <v>78</v>
      </c>
      <c r="G60" s="250">
        <f>+C60-E60</f>
        <v>-8</v>
      </c>
      <c r="H60" s="251">
        <f>+C60-F60</f>
        <v>4</v>
      </c>
      <c r="I60" s="253" t="s">
        <v>152</v>
      </c>
      <c r="J60" s="253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</row>
    <row r="61" spans="1:20">
      <c r="A61" s="263"/>
      <c r="B61" s="233"/>
      <c r="C61" s="235"/>
      <c r="D61" s="235"/>
      <c r="E61" s="235"/>
      <c r="F61" s="235"/>
      <c r="G61" s="238"/>
      <c r="H61" s="225"/>
      <c r="I61" s="254"/>
      <c r="J61" s="254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</row>
    <row r="62" spans="1:20" ht="15.75" thickBot="1">
      <c r="A62" s="264"/>
      <c r="B62" s="247"/>
      <c r="C62" s="249"/>
      <c r="D62" s="249"/>
      <c r="E62" s="249"/>
      <c r="F62" s="249"/>
      <c r="G62" s="239"/>
      <c r="H62" s="252"/>
      <c r="I62" s="255"/>
      <c r="J62" s="255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</row>
    <row r="63" spans="1:2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</row>
    <row r="64" spans="1:20">
      <c r="A64" s="70"/>
      <c r="B64" s="233"/>
      <c r="C64" s="235"/>
      <c r="D64" s="235"/>
      <c r="E64" s="235"/>
      <c r="F64" s="235"/>
      <c r="G64" s="237"/>
      <c r="H64" s="225"/>
      <c r="I64" s="71"/>
      <c r="J64" s="227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</row>
    <row r="65" spans="1:20" ht="28.5">
      <c r="A65" s="70"/>
      <c r="B65" s="233"/>
      <c r="C65" s="235"/>
      <c r="D65" s="235"/>
      <c r="E65" s="235"/>
      <c r="F65" s="235"/>
      <c r="G65" s="237"/>
      <c r="H65" s="225"/>
      <c r="I65" s="71"/>
      <c r="J65" s="228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</row>
    <row r="66" spans="1:20" ht="28.5">
      <c r="A66" s="70"/>
      <c r="B66" s="233"/>
      <c r="C66" s="235"/>
      <c r="D66" s="235"/>
      <c r="E66" s="235"/>
      <c r="F66" s="235"/>
      <c r="G66" s="237"/>
      <c r="H66" s="225"/>
      <c r="I66" s="71"/>
      <c r="J66" s="228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</row>
    <row r="67" spans="1:20" ht="28.5">
      <c r="A67" s="70"/>
      <c r="B67" s="233"/>
      <c r="C67" s="235"/>
      <c r="D67" s="235"/>
      <c r="E67" s="235"/>
      <c r="F67" s="235"/>
      <c r="G67" s="237"/>
      <c r="H67" s="225"/>
      <c r="I67" s="71"/>
      <c r="J67" s="228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</row>
    <row r="68" spans="1:20">
      <c r="A68" s="70"/>
      <c r="B68" s="233"/>
      <c r="C68" s="235"/>
      <c r="D68" s="235"/>
      <c r="E68" s="235"/>
      <c r="F68" s="235"/>
      <c r="G68" s="237"/>
      <c r="H68" s="225"/>
      <c r="I68" s="71"/>
      <c r="J68" s="228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</row>
    <row r="69" spans="1:20" ht="28.5">
      <c r="A69" s="70"/>
      <c r="B69" s="233"/>
      <c r="C69" s="235"/>
      <c r="D69" s="235"/>
      <c r="E69" s="235"/>
      <c r="F69" s="235"/>
      <c r="G69" s="238"/>
      <c r="H69" s="225"/>
      <c r="I69" s="71"/>
      <c r="J69" s="228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</row>
    <row r="70" spans="1:20" ht="29.25" thickBot="1">
      <c r="A70" s="70"/>
      <c r="B70" s="234"/>
      <c r="C70" s="236"/>
      <c r="D70" s="236"/>
      <c r="E70" s="236"/>
      <c r="F70" s="236"/>
      <c r="G70" s="239"/>
      <c r="H70" s="226"/>
      <c r="I70" s="71"/>
      <c r="J70" s="229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</row>
    <row r="71" spans="1:2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</row>
    <row r="72" spans="1:2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30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</row>
    <row r="73" spans="1:20">
      <c r="A73" s="70"/>
      <c r="B73" s="72"/>
      <c r="C73" s="72"/>
      <c r="D73" s="72"/>
      <c r="E73" s="72"/>
      <c r="F73" s="72"/>
      <c r="G73" s="72"/>
      <c r="H73" s="72"/>
      <c r="I73" s="71"/>
      <c r="J73" s="231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</row>
    <row r="74" spans="1:20">
      <c r="A74" s="70"/>
      <c r="B74" s="72"/>
      <c r="C74" s="72"/>
      <c r="D74" s="72"/>
      <c r="E74" s="72"/>
      <c r="F74" s="72"/>
      <c r="G74" s="72"/>
      <c r="H74" s="72"/>
      <c r="I74" s="71"/>
      <c r="J74" s="231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</row>
    <row r="75" spans="1:20">
      <c r="A75" s="70"/>
      <c r="B75" s="72"/>
      <c r="C75" s="72"/>
      <c r="D75" s="72"/>
      <c r="E75" s="72"/>
      <c r="F75" s="72"/>
      <c r="G75" s="72"/>
      <c r="H75" s="72"/>
      <c r="I75" s="71"/>
      <c r="J75" s="231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</row>
    <row r="76" spans="1:2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</row>
    <row r="77" spans="1:2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</row>
    <row r="78" spans="1:20">
      <c r="A78" s="70"/>
      <c r="B78" s="72"/>
      <c r="C78" s="72"/>
      <c r="D78" s="72"/>
      <c r="E78" s="72"/>
      <c r="F78" s="72"/>
      <c r="G78" s="72"/>
      <c r="H78" s="72"/>
      <c r="I78" s="71"/>
      <c r="J78" s="232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</row>
    <row r="79" spans="1:20">
      <c r="A79" s="70"/>
      <c r="B79" s="72"/>
      <c r="C79" s="72"/>
      <c r="D79" s="72"/>
      <c r="E79" s="72"/>
      <c r="F79" s="72"/>
      <c r="G79" s="72"/>
      <c r="H79" s="72"/>
      <c r="I79" s="71"/>
      <c r="J79" s="232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</row>
    <row r="80" spans="1:20">
      <c r="A80" s="70"/>
      <c r="B80" s="72"/>
      <c r="C80" s="72"/>
      <c r="D80" s="72"/>
      <c r="E80" s="72"/>
      <c r="F80" s="72"/>
      <c r="G80" s="72"/>
      <c r="H80" s="72"/>
      <c r="I80" s="71"/>
      <c r="J80" s="232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</row>
    <row r="81" spans="1:20">
      <c r="A81" s="70"/>
      <c r="B81" s="72"/>
      <c r="C81" s="72"/>
      <c r="D81" s="72"/>
      <c r="E81" s="72"/>
      <c r="F81" s="72"/>
      <c r="G81" s="72"/>
      <c r="H81" s="72"/>
      <c r="I81" s="71"/>
      <c r="J81" s="232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</row>
    <row r="82" spans="1:20">
      <c r="A82" s="70"/>
      <c r="B82" s="72"/>
      <c r="C82" s="72"/>
      <c r="D82" s="72"/>
      <c r="E82" s="72"/>
      <c r="F82" s="72"/>
      <c r="G82" s="72"/>
      <c r="H82" s="72"/>
      <c r="I82" s="71"/>
      <c r="J82" s="232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</row>
    <row r="83" spans="1:2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</row>
    <row r="84" spans="1:2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</row>
    <row r="85" spans="1:2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</row>
    <row r="86" spans="1:2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</row>
    <row r="87" spans="1:2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</row>
    <row r="88" spans="1:2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</row>
    <row r="89" spans="1:2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</row>
    <row r="90" spans="1:2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</row>
    <row r="91" spans="1:2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</row>
    <row r="92" spans="1:2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</row>
    <row r="93" spans="1:2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</row>
    <row r="94" spans="1:2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</row>
    <row r="95" spans="1:2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</row>
    <row r="96" spans="1:2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</row>
    <row r="97" spans="1:2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</row>
    <row r="98" spans="1:2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</row>
    <row r="99" spans="1:2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</row>
    <row r="100" spans="1:2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</row>
    <row r="101" spans="1:2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</row>
    <row r="102" spans="1:2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</row>
    <row r="103" spans="1:2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</row>
    <row r="104" spans="1:2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</row>
    <row r="105" spans="1:2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</row>
    <row r="106" spans="1:2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</row>
    <row r="107" spans="1:2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</row>
    <row r="108" spans="1:20">
      <c r="A108" s="70"/>
      <c r="B108" s="72"/>
      <c r="C108" s="72"/>
      <c r="D108" s="72"/>
      <c r="E108" s="72"/>
      <c r="F108" s="72"/>
      <c r="G108" s="72"/>
      <c r="H108" s="72"/>
      <c r="I108" s="71"/>
      <c r="J108" s="72"/>
      <c r="K108" s="73"/>
      <c r="L108" s="72"/>
      <c r="M108" s="72"/>
      <c r="N108" s="72"/>
      <c r="O108" s="72"/>
      <c r="P108" s="72"/>
      <c r="Q108" s="75"/>
      <c r="R108" s="72"/>
      <c r="S108" s="72"/>
      <c r="T108" s="72"/>
    </row>
    <row r="109" spans="1:20">
      <c r="A109" s="70"/>
      <c r="B109" s="72"/>
      <c r="C109" s="72"/>
      <c r="D109" s="72"/>
      <c r="E109" s="72"/>
      <c r="F109" s="72"/>
      <c r="G109" s="72"/>
      <c r="H109" s="72"/>
      <c r="I109" s="71"/>
      <c r="J109" s="72"/>
      <c r="K109" s="73"/>
      <c r="L109" s="72"/>
      <c r="M109" s="72"/>
      <c r="N109" s="72"/>
      <c r="O109" s="72"/>
      <c r="P109" s="72"/>
      <c r="Q109" s="75"/>
      <c r="R109" s="72"/>
      <c r="S109" s="72"/>
      <c r="T109" s="72"/>
    </row>
    <row r="110" spans="1:20">
      <c r="A110" s="70"/>
      <c r="B110" s="72"/>
      <c r="C110" s="72"/>
      <c r="D110" s="72"/>
      <c r="E110" s="72"/>
      <c r="F110" s="72"/>
      <c r="G110" s="72"/>
      <c r="H110" s="72"/>
      <c r="I110" s="71"/>
      <c r="J110" s="72"/>
      <c r="K110" s="73"/>
      <c r="L110" s="72"/>
      <c r="M110" s="72"/>
      <c r="N110" s="72"/>
      <c r="O110" s="72"/>
      <c r="P110" s="72"/>
      <c r="Q110" s="75"/>
      <c r="R110" s="72"/>
      <c r="S110" s="72"/>
      <c r="T110" s="72"/>
    </row>
    <row r="111" spans="1:20">
      <c r="A111" s="70"/>
      <c r="B111" s="72"/>
      <c r="C111" s="72"/>
      <c r="D111" s="72"/>
      <c r="E111" s="72"/>
      <c r="F111" s="72"/>
      <c r="G111" s="72"/>
      <c r="H111" s="72"/>
      <c r="I111" s="71"/>
      <c r="J111" s="72"/>
      <c r="K111" s="73"/>
      <c r="L111" s="72"/>
      <c r="M111" s="72"/>
      <c r="N111" s="72"/>
      <c r="O111" s="72"/>
      <c r="P111" s="72"/>
      <c r="Q111" s="75"/>
      <c r="R111" s="72"/>
      <c r="S111" s="72"/>
      <c r="T111" s="72"/>
    </row>
    <row r="112" spans="1:20">
      <c r="A112" s="70"/>
      <c r="B112" s="72"/>
      <c r="C112" s="72"/>
      <c r="D112" s="72"/>
      <c r="E112" s="72"/>
      <c r="F112" s="72"/>
      <c r="G112" s="72"/>
      <c r="H112" s="72"/>
      <c r="I112" s="71"/>
      <c r="J112" s="72"/>
      <c r="K112" s="73"/>
      <c r="L112" s="72"/>
      <c r="M112" s="72"/>
      <c r="N112" s="72"/>
      <c r="O112" s="72"/>
      <c r="P112" s="72"/>
      <c r="Q112" s="75"/>
      <c r="R112" s="72"/>
      <c r="S112" s="72"/>
      <c r="T112" s="72"/>
    </row>
    <row r="113" spans="1:20">
      <c r="A113" s="70"/>
      <c r="B113" s="72"/>
      <c r="C113" s="72"/>
      <c r="D113" s="72"/>
      <c r="E113" s="72"/>
      <c r="F113" s="72"/>
      <c r="G113" s="72"/>
      <c r="H113" s="72"/>
      <c r="I113" s="71"/>
      <c r="J113" s="72"/>
      <c r="K113" s="73"/>
      <c r="L113" s="72"/>
      <c r="M113" s="72"/>
      <c r="N113" s="72"/>
      <c r="O113" s="72"/>
      <c r="P113" s="72"/>
      <c r="Q113" s="75"/>
      <c r="R113" s="72"/>
      <c r="S113" s="72"/>
      <c r="T113" s="72"/>
    </row>
    <row r="114" spans="1:20">
      <c r="A114" s="70"/>
      <c r="B114" s="72"/>
      <c r="C114" s="72"/>
      <c r="D114" s="72"/>
      <c r="E114" s="72"/>
      <c r="F114" s="72"/>
      <c r="G114" s="72"/>
      <c r="H114" s="72"/>
      <c r="I114" s="71"/>
      <c r="J114" s="72"/>
      <c r="K114" s="73"/>
      <c r="L114" s="72"/>
      <c r="M114" s="72"/>
      <c r="N114" s="72"/>
      <c r="O114" s="72"/>
      <c r="P114" s="72"/>
      <c r="Q114" s="75"/>
      <c r="R114" s="72"/>
      <c r="S114" s="72"/>
      <c r="T114" s="72"/>
    </row>
    <row r="115" spans="1:20">
      <c r="A115" s="70"/>
      <c r="B115" s="72"/>
      <c r="C115" s="72"/>
      <c r="D115" s="72"/>
      <c r="E115" s="72"/>
      <c r="F115" s="72"/>
      <c r="G115" s="72"/>
      <c r="H115" s="72"/>
      <c r="I115" s="71"/>
      <c r="J115" s="72"/>
      <c r="K115" s="73"/>
      <c r="L115" s="167" t="s">
        <v>418</v>
      </c>
      <c r="M115" s="86" t="s">
        <v>419</v>
      </c>
      <c r="N115" s="87" t="s">
        <v>420</v>
      </c>
      <c r="O115" s="88" t="s">
        <v>421</v>
      </c>
      <c r="P115" s="89" t="s">
        <v>422</v>
      </c>
      <c r="Q115" s="90" t="s">
        <v>423</v>
      </c>
      <c r="R115" s="168" t="s">
        <v>33</v>
      </c>
      <c r="S115" s="168" t="s">
        <v>424</v>
      </c>
      <c r="T115" s="168" t="s">
        <v>425</v>
      </c>
    </row>
    <row r="116" spans="1:20">
      <c r="A116" s="70"/>
      <c r="B116" s="72"/>
      <c r="C116" s="72"/>
      <c r="D116" s="72"/>
      <c r="E116" s="72"/>
      <c r="F116" s="72"/>
      <c r="G116" s="72"/>
      <c r="H116" s="72"/>
      <c r="I116" s="71"/>
      <c r="J116" s="72"/>
      <c r="K116" s="72"/>
      <c r="L116" s="72">
        <v>2017</v>
      </c>
      <c r="M116" s="102"/>
      <c r="N116" s="102"/>
      <c r="O116" s="102"/>
      <c r="P116" s="102"/>
      <c r="Q116" s="102"/>
      <c r="R116" s="102"/>
      <c r="S116" s="102"/>
      <c r="T116" s="102"/>
    </row>
    <row r="117" spans="1:20">
      <c r="A117" s="70"/>
      <c r="B117" s="72"/>
      <c r="C117" s="72"/>
      <c r="D117" s="72"/>
      <c r="E117" s="72"/>
      <c r="F117" s="72"/>
      <c r="G117" s="72"/>
      <c r="H117" s="72"/>
      <c r="I117" s="71"/>
      <c r="J117" s="72"/>
      <c r="K117" s="72"/>
      <c r="L117" s="72">
        <v>2016</v>
      </c>
      <c r="M117" s="102">
        <v>66.926923076923075</v>
      </c>
      <c r="N117" s="102">
        <v>59.937692307692302</v>
      </c>
      <c r="O117" s="102">
        <v>63.74666666666667</v>
      </c>
      <c r="P117" s="102">
        <v>63.75</v>
      </c>
      <c r="Q117" s="102">
        <v>59.8</v>
      </c>
      <c r="R117" s="102">
        <v>63.53157894736843</v>
      </c>
      <c r="S117" s="102">
        <v>62.775438596491249</v>
      </c>
      <c r="T117" s="102">
        <v>56</v>
      </c>
    </row>
    <row r="118" spans="1:20">
      <c r="A118" s="70"/>
      <c r="B118" s="72"/>
      <c r="C118" s="72"/>
      <c r="D118" s="72"/>
      <c r="E118" s="72"/>
      <c r="F118" s="72"/>
      <c r="G118" s="72"/>
      <c r="H118" s="72"/>
      <c r="I118" s="71"/>
      <c r="J118" s="72"/>
      <c r="K118" s="72"/>
      <c r="L118" s="72">
        <v>2015</v>
      </c>
      <c r="M118" s="102">
        <v>67.15384615384616</v>
      </c>
      <c r="N118" s="102">
        <v>61</v>
      </c>
      <c r="O118" s="102">
        <v>59.083333333333336</v>
      </c>
      <c r="P118" s="102">
        <v>65</v>
      </c>
      <c r="Q118" s="102">
        <v>62.3</v>
      </c>
      <c r="R118" s="102">
        <v>62.421052631578945</v>
      </c>
      <c r="S118" s="102">
        <v>62.666666666666664</v>
      </c>
      <c r="T118" s="102">
        <v>57</v>
      </c>
    </row>
    <row r="119" spans="1:20">
      <c r="A119" s="70"/>
      <c r="B119" s="72"/>
      <c r="C119" s="72"/>
      <c r="D119" s="72"/>
      <c r="E119" s="72"/>
      <c r="F119" s="72"/>
      <c r="G119" s="72"/>
      <c r="H119" s="72"/>
      <c r="I119" s="71"/>
      <c r="J119" s="72"/>
      <c r="K119" s="72"/>
      <c r="L119" s="72">
        <v>2014</v>
      </c>
      <c r="M119" s="102">
        <v>61.92307692307692</v>
      </c>
      <c r="N119" s="102">
        <v>59.615384615384613</v>
      </c>
      <c r="O119" s="102">
        <v>58.416666666666664</v>
      </c>
      <c r="P119" s="102">
        <v>64.25</v>
      </c>
      <c r="Q119" s="102">
        <v>63.5</v>
      </c>
      <c r="R119" s="102">
        <v>60.026315789473685</v>
      </c>
      <c r="S119" s="102">
        <v>61.070175438596493</v>
      </c>
      <c r="T119" s="102">
        <v>51</v>
      </c>
    </row>
    <row r="120" spans="1:20">
      <c r="A120" s="70"/>
      <c r="B120" s="72"/>
      <c r="C120" s="72"/>
      <c r="D120" s="72"/>
      <c r="E120" s="72"/>
      <c r="F120" s="72"/>
      <c r="G120" s="72"/>
      <c r="H120" s="72"/>
      <c r="I120" s="71"/>
      <c r="J120" s="72"/>
      <c r="K120" s="72"/>
      <c r="L120" s="72">
        <v>2013</v>
      </c>
      <c r="M120" s="102">
        <v>66</v>
      </c>
      <c r="N120" s="102">
        <v>62</v>
      </c>
      <c r="O120" s="102">
        <v>63</v>
      </c>
      <c r="P120" s="102">
        <v>66</v>
      </c>
      <c r="Q120" s="102">
        <v>65</v>
      </c>
      <c r="R120" s="102">
        <v>63.842105263157897</v>
      </c>
      <c r="S120" s="102">
        <v>64</v>
      </c>
      <c r="T120" s="102">
        <v>57</v>
      </c>
    </row>
    <row r="121" spans="1:20">
      <c r="A121" s="70"/>
      <c r="B121" s="72"/>
      <c r="C121" s="72"/>
      <c r="D121" s="72"/>
      <c r="E121" s="72"/>
      <c r="F121" s="72"/>
      <c r="G121" s="72"/>
      <c r="H121" s="72"/>
      <c r="I121" s="71"/>
      <c r="J121" s="72"/>
      <c r="K121" s="73"/>
      <c r="L121" s="72">
        <v>2012</v>
      </c>
      <c r="M121" s="102">
        <v>69</v>
      </c>
      <c r="N121" s="102">
        <v>67</v>
      </c>
      <c r="O121" s="102">
        <v>66</v>
      </c>
      <c r="P121" s="102">
        <v>68</v>
      </c>
      <c r="Q121" s="102">
        <v>68</v>
      </c>
      <c r="R121" s="102">
        <v>67.07692307692308</v>
      </c>
      <c r="S121" s="102">
        <v>67</v>
      </c>
      <c r="T121" s="102">
        <v>62</v>
      </c>
    </row>
    <row r="122" spans="1:20">
      <c r="A122" s="70"/>
      <c r="B122" s="72"/>
      <c r="C122" s="72"/>
      <c r="D122" s="72"/>
      <c r="E122" s="72"/>
      <c r="F122" s="72"/>
      <c r="G122" s="72"/>
      <c r="H122" s="72"/>
      <c r="I122" s="71"/>
      <c r="J122" s="72"/>
      <c r="K122" s="73"/>
      <c r="L122" s="72">
        <v>2011</v>
      </c>
      <c r="M122" s="102">
        <v>62</v>
      </c>
      <c r="N122" s="102">
        <v>61</v>
      </c>
      <c r="O122" s="102">
        <v>60</v>
      </c>
      <c r="P122" s="102">
        <v>62</v>
      </c>
      <c r="Q122" s="102">
        <v>66</v>
      </c>
      <c r="R122" s="102">
        <v>61.179487179487182</v>
      </c>
      <c r="S122" s="102">
        <v>62</v>
      </c>
      <c r="T122" s="102">
        <v>51</v>
      </c>
    </row>
    <row r="123" spans="1:20">
      <c r="A123" s="70"/>
      <c r="B123" s="72"/>
      <c r="C123" s="72"/>
      <c r="D123" s="72"/>
      <c r="E123" s="72"/>
      <c r="F123" s="72"/>
      <c r="G123" s="72"/>
      <c r="H123" s="72"/>
      <c r="I123" s="71"/>
      <c r="J123" s="72"/>
      <c r="K123" s="73"/>
      <c r="L123" s="72">
        <v>2010</v>
      </c>
      <c r="M123" s="102">
        <v>65</v>
      </c>
      <c r="N123" s="102">
        <v>63</v>
      </c>
      <c r="O123" s="102">
        <v>61</v>
      </c>
      <c r="P123" s="102">
        <v>61</v>
      </c>
      <c r="Q123" s="102">
        <v>63</v>
      </c>
      <c r="R123" s="102">
        <v>63.358974358974358</v>
      </c>
      <c r="S123" s="102">
        <v>63</v>
      </c>
      <c r="T123" s="102">
        <v>55</v>
      </c>
    </row>
    <row r="124" spans="1:20">
      <c r="A124" s="70"/>
      <c r="B124" s="72"/>
      <c r="C124" s="72"/>
      <c r="D124" s="72"/>
      <c r="E124" s="72"/>
      <c r="F124" s="72"/>
      <c r="G124" s="72"/>
      <c r="H124" s="72"/>
      <c r="I124" s="71"/>
      <c r="J124" s="72"/>
      <c r="K124" s="73"/>
      <c r="L124" s="72">
        <v>2009</v>
      </c>
      <c r="M124" s="102">
        <v>66</v>
      </c>
      <c r="N124" s="102">
        <v>64</v>
      </c>
      <c r="O124" s="102">
        <v>61</v>
      </c>
      <c r="P124" s="102">
        <v>58</v>
      </c>
      <c r="Q124" s="102">
        <v>62</v>
      </c>
      <c r="R124" s="102">
        <v>63.615384615384613</v>
      </c>
      <c r="S124" s="102">
        <v>62</v>
      </c>
      <c r="T124" s="102">
        <v>52</v>
      </c>
    </row>
    <row r="125" spans="1:20">
      <c r="A125" s="70"/>
      <c r="B125" s="72"/>
      <c r="C125" s="72"/>
      <c r="D125" s="72"/>
      <c r="E125" s="72"/>
      <c r="F125" s="72"/>
      <c r="G125" s="72"/>
      <c r="H125" s="72"/>
      <c r="I125" s="71"/>
      <c r="J125" s="72"/>
      <c r="K125" s="73"/>
      <c r="L125" s="72">
        <v>2008</v>
      </c>
      <c r="M125" s="102">
        <v>66</v>
      </c>
      <c r="N125" s="102">
        <v>64</v>
      </c>
      <c r="O125" s="102">
        <v>61</v>
      </c>
      <c r="P125" s="102">
        <v>59</v>
      </c>
      <c r="Q125" s="102">
        <v>62</v>
      </c>
      <c r="R125" s="102">
        <v>64</v>
      </c>
      <c r="S125" s="102">
        <v>62</v>
      </c>
      <c r="T125" s="102">
        <v>48</v>
      </c>
    </row>
    <row r="126" spans="1:20">
      <c r="A126" s="70"/>
      <c r="B126" s="72"/>
      <c r="C126" s="72"/>
      <c r="D126" s="72"/>
      <c r="E126" s="72"/>
      <c r="F126" s="72"/>
      <c r="G126" s="72"/>
      <c r="H126" s="72"/>
      <c r="I126" s="71"/>
      <c r="J126" s="72"/>
      <c r="K126" s="73"/>
      <c r="L126" s="72">
        <v>2007</v>
      </c>
      <c r="M126" s="102">
        <v>66.721428571428561</v>
      </c>
      <c r="N126" s="102">
        <v>66.944615384615389</v>
      </c>
      <c r="O126" s="102">
        <v>63.770833333333336</v>
      </c>
      <c r="P126" s="102">
        <v>61.237499999999997</v>
      </c>
      <c r="Q126" s="102">
        <v>65.471000000000004</v>
      </c>
      <c r="R126" s="102">
        <v>66</v>
      </c>
      <c r="S126" s="102">
        <v>65</v>
      </c>
      <c r="T126" s="102">
        <v>57.02</v>
      </c>
    </row>
    <row r="127" spans="1:20">
      <c r="A127" s="70"/>
      <c r="B127" s="72"/>
      <c r="C127" s="72"/>
      <c r="D127" s="72"/>
      <c r="E127" s="72"/>
      <c r="F127" s="72"/>
      <c r="G127" s="72"/>
      <c r="H127" s="72"/>
      <c r="I127" s="71"/>
      <c r="J127" s="72"/>
      <c r="K127" s="73"/>
      <c r="L127" s="72">
        <v>2006</v>
      </c>
      <c r="M127" s="102">
        <v>74.330714285714294</v>
      </c>
      <c r="N127" s="102">
        <v>73.815384615384602</v>
      </c>
      <c r="O127" s="102">
        <v>69.734999999999999</v>
      </c>
      <c r="P127" s="102">
        <v>71.428750000000008</v>
      </c>
      <c r="Q127" s="102">
        <v>73.431000000000012</v>
      </c>
      <c r="R127" s="102">
        <v>73</v>
      </c>
      <c r="S127" s="102">
        <v>73</v>
      </c>
      <c r="T127" s="102">
        <v>70.81</v>
      </c>
    </row>
    <row r="128" spans="1:20">
      <c r="A128" s="70"/>
      <c r="B128" s="72"/>
      <c r="C128" s="72"/>
      <c r="D128" s="72"/>
      <c r="E128" s="72"/>
      <c r="F128" s="72"/>
      <c r="G128" s="72"/>
      <c r="H128" s="72"/>
      <c r="I128" s="71"/>
      <c r="J128" s="72"/>
      <c r="K128" s="73"/>
      <c r="L128" s="72">
        <v>2005</v>
      </c>
      <c r="M128" s="102">
        <v>70</v>
      </c>
      <c r="N128" s="102">
        <v>71</v>
      </c>
      <c r="O128" s="102">
        <v>66</v>
      </c>
      <c r="P128" s="102">
        <v>67</v>
      </c>
      <c r="Q128" s="102">
        <v>69</v>
      </c>
      <c r="R128" s="102">
        <v>69</v>
      </c>
      <c r="S128" s="102">
        <v>69</v>
      </c>
      <c r="T128" s="102">
        <v>66.099999999999994</v>
      </c>
    </row>
    <row r="129" spans="1:20">
      <c r="A129" s="70"/>
      <c r="B129" s="72"/>
      <c r="C129" s="72"/>
      <c r="D129" s="72"/>
      <c r="E129" s="72"/>
      <c r="F129" s="72"/>
      <c r="G129" s="72"/>
      <c r="H129" s="72"/>
      <c r="I129" s="71"/>
      <c r="J129" s="72"/>
      <c r="K129" s="73"/>
      <c r="L129" s="72">
        <v>2004</v>
      </c>
      <c r="M129" s="102"/>
      <c r="N129" s="102"/>
      <c r="O129" s="102"/>
      <c r="P129" s="102"/>
      <c r="Q129" s="102"/>
      <c r="R129" s="102"/>
      <c r="S129" s="102"/>
      <c r="T129" s="72"/>
    </row>
    <row r="130" spans="1:20">
      <c r="A130" s="70"/>
      <c r="B130" s="72"/>
      <c r="C130" s="72"/>
      <c r="D130" s="72"/>
      <c r="E130" s="72"/>
      <c r="F130" s="72"/>
      <c r="G130" s="72"/>
      <c r="H130" s="72"/>
      <c r="I130" s="71"/>
      <c r="J130" s="72"/>
      <c r="K130" s="73"/>
      <c r="L130" s="72">
        <v>2003</v>
      </c>
      <c r="M130" s="102"/>
      <c r="N130" s="102"/>
      <c r="O130" s="102"/>
      <c r="P130" s="102"/>
      <c r="Q130" s="102"/>
      <c r="R130" s="102"/>
      <c r="S130" s="102"/>
      <c r="T130" s="72"/>
    </row>
    <row r="131" spans="1:20">
      <c r="A131" s="70"/>
      <c r="B131" s="72"/>
      <c r="C131" s="72"/>
      <c r="D131" s="72"/>
      <c r="E131" s="72"/>
      <c r="F131" s="72"/>
      <c r="G131" s="72"/>
      <c r="H131" s="72"/>
      <c r="I131" s="71"/>
      <c r="J131" s="72"/>
      <c r="K131" s="73"/>
      <c r="L131" s="72">
        <v>2002</v>
      </c>
      <c r="M131" s="102"/>
      <c r="N131" s="102"/>
      <c r="O131" s="102"/>
      <c r="P131" s="102"/>
      <c r="Q131" s="102"/>
      <c r="R131" s="102"/>
      <c r="S131" s="102"/>
      <c r="T131" s="72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14">
    <cfRule type="cellIs" dxfId="148" priority="102" operator="lessThanOrEqual">
      <formula>-5</formula>
    </cfRule>
    <cfRule type="cellIs" dxfId="147" priority="103" operator="greaterThanOrEqual">
      <formula>5</formula>
    </cfRule>
  </conditionalFormatting>
  <conditionalFormatting sqref="M2:M15">
    <cfRule type="expression" dxfId="146" priority="97">
      <formula>M2=""</formula>
    </cfRule>
    <cfRule type="expression" dxfId="145" priority="98">
      <formula>M2&lt;44.5</formula>
    </cfRule>
    <cfRule type="expression" dxfId="144" priority="99">
      <formula>M2&lt;60.5</formula>
    </cfRule>
    <cfRule type="expression" dxfId="143" priority="100">
      <formula>M2&lt;85.5</formula>
    </cfRule>
    <cfRule type="expression" dxfId="142" priority="101">
      <formula>M2&gt;85.5</formula>
    </cfRule>
  </conditionalFormatting>
  <conditionalFormatting sqref="O2:P15 M2:M15">
    <cfRule type="expression" dxfId="141" priority="92">
      <formula>M2=""</formula>
    </cfRule>
    <cfRule type="expression" dxfId="140" priority="93">
      <formula>M2&lt;44.5</formula>
    </cfRule>
    <cfRule type="expression" dxfId="139" priority="94">
      <formula>M2&lt;60.5</formula>
    </cfRule>
    <cfRule type="expression" dxfId="138" priority="95">
      <formula>M2&lt;85.5</formula>
    </cfRule>
    <cfRule type="expression" dxfId="137" priority="96">
      <formula>M2&gt;85.5</formula>
    </cfRule>
  </conditionalFormatting>
  <conditionalFormatting sqref="N2:N15">
    <cfRule type="expression" dxfId="136" priority="87">
      <formula>N2=""</formula>
    </cfRule>
    <cfRule type="expression" dxfId="135" priority="88">
      <formula>N2&lt;44.5</formula>
    </cfRule>
    <cfRule type="expression" dxfId="134" priority="89">
      <formula>N2&lt;60.5</formula>
    </cfRule>
    <cfRule type="expression" dxfId="133" priority="90">
      <formula>N2&lt;85.5</formula>
    </cfRule>
    <cfRule type="expression" dxfId="132" priority="91">
      <formula>N2&gt;85.5</formula>
    </cfRule>
  </conditionalFormatting>
  <conditionalFormatting sqref="N2:N15">
    <cfRule type="expression" dxfId="131" priority="82">
      <formula>N2=""</formula>
    </cfRule>
    <cfRule type="expression" dxfId="130" priority="83">
      <formula>N2&lt;44.5</formula>
    </cfRule>
    <cfRule type="expression" dxfId="129" priority="84">
      <formula>N2&lt;60.5</formula>
    </cfRule>
    <cfRule type="expression" dxfId="128" priority="85">
      <formula>N2&lt;85.5</formula>
    </cfRule>
    <cfRule type="expression" dxfId="127" priority="86">
      <formula>N2&gt;85.5</formula>
    </cfRule>
  </conditionalFormatting>
  <conditionalFormatting sqref="M17:M29">
    <cfRule type="expression" dxfId="126" priority="77">
      <formula>M17=""</formula>
    </cfRule>
    <cfRule type="expression" dxfId="125" priority="78">
      <formula>M17&lt;44.5</formula>
    </cfRule>
    <cfRule type="expression" dxfId="124" priority="79">
      <formula>M17&lt;60.5</formula>
    </cfRule>
    <cfRule type="expression" dxfId="123" priority="80">
      <formula>M17&lt;85.5</formula>
    </cfRule>
    <cfRule type="expression" dxfId="122" priority="81">
      <formula>M17&gt;85.5</formula>
    </cfRule>
  </conditionalFormatting>
  <conditionalFormatting sqref="O17:P29">
    <cfRule type="expression" dxfId="121" priority="72">
      <formula>O17=""</formula>
    </cfRule>
    <cfRule type="expression" dxfId="120" priority="73">
      <formula>O17&lt;44.5</formula>
    </cfRule>
    <cfRule type="expression" dxfId="119" priority="74">
      <formula>O17&lt;60.5</formula>
    </cfRule>
    <cfRule type="expression" dxfId="118" priority="75">
      <formula>O17&lt;85.5</formula>
    </cfRule>
    <cfRule type="expression" dxfId="117" priority="76">
      <formula>O17&gt;85.5</formula>
    </cfRule>
  </conditionalFormatting>
  <conditionalFormatting sqref="N17:N29">
    <cfRule type="expression" dxfId="116" priority="67">
      <formula>N17=""</formula>
    </cfRule>
    <cfRule type="expression" dxfId="115" priority="68">
      <formula>N17&lt;44.5</formula>
    </cfRule>
    <cfRule type="expression" dxfId="114" priority="69">
      <formula>N17&lt;60.5</formula>
    </cfRule>
    <cfRule type="expression" dxfId="113" priority="70">
      <formula>N17&lt;85.5</formula>
    </cfRule>
    <cfRule type="expression" dxfId="112" priority="71">
      <formula>N17&gt;85.5</formula>
    </cfRule>
  </conditionalFormatting>
  <conditionalFormatting sqref="M31:M42">
    <cfRule type="expression" dxfId="111" priority="62">
      <formula>M31=""</formula>
    </cfRule>
    <cfRule type="expression" dxfId="110" priority="63">
      <formula>M31&lt;44.5</formula>
    </cfRule>
    <cfRule type="expression" dxfId="109" priority="64">
      <formula>M31&lt;60.5</formula>
    </cfRule>
    <cfRule type="expression" dxfId="108" priority="65">
      <formula>M31&lt;85.5</formula>
    </cfRule>
    <cfRule type="expression" dxfId="107" priority="66">
      <formula>M31&gt;85.5</formula>
    </cfRule>
  </conditionalFormatting>
  <conditionalFormatting sqref="O31:P42">
    <cfRule type="expression" dxfId="106" priority="57">
      <formula>O31=""</formula>
    </cfRule>
    <cfRule type="expression" dxfId="105" priority="58">
      <formula>O31&lt;44.5</formula>
    </cfRule>
    <cfRule type="expression" dxfId="104" priority="59">
      <formula>O31&lt;60.5</formula>
    </cfRule>
    <cfRule type="expression" dxfId="103" priority="60">
      <formula>O31&lt;85.5</formula>
    </cfRule>
    <cfRule type="expression" dxfId="102" priority="61">
      <formula>O31&gt;85.5</formula>
    </cfRule>
  </conditionalFormatting>
  <conditionalFormatting sqref="N31:N42">
    <cfRule type="expression" dxfId="101" priority="52">
      <formula>N31=""</formula>
    </cfRule>
    <cfRule type="expression" dxfId="100" priority="53">
      <formula>N31&lt;44.5</formula>
    </cfRule>
    <cfRule type="expression" dxfId="99" priority="54">
      <formula>N31&lt;60.5</formula>
    </cfRule>
    <cfRule type="expression" dxfId="98" priority="55">
      <formula>N31&lt;85.5</formula>
    </cfRule>
    <cfRule type="expression" dxfId="97" priority="56">
      <formula>N31&gt;85.5</formula>
    </cfRule>
  </conditionalFormatting>
  <conditionalFormatting sqref="M44:M51">
    <cfRule type="expression" dxfId="96" priority="47">
      <formula>M44=""</formula>
    </cfRule>
    <cfRule type="expression" dxfId="95" priority="48">
      <formula>M44&lt;44.5</formula>
    </cfRule>
    <cfRule type="expression" dxfId="94" priority="49">
      <formula>M44&lt;60.5</formula>
    </cfRule>
    <cfRule type="expression" dxfId="93" priority="50">
      <formula>M44&lt;85.5</formula>
    </cfRule>
    <cfRule type="expression" dxfId="92" priority="51">
      <formula>M44&gt;85.5</formula>
    </cfRule>
  </conditionalFormatting>
  <conditionalFormatting sqref="O44:P51">
    <cfRule type="expression" dxfId="91" priority="42">
      <formula>O44=""</formula>
    </cfRule>
    <cfRule type="expression" dxfId="90" priority="43">
      <formula>O44&lt;44.5</formula>
    </cfRule>
    <cfRule type="expression" dxfId="89" priority="44">
      <formula>O44&lt;60.5</formula>
    </cfRule>
    <cfRule type="expression" dxfId="88" priority="45">
      <formula>O44&lt;85.5</formula>
    </cfRule>
    <cfRule type="expression" dxfId="87" priority="46">
      <formula>O44&gt;85.5</formula>
    </cfRule>
  </conditionalFormatting>
  <conditionalFormatting sqref="N44:N51">
    <cfRule type="expression" dxfId="86" priority="37">
      <formula>N44=""</formula>
    </cfRule>
    <cfRule type="expression" dxfId="85" priority="38">
      <formula>N44&lt;44.5</formula>
    </cfRule>
    <cfRule type="expression" dxfId="84" priority="39">
      <formula>N44&lt;60.5</formula>
    </cfRule>
    <cfRule type="expression" dxfId="83" priority="40">
      <formula>N44&lt;85.5</formula>
    </cfRule>
    <cfRule type="expression" dxfId="82" priority="41">
      <formula>N44&gt;85.5</formula>
    </cfRule>
  </conditionalFormatting>
  <conditionalFormatting sqref="M53:M62">
    <cfRule type="expression" dxfId="81" priority="32">
      <formula>M53=""</formula>
    </cfRule>
    <cfRule type="expression" dxfId="80" priority="33">
      <formula>M53&lt;44.5</formula>
    </cfRule>
    <cfRule type="expression" dxfId="79" priority="34">
      <formula>M53&lt;60.5</formula>
    </cfRule>
    <cfRule type="expression" dxfId="78" priority="35">
      <formula>M53&lt;85.5</formula>
    </cfRule>
    <cfRule type="expression" dxfId="77" priority="36">
      <formula>M53&gt;85.5</formula>
    </cfRule>
  </conditionalFormatting>
  <conditionalFormatting sqref="O53:P62">
    <cfRule type="expression" dxfId="76" priority="27">
      <formula>O53=""</formula>
    </cfRule>
    <cfRule type="expression" dxfId="75" priority="28">
      <formula>O53&lt;44.5</formula>
    </cfRule>
    <cfRule type="expression" dxfId="74" priority="29">
      <formula>O53&lt;60.5</formula>
    </cfRule>
    <cfRule type="expression" dxfId="73" priority="30">
      <formula>O53&lt;85.5</formula>
    </cfRule>
    <cfRule type="expression" dxfId="72" priority="31">
      <formula>O53&gt;85.5</formula>
    </cfRule>
  </conditionalFormatting>
  <conditionalFormatting sqref="N53:N62">
    <cfRule type="expression" dxfId="71" priority="22">
      <formula>N53=""</formula>
    </cfRule>
    <cfRule type="expression" dxfId="70" priority="23">
      <formula>N53&lt;44.5</formula>
    </cfRule>
    <cfRule type="expression" dxfId="69" priority="24">
      <formula>N53&lt;60.5</formula>
    </cfRule>
    <cfRule type="expression" dxfId="68" priority="25">
      <formula>N53&lt;85.5</formula>
    </cfRule>
    <cfRule type="expression" dxfId="67" priority="26">
      <formula>N53&gt;85.5</formula>
    </cfRule>
  </conditionalFormatting>
  <conditionalFormatting sqref="Q63:Q70">
    <cfRule type="cellIs" dxfId="66" priority="20" operator="lessThanOrEqual">
      <formula>-5</formula>
    </cfRule>
    <cfRule type="cellIs" dxfId="65" priority="21" operator="greaterThanOrEqual">
      <formula>5</formula>
    </cfRule>
  </conditionalFormatting>
  <conditionalFormatting sqref="M64:M70">
    <cfRule type="expression" dxfId="64" priority="15">
      <formula>M64=""</formula>
    </cfRule>
    <cfRule type="expression" dxfId="63" priority="16">
      <formula>M64&lt;44.5</formula>
    </cfRule>
    <cfRule type="expression" dxfId="62" priority="17">
      <formula>M64&lt;60.5</formula>
    </cfRule>
    <cfRule type="expression" dxfId="61" priority="18">
      <formula>M64&lt;85.5</formula>
    </cfRule>
    <cfRule type="expression" dxfId="60" priority="19">
      <formula>M64&gt;85.5</formula>
    </cfRule>
  </conditionalFormatting>
  <conditionalFormatting sqref="O64:P70">
    <cfRule type="expression" dxfId="59" priority="10">
      <formula>O64=""</formula>
    </cfRule>
    <cfRule type="expression" dxfId="58" priority="11">
      <formula>O64&lt;44.5</formula>
    </cfRule>
    <cfRule type="expression" dxfId="57" priority="12">
      <formula>O64&lt;60.5</formula>
    </cfRule>
    <cfRule type="expression" dxfId="56" priority="13">
      <formula>O64&lt;85.5</formula>
    </cfRule>
    <cfRule type="expression" dxfId="55" priority="14">
      <formula>O64&gt;85.5</formula>
    </cfRule>
  </conditionalFormatting>
  <conditionalFormatting sqref="N64:N68">
    <cfRule type="expression" dxfId="54" priority="5">
      <formula>N64=""</formula>
    </cfRule>
    <cfRule type="expression" dxfId="53" priority="6">
      <formula>N64&lt;44.5</formula>
    </cfRule>
    <cfRule type="expression" dxfId="52" priority="7">
      <formula>N64&lt;60.5</formula>
    </cfRule>
    <cfRule type="expression" dxfId="51" priority="8">
      <formula>N64&lt;85.5</formula>
    </cfRule>
    <cfRule type="expression" dxfId="50" priority="9">
      <formula>N64&gt;85.5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30" t="s">
        <v>29</v>
      </c>
      <c r="D11" s="331"/>
      <c r="E11" s="331"/>
      <c r="F11" s="331"/>
      <c r="G11" s="331"/>
      <c r="H11" s="11"/>
    </row>
    <row r="12" spans="2:9">
      <c r="H12" s="11"/>
    </row>
    <row r="13" spans="2:9">
      <c r="C13" s="336" t="s">
        <v>30</v>
      </c>
      <c r="D13" s="336"/>
      <c r="E13" s="337"/>
      <c r="G13" s="328" t="s">
        <v>31</v>
      </c>
      <c r="H13" s="328"/>
      <c r="I13" s="11"/>
    </row>
    <row r="14" spans="2:9">
      <c r="C14" s="322" t="s">
        <v>32</v>
      </c>
      <c r="D14" s="323"/>
      <c r="E14" s="109">
        <v>1.96</v>
      </c>
      <c r="G14" s="111" t="s">
        <v>32</v>
      </c>
      <c r="H14" s="111" t="s">
        <v>33</v>
      </c>
      <c r="I14" s="11"/>
    </row>
    <row r="15" spans="2:9">
      <c r="C15" s="334" t="s">
        <v>34</v>
      </c>
      <c r="D15" s="323"/>
      <c r="E15" s="109">
        <v>0.05</v>
      </c>
      <c r="G15" s="112">
        <v>1.282</v>
      </c>
      <c r="H15" s="113">
        <v>0.8</v>
      </c>
      <c r="I15" s="11"/>
    </row>
    <row r="16" spans="2:9">
      <c r="C16" s="322" t="s">
        <v>35</v>
      </c>
      <c r="D16" s="323"/>
      <c r="E16" s="109">
        <v>0.5</v>
      </c>
      <c r="G16" s="112">
        <v>1.44</v>
      </c>
      <c r="H16" s="113">
        <v>0.85</v>
      </c>
      <c r="I16" s="11"/>
    </row>
    <row r="17" spans="3:9">
      <c r="C17" s="322" t="s">
        <v>36</v>
      </c>
      <c r="D17" s="323"/>
      <c r="E17" s="109">
        <v>0.5</v>
      </c>
      <c r="G17" s="112">
        <v>1.65</v>
      </c>
      <c r="H17" s="113">
        <v>0.9</v>
      </c>
      <c r="I17" s="11"/>
    </row>
    <row r="18" spans="3:9">
      <c r="C18" s="335" t="s">
        <v>37</v>
      </c>
      <c r="D18" s="323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28" t="s">
        <v>38</v>
      </c>
      <c r="D20" s="328"/>
      <c r="E20" s="329"/>
      <c r="I20" s="11"/>
    </row>
    <row r="21" spans="3:9">
      <c r="C21" s="322" t="s">
        <v>39</v>
      </c>
      <c r="D21" s="323"/>
      <c r="E21" s="109">
        <f>+(E16*E17)</f>
        <v>0.25</v>
      </c>
      <c r="I21" s="11"/>
    </row>
    <row r="22" spans="3:9">
      <c r="C22" s="322" t="s">
        <v>40</v>
      </c>
      <c r="D22" s="323"/>
      <c r="E22" s="114">
        <f>+E15/E14</f>
        <v>2.5510204081632654E-2</v>
      </c>
      <c r="I22" s="11"/>
    </row>
    <row r="23" spans="3:9">
      <c r="C23" s="322" t="s">
        <v>51</v>
      </c>
      <c r="D23" s="323"/>
      <c r="E23" s="114">
        <f>+E22*E22</f>
        <v>6.5077051228654734E-4</v>
      </c>
      <c r="I23" s="11"/>
    </row>
    <row r="24" spans="3:9">
      <c r="C24" s="322" t="s">
        <v>41</v>
      </c>
      <c r="D24" s="323"/>
      <c r="E24" s="109">
        <f>+E21/E18</f>
        <v>2.1739130434782609E-3</v>
      </c>
      <c r="I24" s="11"/>
    </row>
    <row r="25" spans="3:9" ht="15.75" thickBot="1">
      <c r="C25" s="325" t="s">
        <v>42</v>
      </c>
      <c r="D25" s="323"/>
      <c r="E25" s="115">
        <f>+E21/(E23+E24)</f>
        <v>88.505489221892788</v>
      </c>
      <c r="I25" s="11"/>
    </row>
    <row r="26" spans="3:9" ht="15.75" thickBot="1">
      <c r="C26" s="325" t="s">
        <v>43</v>
      </c>
      <c r="D26" s="323"/>
      <c r="E26" s="115">
        <f>+E25*2</f>
        <v>177.01097844378558</v>
      </c>
      <c r="G26" s="332" t="s">
        <v>44</v>
      </c>
      <c r="H26" s="333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30" t="s">
        <v>45</v>
      </c>
      <c r="D29" s="331"/>
      <c r="E29" s="331"/>
      <c r="F29" s="331"/>
      <c r="G29" s="331"/>
      <c r="H29" s="11"/>
    </row>
    <row r="30" spans="3:9">
      <c r="C30" s="328" t="s">
        <v>30</v>
      </c>
      <c r="D30" s="328"/>
      <c r="E30" s="329"/>
      <c r="G30" s="31"/>
      <c r="H30" s="31"/>
      <c r="I30" s="22"/>
    </row>
    <row r="31" spans="3:9" ht="20.100000000000001" customHeight="1">
      <c r="C31" s="322" t="s">
        <v>32</v>
      </c>
      <c r="D31" s="323"/>
      <c r="E31" s="116">
        <v>1.65</v>
      </c>
      <c r="G31" s="25"/>
      <c r="H31" s="25"/>
      <c r="I31" s="11"/>
    </row>
    <row r="32" spans="3:9">
      <c r="C32" s="322" t="s">
        <v>35</v>
      </c>
      <c r="D32" s="323"/>
      <c r="E32" s="109">
        <v>0.5</v>
      </c>
      <c r="G32" s="25"/>
      <c r="H32" s="25"/>
      <c r="I32" s="11"/>
    </row>
    <row r="33" spans="3:9">
      <c r="C33" s="322" t="s">
        <v>36</v>
      </c>
      <c r="D33" s="323"/>
      <c r="E33" s="109">
        <v>0.5</v>
      </c>
      <c r="G33" s="25"/>
      <c r="H33" s="25"/>
      <c r="I33" s="11"/>
    </row>
    <row r="34" spans="3:9">
      <c r="C34" s="326" t="s">
        <v>37</v>
      </c>
      <c r="D34" s="327"/>
      <c r="E34" s="110">
        <f>$G$3</f>
        <v>5231</v>
      </c>
      <c r="G34" s="26"/>
      <c r="H34" s="26"/>
      <c r="I34" s="11"/>
    </row>
    <row r="35" spans="3:9">
      <c r="C35" s="326" t="s">
        <v>42</v>
      </c>
      <c r="D35" s="327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28" t="s">
        <v>38</v>
      </c>
      <c r="D37" s="328"/>
      <c r="E37" s="329"/>
      <c r="G37" s="31"/>
      <c r="H37" s="31"/>
      <c r="I37" s="11"/>
    </row>
    <row r="38" spans="3:9">
      <c r="C38" s="322" t="s">
        <v>39</v>
      </c>
      <c r="D38" s="323"/>
      <c r="E38" s="117">
        <f>+(E32*E33)</f>
        <v>0.25</v>
      </c>
      <c r="F38" s="23"/>
      <c r="G38" s="25"/>
      <c r="H38" s="28"/>
      <c r="I38" s="11"/>
    </row>
    <row r="39" spans="3:9">
      <c r="C39" s="322" t="s">
        <v>46</v>
      </c>
      <c r="D39" s="323"/>
      <c r="E39" s="114">
        <f>(1/E35)-(1/E34)</f>
        <v>1.3498357073878575E-5</v>
      </c>
      <c r="F39" s="23"/>
      <c r="G39" s="25"/>
      <c r="H39" s="29"/>
      <c r="I39" s="11"/>
    </row>
    <row r="40" spans="3:9">
      <c r="C40" s="322" t="s">
        <v>47</v>
      </c>
      <c r="D40" s="323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22" t="s">
        <v>48</v>
      </c>
      <c r="D41" s="324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25" t="s">
        <v>49</v>
      </c>
      <c r="D42" s="323"/>
      <c r="E42" s="119">
        <f>+E41*E31</f>
        <v>3.0310591025924593E-3</v>
      </c>
      <c r="G42" s="332" t="s">
        <v>50</v>
      </c>
      <c r="H42" s="333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44"/>
  <sheetViews>
    <sheetView topLeftCell="A28" workbookViewId="0">
      <selection activeCell="E11" sqref="E11:F11"/>
    </sheetView>
  </sheetViews>
  <sheetFormatPr baseColWidth="10" defaultRowHeight="15"/>
  <cols>
    <col min="1" max="1" width="5.7109375" customWidth="1"/>
    <col min="2" max="2" width="22.140625" style="159" bestFit="1" customWidth="1"/>
    <col min="3" max="3" width="21.7109375" style="156" bestFit="1" customWidth="1"/>
    <col min="4" max="4" width="25.28515625" bestFit="1" customWidth="1"/>
    <col min="5" max="6" width="10.7109375" style="169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328</v>
      </c>
      <c r="C3" s="151">
        <v>2</v>
      </c>
    </row>
    <row r="4" spans="2:8">
      <c r="C4" s="155"/>
    </row>
    <row r="5" spans="2:8" ht="15" customHeight="1">
      <c r="B5" s="160" t="s">
        <v>194</v>
      </c>
      <c r="C5" s="341" t="s">
        <v>378</v>
      </c>
      <c r="D5" s="342"/>
      <c r="E5" s="193" t="s">
        <v>329</v>
      </c>
      <c r="F5" s="193" t="s">
        <v>330</v>
      </c>
      <c r="G5" s="193" t="s">
        <v>443</v>
      </c>
      <c r="H5" s="193" t="s">
        <v>444</v>
      </c>
    </row>
    <row r="6" spans="2:8" ht="30">
      <c r="B6" s="161" t="s">
        <v>395</v>
      </c>
      <c r="C6" s="158" t="s">
        <v>379</v>
      </c>
      <c r="D6" s="163"/>
      <c r="E6" s="164" t="s">
        <v>429</v>
      </c>
      <c r="F6" s="164" t="s">
        <v>368</v>
      </c>
      <c r="G6" s="164"/>
      <c r="H6" s="164"/>
    </row>
    <row r="7" spans="2:8" ht="30">
      <c r="B7" s="161" t="s">
        <v>415</v>
      </c>
      <c r="C7" s="158" t="s">
        <v>380</v>
      </c>
      <c r="D7" s="163"/>
      <c r="E7" s="164" t="s">
        <v>439</v>
      </c>
      <c r="F7" s="164" t="s">
        <v>440</v>
      </c>
      <c r="G7" s="164" t="s">
        <v>446</v>
      </c>
      <c r="H7" s="164" t="s">
        <v>445</v>
      </c>
    </row>
    <row r="8" spans="2:8" ht="30.75" customHeight="1">
      <c r="B8" s="161" t="s">
        <v>396</v>
      </c>
      <c r="C8" s="158" t="s">
        <v>393</v>
      </c>
      <c r="D8" s="163"/>
      <c r="E8" s="164" t="s">
        <v>430</v>
      </c>
      <c r="F8" s="164" t="s">
        <v>369</v>
      </c>
      <c r="G8" s="164"/>
      <c r="H8" s="164"/>
    </row>
    <row r="9" spans="2:8" ht="45">
      <c r="B9" s="161" t="s">
        <v>416</v>
      </c>
      <c r="C9" s="158" t="s">
        <v>394</v>
      </c>
      <c r="D9" s="163"/>
      <c r="E9" s="164" t="s">
        <v>441</v>
      </c>
      <c r="F9" s="164" t="s">
        <v>442</v>
      </c>
      <c r="G9" s="164" t="s">
        <v>446</v>
      </c>
      <c r="H9" s="164" t="s">
        <v>445</v>
      </c>
    </row>
    <row r="10" spans="2:8">
      <c r="B10" s="160" t="s">
        <v>194</v>
      </c>
      <c r="C10" s="343" t="s">
        <v>166</v>
      </c>
      <c r="D10" s="344"/>
      <c r="E10" s="193" t="s">
        <v>329</v>
      </c>
      <c r="F10" s="193" t="s">
        <v>330</v>
      </c>
      <c r="G10" s="193" t="s">
        <v>443</v>
      </c>
      <c r="H10" s="193" t="s">
        <v>444</v>
      </c>
    </row>
    <row r="11" spans="2:8">
      <c r="B11" s="162" t="s">
        <v>409</v>
      </c>
      <c r="C11" s="158" t="s">
        <v>331</v>
      </c>
      <c r="D11" s="165"/>
      <c r="E11" s="166" t="s">
        <v>430</v>
      </c>
      <c r="F11" s="166" t="s">
        <v>447</v>
      </c>
      <c r="G11" s="164"/>
      <c r="H11" s="164"/>
    </row>
    <row r="12" spans="2:8">
      <c r="B12" s="338" t="s">
        <v>397</v>
      </c>
      <c r="C12" s="345" t="s">
        <v>331</v>
      </c>
      <c r="D12" s="153" t="s">
        <v>62</v>
      </c>
      <c r="E12" s="166" t="s">
        <v>332</v>
      </c>
      <c r="F12" s="166" t="s">
        <v>333</v>
      </c>
      <c r="G12" s="164"/>
      <c r="H12" s="164"/>
    </row>
    <row r="13" spans="2:8">
      <c r="B13" s="339"/>
      <c r="C13" s="345"/>
      <c r="D13" s="153" t="s">
        <v>69</v>
      </c>
      <c r="E13" s="166" t="s">
        <v>334</v>
      </c>
      <c r="F13" s="166" t="s">
        <v>335</v>
      </c>
      <c r="G13" s="164"/>
      <c r="H13" s="164"/>
    </row>
    <row r="14" spans="2:8">
      <c r="B14" s="340"/>
      <c r="C14" s="345"/>
      <c r="D14" s="153" t="s">
        <v>79</v>
      </c>
      <c r="E14" s="166" t="s">
        <v>336</v>
      </c>
      <c r="F14" s="166" t="s">
        <v>337</v>
      </c>
      <c r="G14" s="164"/>
      <c r="H14" s="164"/>
    </row>
    <row r="15" spans="2:8">
      <c r="B15" s="162" t="s">
        <v>410</v>
      </c>
      <c r="C15" s="158" t="s">
        <v>338</v>
      </c>
      <c r="D15" s="165"/>
      <c r="E15" s="166" t="s">
        <v>448</v>
      </c>
      <c r="F15" s="166" t="s">
        <v>449</v>
      </c>
      <c r="G15" s="164"/>
      <c r="H15" s="164"/>
    </row>
    <row r="16" spans="2:8">
      <c r="B16" s="338" t="s">
        <v>398</v>
      </c>
      <c r="C16" s="346" t="s">
        <v>338</v>
      </c>
      <c r="D16" s="153" t="s">
        <v>87</v>
      </c>
      <c r="E16" s="166" t="s">
        <v>339</v>
      </c>
      <c r="F16" s="166" t="s">
        <v>340</v>
      </c>
      <c r="G16" s="164"/>
      <c r="H16" s="164"/>
    </row>
    <row r="17" spans="2:8">
      <c r="B17" s="339"/>
      <c r="C17" s="347"/>
      <c r="D17" s="163" t="s">
        <v>94</v>
      </c>
      <c r="E17" s="164" t="s">
        <v>341</v>
      </c>
      <c r="F17" s="164" t="s">
        <v>342</v>
      </c>
      <c r="G17" s="164"/>
      <c r="H17" s="164"/>
    </row>
    <row r="18" spans="2:8">
      <c r="B18" s="340"/>
      <c r="C18" s="347"/>
      <c r="D18" s="153" t="s">
        <v>98</v>
      </c>
      <c r="E18" s="166" t="s">
        <v>343</v>
      </c>
      <c r="F18" s="166" t="s">
        <v>344</v>
      </c>
      <c r="G18" s="164"/>
      <c r="H18" s="164"/>
    </row>
    <row r="19" spans="2:8">
      <c r="B19" s="162" t="s">
        <v>411</v>
      </c>
      <c r="C19" s="158" t="s">
        <v>345</v>
      </c>
      <c r="D19" s="165"/>
      <c r="E19" s="166" t="s">
        <v>450</v>
      </c>
      <c r="F19" s="166" t="s">
        <v>451</v>
      </c>
      <c r="G19" s="164"/>
      <c r="H19" s="164"/>
    </row>
    <row r="20" spans="2:8">
      <c r="B20" s="338" t="s">
        <v>399</v>
      </c>
      <c r="C20" s="346" t="s">
        <v>345</v>
      </c>
      <c r="D20" s="153" t="s">
        <v>109</v>
      </c>
      <c r="E20" s="166" t="s">
        <v>346</v>
      </c>
      <c r="F20" s="166" t="s">
        <v>347</v>
      </c>
      <c r="G20" s="164"/>
      <c r="H20" s="164"/>
    </row>
    <row r="21" spans="2:8">
      <c r="B21" s="339"/>
      <c r="C21" s="347"/>
      <c r="D21" s="163" t="s">
        <v>116</v>
      </c>
      <c r="E21" s="164" t="s">
        <v>348</v>
      </c>
      <c r="F21" s="164" t="s">
        <v>349</v>
      </c>
      <c r="G21" s="164"/>
      <c r="H21" s="164"/>
    </row>
    <row r="22" spans="2:8">
      <c r="B22" s="340"/>
      <c r="C22" s="347"/>
      <c r="D22" s="153" t="s">
        <v>120</v>
      </c>
      <c r="E22" s="166" t="s">
        <v>350</v>
      </c>
      <c r="F22" s="166" t="s">
        <v>351</v>
      </c>
      <c r="G22" s="164"/>
      <c r="H22" s="164"/>
    </row>
    <row r="23" spans="2:8" ht="15" customHeight="1">
      <c r="B23" s="162" t="s">
        <v>412</v>
      </c>
      <c r="C23" s="158" t="s">
        <v>352</v>
      </c>
      <c r="D23" s="165"/>
      <c r="E23" s="166" t="s">
        <v>452</v>
      </c>
      <c r="F23" s="166" t="s">
        <v>453</v>
      </c>
      <c r="G23" s="164"/>
      <c r="H23" s="164"/>
    </row>
    <row r="24" spans="2:8">
      <c r="B24" s="338" t="s">
        <v>400</v>
      </c>
      <c r="C24" s="345" t="s">
        <v>352</v>
      </c>
      <c r="D24" s="163" t="s">
        <v>129</v>
      </c>
      <c r="E24" s="164" t="s">
        <v>353</v>
      </c>
      <c r="F24" s="164" t="s">
        <v>354</v>
      </c>
      <c r="G24" s="164"/>
      <c r="H24" s="164"/>
    </row>
    <row r="25" spans="2:8">
      <c r="B25" s="339"/>
      <c r="C25" s="345"/>
      <c r="D25" s="163" t="s">
        <v>132</v>
      </c>
      <c r="E25" s="164" t="s">
        <v>355</v>
      </c>
      <c r="F25" s="164" t="s">
        <v>356</v>
      </c>
      <c r="G25" s="164"/>
      <c r="H25" s="164"/>
    </row>
    <row r="26" spans="2:8">
      <c r="B26" s="340"/>
      <c r="C26" s="345"/>
      <c r="D26" s="163" t="s">
        <v>135</v>
      </c>
      <c r="E26" s="164" t="s">
        <v>357</v>
      </c>
      <c r="F26" s="164" t="s">
        <v>358</v>
      </c>
      <c r="G26" s="164"/>
      <c r="H26" s="164"/>
    </row>
    <row r="27" spans="2:8">
      <c r="B27" s="162" t="s">
        <v>413</v>
      </c>
      <c r="C27" s="158" t="s">
        <v>359</v>
      </c>
      <c r="D27" s="165"/>
      <c r="E27" s="166" t="s">
        <v>454</v>
      </c>
      <c r="F27" s="166" t="s">
        <v>369</v>
      </c>
      <c r="G27" s="164"/>
      <c r="H27" s="164"/>
    </row>
    <row r="28" spans="2:8">
      <c r="B28" s="338" t="s">
        <v>401</v>
      </c>
      <c r="C28" s="345" t="s">
        <v>359</v>
      </c>
      <c r="D28" s="163" t="s">
        <v>141</v>
      </c>
      <c r="E28" s="164" t="s">
        <v>360</v>
      </c>
      <c r="F28" s="164" t="s">
        <v>361</v>
      </c>
      <c r="G28" s="164"/>
      <c r="H28" s="164"/>
    </row>
    <row r="29" spans="2:8">
      <c r="B29" s="339"/>
      <c r="C29" s="345"/>
      <c r="D29" s="153" t="s">
        <v>145</v>
      </c>
      <c r="E29" s="166" t="s">
        <v>362</v>
      </c>
      <c r="F29" s="166" t="s">
        <v>363</v>
      </c>
      <c r="G29" s="164"/>
      <c r="H29" s="164"/>
    </row>
    <row r="30" spans="2:8">
      <c r="B30" s="340"/>
      <c r="C30" s="345"/>
      <c r="D30" s="163" t="s">
        <v>152</v>
      </c>
      <c r="E30" s="164" t="s">
        <v>364</v>
      </c>
      <c r="F30" s="164" t="s">
        <v>365</v>
      </c>
      <c r="G30" s="164"/>
      <c r="H30" s="164"/>
    </row>
    <row r="31" spans="2:8">
      <c r="B31" s="160" t="s">
        <v>194</v>
      </c>
      <c r="C31" s="343" t="s">
        <v>381</v>
      </c>
      <c r="D31" s="344"/>
      <c r="E31" s="193" t="s">
        <v>329</v>
      </c>
      <c r="F31" s="193" t="s">
        <v>330</v>
      </c>
      <c r="G31" s="193" t="s">
        <v>443</v>
      </c>
      <c r="H31" s="193" t="s">
        <v>444</v>
      </c>
    </row>
    <row r="32" spans="2:8">
      <c r="B32" s="161" t="s">
        <v>402</v>
      </c>
      <c r="C32" s="158" t="s">
        <v>331</v>
      </c>
      <c r="D32" s="163" t="s">
        <v>382</v>
      </c>
      <c r="E32" s="164" t="s">
        <v>383</v>
      </c>
      <c r="F32" s="164" t="s">
        <v>384</v>
      </c>
      <c r="G32" s="164"/>
      <c r="H32" s="164"/>
    </row>
    <row r="33" spans="2:8">
      <c r="B33" s="161" t="s">
        <v>403</v>
      </c>
      <c r="C33" s="158" t="s">
        <v>338</v>
      </c>
      <c r="D33" s="163" t="s">
        <v>382</v>
      </c>
      <c r="E33" s="164" t="s">
        <v>385</v>
      </c>
      <c r="F33" s="164" t="s">
        <v>389</v>
      </c>
      <c r="G33" s="164"/>
      <c r="H33" s="164"/>
    </row>
    <row r="34" spans="2:8">
      <c r="B34" s="161" t="s">
        <v>406</v>
      </c>
      <c r="C34" s="158" t="s">
        <v>345</v>
      </c>
      <c r="D34" s="163" t="s">
        <v>382</v>
      </c>
      <c r="E34" s="164" t="s">
        <v>386</v>
      </c>
      <c r="F34" s="164" t="s">
        <v>390</v>
      </c>
      <c r="G34" s="164"/>
      <c r="H34" s="164"/>
    </row>
    <row r="35" spans="2:8">
      <c r="B35" s="161" t="s">
        <v>404</v>
      </c>
      <c r="C35" s="158" t="s">
        <v>352</v>
      </c>
      <c r="D35" s="163" t="s">
        <v>382</v>
      </c>
      <c r="E35" s="164" t="s">
        <v>387</v>
      </c>
      <c r="F35" s="164" t="s">
        <v>391</v>
      </c>
      <c r="G35" s="164"/>
      <c r="H35" s="164"/>
    </row>
    <row r="36" spans="2:8">
      <c r="B36" s="161" t="s">
        <v>405</v>
      </c>
      <c r="C36" s="158" t="s">
        <v>359</v>
      </c>
      <c r="D36" s="163" t="s">
        <v>382</v>
      </c>
      <c r="E36" s="164" t="s">
        <v>388</v>
      </c>
      <c r="F36" s="164" t="s">
        <v>392</v>
      </c>
      <c r="G36" s="164"/>
      <c r="H36" s="164"/>
    </row>
    <row r="37" spans="2:8">
      <c r="B37" s="160" t="s">
        <v>194</v>
      </c>
      <c r="C37" s="343" t="s">
        <v>414</v>
      </c>
      <c r="D37" s="344"/>
      <c r="E37" s="193" t="s">
        <v>329</v>
      </c>
      <c r="F37" s="193" t="s">
        <v>330</v>
      </c>
      <c r="G37" s="193" t="s">
        <v>443</v>
      </c>
      <c r="H37" s="193" t="s">
        <v>444</v>
      </c>
    </row>
    <row r="38" spans="2:8" ht="45">
      <c r="B38" s="161" t="s">
        <v>426</v>
      </c>
      <c r="C38" s="158" t="s">
        <v>414</v>
      </c>
      <c r="D38" s="163" t="s">
        <v>189</v>
      </c>
      <c r="E38" s="164"/>
      <c r="F38" s="164"/>
      <c r="G38" s="164"/>
      <c r="H38" s="164"/>
    </row>
    <row r="39" spans="2:8" ht="45">
      <c r="B39" s="161" t="s">
        <v>427</v>
      </c>
      <c r="C39" s="158" t="s">
        <v>414</v>
      </c>
      <c r="D39" s="163" t="s">
        <v>382</v>
      </c>
      <c r="E39" s="164"/>
      <c r="F39" s="164"/>
      <c r="G39" s="164"/>
      <c r="H39" s="164"/>
    </row>
    <row r="40" spans="2:8">
      <c r="B40" s="160" t="s">
        <v>194</v>
      </c>
      <c r="C40" s="343" t="s">
        <v>370</v>
      </c>
      <c r="D40" s="344"/>
      <c r="E40" s="193" t="s">
        <v>329</v>
      </c>
      <c r="F40" s="193" t="s">
        <v>330</v>
      </c>
      <c r="G40" s="193" t="s">
        <v>443</v>
      </c>
      <c r="H40" s="193" t="s">
        <v>444</v>
      </c>
    </row>
    <row r="41" spans="2:8">
      <c r="B41" s="161" t="s">
        <v>428</v>
      </c>
      <c r="C41" s="158" t="s">
        <v>371</v>
      </c>
      <c r="D41" s="163" t="s">
        <v>382</v>
      </c>
      <c r="E41" s="164" t="s">
        <v>366</v>
      </c>
      <c r="F41" s="164" t="s">
        <v>367</v>
      </c>
      <c r="G41" s="164"/>
      <c r="H41" s="164"/>
    </row>
    <row r="42" spans="2:8">
      <c r="B42" s="160" t="s">
        <v>194</v>
      </c>
      <c r="C42" s="343" t="s">
        <v>33</v>
      </c>
      <c r="D42" s="344"/>
      <c r="E42" s="193" t="s">
        <v>329</v>
      </c>
      <c r="F42" s="193" t="s">
        <v>330</v>
      </c>
      <c r="G42" s="193" t="s">
        <v>443</v>
      </c>
      <c r="H42" s="193" t="s">
        <v>444</v>
      </c>
    </row>
    <row r="43" spans="2:8">
      <c r="B43" s="161" t="s">
        <v>407</v>
      </c>
      <c r="C43" s="158" t="s">
        <v>372</v>
      </c>
      <c r="D43" s="163" t="s">
        <v>382</v>
      </c>
      <c r="E43" s="164" t="s">
        <v>374</v>
      </c>
      <c r="F43" s="164" t="s">
        <v>375</v>
      </c>
      <c r="G43" s="164"/>
      <c r="H43" s="164"/>
    </row>
    <row r="44" spans="2:8" ht="30">
      <c r="B44" s="161" t="s">
        <v>408</v>
      </c>
      <c r="C44" s="158" t="s">
        <v>373</v>
      </c>
      <c r="D44" s="163" t="s">
        <v>382</v>
      </c>
      <c r="E44" s="164" t="s">
        <v>376</v>
      </c>
      <c r="F44" s="164" t="s">
        <v>377</v>
      </c>
      <c r="G44" s="164"/>
      <c r="H44" s="164"/>
    </row>
  </sheetData>
  <mergeCells count="16">
    <mergeCell ref="C40:D40"/>
    <mergeCell ref="C42:D42"/>
    <mergeCell ref="C12:C14"/>
    <mergeCell ref="C16:C18"/>
    <mergeCell ref="C20:C22"/>
    <mergeCell ref="C24:C26"/>
    <mergeCell ref="C28:C30"/>
    <mergeCell ref="C31:D31"/>
    <mergeCell ref="C37:D37"/>
    <mergeCell ref="B28:B30"/>
    <mergeCell ref="C5:D5"/>
    <mergeCell ref="B12:B14"/>
    <mergeCell ref="B16:B18"/>
    <mergeCell ref="B20:B22"/>
    <mergeCell ref="B24:B26"/>
    <mergeCell ref="C10:D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44</xdr:row>
                    <xdr:rowOff>180975</xdr:rowOff>
                  </from>
                  <to>
                    <xdr:col>8</xdr:col>
                    <xdr:colOff>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48</xdr:row>
                    <xdr:rowOff>9525</xdr:rowOff>
                  </from>
                  <to>
                    <xdr:col>8</xdr:col>
                    <xdr:colOff>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3</xdr:col>
                    <xdr:colOff>847725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topLeftCell="C1" workbookViewId="0">
      <selection activeCell="C36" sqref="C36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48" t="s">
        <v>191</v>
      </c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B45:P596"/>
  <sheetViews>
    <sheetView topLeftCell="A561" workbookViewId="0">
      <selection activeCell="B585" sqref="B585"/>
    </sheetView>
  </sheetViews>
  <sheetFormatPr baseColWidth="10" defaultRowHeight="15"/>
  <cols>
    <col min="2" max="2" width="17.7109375" bestFit="1" customWidth="1"/>
  </cols>
  <sheetData>
    <row r="45" spans="2:9" ht="15.75" thickBot="1">
      <c r="B45" s="172" t="s">
        <v>171</v>
      </c>
      <c r="C45" s="170">
        <v>85.93</v>
      </c>
      <c r="D45" s="170">
        <v>82.67</v>
      </c>
      <c r="E45" s="170">
        <v>89.46</v>
      </c>
      <c r="F45" s="170">
        <v>79.150000000000006</v>
      </c>
      <c r="G45" s="171">
        <v>3.2600000000000051</v>
      </c>
      <c r="H45" s="171">
        <v>-3.5299999999999869</v>
      </c>
      <c r="I45" s="171">
        <v>6.7800000000000011</v>
      </c>
    </row>
    <row r="46" spans="2:9" ht="15.75" thickBot="1">
      <c r="B46" s="173" t="s">
        <v>172</v>
      </c>
      <c r="C46" s="174">
        <v>81.56</v>
      </c>
      <c r="D46" s="174">
        <v>77.59</v>
      </c>
      <c r="E46" s="174">
        <v>88.6</v>
      </c>
      <c r="F46" s="174">
        <v>77.23</v>
      </c>
      <c r="G46" s="175">
        <v>3.9699999999999989</v>
      </c>
      <c r="H46" s="175">
        <v>-7.039999999999992</v>
      </c>
      <c r="I46" s="175">
        <v>4.3299999999999983</v>
      </c>
    </row>
    <row r="47" spans="2:9" ht="15.75" thickBot="1">
      <c r="B47" s="176" t="s">
        <v>170</v>
      </c>
      <c r="C47" s="177">
        <v>77.78</v>
      </c>
      <c r="D47" s="177">
        <v>73.56</v>
      </c>
      <c r="E47" s="177">
        <v>84.91</v>
      </c>
      <c r="F47" s="177">
        <v>75.44</v>
      </c>
      <c r="G47" s="178">
        <v>4.2199999999999989</v>
      </c>
      <c r="H47" s="178">
        <v>-7.1299999999999955</v>
      </c>
      <c r="I47" s="178">
        <v>2.3400000000000034</v>
      </c>
    </row>
    <row r="48" spans="2:9" ht="15.75" thickBot="1">
      <c r="B48" s="179" t="s">
        <v>431</v>
      </c>
      <c r="C48" s="180">
        <v>83.3</v>
      </c>
      <c r="D48" s="180">
        <v>78.540000000000006</v>
      </c>
      <c r="E48" s="180">
        <v>90.36</v>
      </c>
      <c r="F48" s="180">
        <v>80.28</v>
      </c>
      <c r="G48" s="181">
        <v>4.7599999999999909</v>
      </c>
      <c r="H48" s="181">
        <v>-7.0600000000000023</v>
      </c>
      <c r="I48" s="181">
        <v>3.019999999999996</v>
      </c>
    </row>
    <row r="49" spans="2:9" ht="15.75" thickBot="1">
      <c r="B49" s="182" t="s">
        <v>432</v>
      </c>
      <c r="C49" s="183">
        <v>86.19</v>
      </c>
      <c r="D49" s="183">
        <v>81.86</v>
      </c>
      <c r="E49" s="183">
        <v>92.63</v>
      </c>
      <c r="F49" s="183">
        <v>83.31</v>
      </c>
      <c r="G49" s="184">
        <v>4.3299999999999983</v>
      </c>
      <c r="H49" s="184">
        <v>-6.4399999999999977</v>
      </c>
      <c r="I49" s="184">
        <v>2.8799999999999955</v>
      </c>
    </row>
    <row r="50" spans="2:9">
      <c r="B50" t="s">
        <v>433</v>
      </c>
      <c r="C50" s="185">
        <v>82.91</v>
      </c>
      <c r="D50" s="185">
        <v>78.88</v>
      </c>
      <c r="E50" s="185">
        <v>89.03</v>
      </c>
      <c r="F50" s="185">
        <v>78.88</v>
      </c>
      <c r="G50" s="185">
        <v>4.0300000000000011</v>
      </c>
      <c r="H50" s="185">
        <v>-6.1200000000000045</v>
      </c>
      <c r="I50" s="185">
        <v>4.0300000000000011</v>
      </c>
    </row>
    <row r="51" spans="2:9">
      <c r="B51" t="s">
        <v>434</v>
      </c>
      <c r="C51" s="186">
        <v>4886</v>
      </c>
      <c r="D51" s="186">
        <v>4735</v>
      </c>
      <c r="E51" s="186"/>
      <c r="F51" s="186"/>
      <c r="G51" s="186"/>
      <c r="H51" s="186"/>
      <c r="I51" s="186"/>
    </row>
    <row r="52" spans="2:9">
      <c r="B52" t="s">
        <v>435</v>
      </c>
      <c r="C52" s="187">
        <v>78.88</v>
      </c>
      <c r="D52" s="187">
        <v>73.930000000000007</v>
      </c>
      <c r="E52" s="187"/>
      <c r="F52" s="187"/>
      <c r="G52" s="187"/>
      <c r="H52" s="187"/>
      <c r="I52" s="187"/>
    </row>
    <row r="53" spans="2:9">
      <c r="B53" t="s">
        <v>436</v>
      </c>
      <c r="C53" s="188">
        <v>4735</v>
      </c>
      <c r="D53" s="188">
        <v>4504</v>
      </c>
      <c r="E53" s="188"/>
      <c r="F53" s="188"/>
      <c r="G53" s="188"/>
      <c r="H53" s="188"/>
      <c r="I53" s="188"/>
    </row>
    <row r="54" spans="2:9" ht="33.75">
      <c r="B54" t="s">
        <v>437</v>
      </c>
      <c r="C54" s="189">
        <v>2016</v>
      </c>
      <c r="D54" s="189">
        <v>2015</v>
      </c>
      <c r="E54" s="189" t="s">
        <v>261</v>
      </c>
      <c r="F54" s="189" t="s">
        <v>262</v>
      </c>
      <c r="G54" s="189" t="s">
        <v>263</v>
      </c>
      <c r="H54" s="189" t="s">
        <v>264</v>
      </c>
      <c r="I54" s="189" t="s">
        <v>265</v>
      </c>
    </row>
    <row r="55" spans="2:9">
      <c r="B55" t="s">
        <v>18</v>
      </c>
      <c r="C55" s="185">
        <v>82.91</v>
      </c>
      <c r="D55" s="185">
        <v>82.91</v>
      </c>
      <c r="E55" s="185">
        <v>82.91</v>
      </c>
      <c r="F55" s="185">
        <v>82.91</v>
      </c>
      <c r="G55" s="185">
        <v>82.91</v>
      </c>
      <c r="H55" s="185">
        <v>82.91</v>
      </c>
      <c r="I55" s="185">
        <v>82.91</v>
      </c>
    </row>
    <row r="56" spans="2:9">
      <c r="B56" t="s">
        <v>438</v>
      </c>
      <c r="C56" s="190">
        <v>84.08</v>
      </c>
      <c r="D56" s="190">
        <v>79.319999999999993</v>
      </c>
      <c r="E56" s="190">
        <v>91.62</v>
      </c>
      <c r="F56" s="190">
        <v>82.28</v>
      </c>
      <c r="G56" s="191">
        <v>4.7600000000000051</v>
      </c>
      <c r="H56" s="191">
        <v>-7.5400000000000063</v>
      </c>
      <c r="I56" s="191">
        <v>1.7999999999999972</v>
      </c>
    </row>
    <row r="105" spans="2:7" ht="15.75" thickBot="1">
      <c r="B105" s="172" t="s">
        <v>171</v>
      </c>
      <c r="C105" s="170">
        <v>90.45</v>
      </c>
      <c r="D105" s="170">
        <v>86.08</v>
      </c>
      <c r="E105" s="170">
        <v>84.35</v>
      </c>
      <c r="F105" s="170">
        <v>87.74</v>
      </c>
      <c r="G105" s="170">
        <v>90.43</v>
      </c>
    </row>
    <row r="106" spans="2:7" ht="15.75" thickBot="1">
      <c r="B106" s="173" t="s">
        <v>172</v>
      </c>
      <c r="C106" s="174">
        <v>84.9</v>
      </c>
      <c r="D106" s="174">
        <v>80.59</v>
      </c>
      <c r="E106" s="174">
        <v>81</v>
      </c>
      <c r="F106" s="174">
        <v>84.36</v>
      </c>
      <c r="G106" s="174">
        <v>87.34</v>
      </c>
    </row>
    <row r="107" spans="2:7" ht="15.75" thickBot="1">
      <c r="B107" s="176" t="s">
        <v>170</v>
      </c>
      <c r="C107" s="177">
        <v>85.2</v>
      </c>
      <c r="D107" s="177">
        <v>77.400000000000006</v>
      </c>
      <c r="E107" s="177">
        <v>75.959999999999994</v>
      </c>
      <c r="F107" s="177">
        <v>79.81</v>
      </c>
      <c r="G107" s="177">
        <v>83.12</v>
      </c>
    </row>
    <row r="108" spans="2:7" ht="15.75" thickBot="1">
      <c r="B108" s="179" t="s">
        <v>431</v>
      </c>
      <c r="C108" s="180">
        <v>83.54</v>
      </c>
      <c r="D108" s="180">
        <v>81.03</v>
      </c>
      <c r="E108" s="180">
        <v>83.26</v>
      </c>
      <c r="F108" s="180">
        <v>88.56</v>
      </c>
      <c r="G108" s="180">
        <v>91.07</v>
      </c>
    </row>
    <row r="109" spans="2:7" ht="15.75" thickBot="1">
      <c r="B109" s="182" t="s">
        <v>432</v>
      </c>
      <c r="C109" s="183">
        <v>90.58</v>
      </c>
      <c r="D109" s="183">
        <v>85.89</v>
      </c>
      <c r="E109" s="183">
        <v>85.08</v>
      </c>
      <c r="F109" s="183">
        <v>88.42</v>
      </c>
      <c r="G109" s="183">
        <v>90.24</v>
      </c>
    </row>
    <row r="110" spans="2:7">
      <c r="B110" t="s">
        <v>433</v>
      </c>
      <c r="C110" s="185">
        <v>87.13</v>
      </c>
      <c r="D110" s="185">
        <v>82.26</v>
      </c>
      <c r="E110" s="185">
        <v>81.83</v>
      </c>
      <c r="F110" s="185">
        <v>85.57</v>
      </c>
      <c r="G110" s="185">
        <v>88.33</v>
      </c>
    </row>
    <row r="111" spans="2:7">
      <c r="B111" t="s">
        <v>434</v>
      </c>
      <c r="C111" s="186">
        <v>292</v>
      </c>
      <c r="D111" s="186">
        <v>1996</v>
      </c>
      <c r="E111" s="186">
        <v>1426</v>
      </c>
      <c r="F111" s="186">
        <v>736</v>
      </c>
      <c r="G111" s="186">
        <v>248</v>
      </c>
    </row>
    <row r="112" spans="2:7">
      <c r="B112" t="s">
        <v>435</v>
      </c>
      <c r="C112" s="187">
        <v>82.41</v>
      </c>
      <c r="D112" s="187">
        <v>77.44</v>
      </c>
      <c r="E112" s="187">
        <v>78.069999999999993</v>
      </c>
      <c r="F112" s="187">
        <v>82.57</v>
      </c>
      <c r="G112" s="187">
        <v>86.36</v>
      </c>
    </row>
    <row r="113" spans="2:7">
      <c r="B113" t="s">
        <v>436</v>
      </c>
      <c r="C113" s="188">
        <v>249</v>
      </c>
      <c r="D113" s="188">
        <v>1965</v>
      </c>
      <c r="E113" s="188">
        <v>1426</v>
      </c>
      <c r="F113" s="188">
        <v>733</v>
      </c>
      <c r="G113" s="188">
        <v>256</v>
      </c>
    </row>
    <row r="114" spans="2:7" ht="22.5">
      <c r="B114" t="s">
        <v>437</v>
      </c>
      <c r="C114" s="189" t="s">
        <v>232</v>
      </c>
      <c r="D114" s="189" t="s">
        <v>233</v>
      </c>
      <c r="E114" s="189" t="s">
        <v>234</v>
      </c>
      <c r="F114" s="189" t="s">
        <v>235</v>
      </c>
      <c r="G114" s="189" t="s">
        <v>236</v>
      </c>
    </row>
    <row r="115" spans="2:7">
      <c r="B115" t="s">
        <v>18</v>
      </c>
      <c r="C115" s="185">
        <v>82.91</v>
      </c>
      <c r="D115" s="185">
        <v>82.91</v>
      </c>
      <c r="E115" s="185">
        <v>82.91</v>
      </c>
      <c r="F115" s="185">
        <v>82.91</v>
      </c>
      <c r="G115" s="185">
        <v>82.91</v>
      </c>
    </row>
    <row r="116" spans="2:7">
      <c r="B116" t="s">
        <v>438</v>
      </c>
      <c r="C116" s="190">
        <v>87.33</v>
      </c>
      <c r="D116" s="190">
        <v>82.4</v>
      </c>
      <c r="E116" s="190">
        <v>83.7</v>
      </c>
      <c r="F116" s="190">
        <v>87.89</v>
      </c>
      <c r="G116" s="190">
        <v>93.55</v>
      </c>
    </row>
    <row r="165" spans="2:4" ht="15.75" thickBot="1">
      <c r="B165" s="172" t="s">
        <v>171</v>
      </c>
      <c r="C165" s="170">
        <v>86.53</v>
      </c>
      <c r="D165" s="170">
        <v>86.24</v>
      </c>
    </row>
    <row r="166" spans="2:4" ht="15.75" thickBot="1">
      <c r="B166" s="173" t="s">
        <v>172</v>
      </c>
      <c r="C166" s="174">
        <v>82.52</v>
      </c>
      <c r="D166" s="174">
        <v>81.34</v>
      </c>
    </row>
    <row r="167" spans="2:4" ht="15.75" thickBot="1">
      <c r="B167" s="176" t="s">
        <v>170</v>
      </c>
      <c r="C167" s="177">
        <v>78.27</v>
      </c>
      <c r="D167" s="177">
        <v>78.02</v>
      </c>
    </row>
    <row r="168" spans="2:4" ht="15.75" thickBot="1">
      <c r="B168" s="179" t="s">
        <v>431</v>
      </c>
      <c r="C168" s="180">
        <v>83.68</v>
      </c>
      <c r="D168" s="180">
        <v>83.52</v>
      </c>
    </row>
    <row r="169" spans="2:4" ht="15.75" thickBot="1">
      <c r="B169" s="182" t="s">
        <v>432</v>
      </c>
      <c r="C169" s="183">
        <v>86.39</v>
      </c>
      <c r="D169" s="183">
        <v>86.83</v>
      </c>
    </row>
    <row r="170" spans="2:4">
      <c r="B170" t="s">
        <v>433</v>
      </c>
      <c r="C170" s="185">
        <v>83.48</v>
      </c>
      <c r="D170" s="185">
        <v>83.12</v>
      </c>
    </row>
    <row r="171" spans="2:4">
      <c r="B171" t="s">
        <v>434</v>
      </c>
      <c r="C171" s="186">
        <v>2476</v>
      </c>
      <c r="D171" s="186">
        <v>2191</v>
      </c>
    </row>
    <row r="172" spans="2:4">
      <c r="B172" t="s">
        <v>435</v>
      </c>
      <c r="C172" s="187">
        <v>79.62</v>
      </c>
      <c r="D172" s="187">
        <v>78.790000000000006</v>
      </c>
    </row>
    <row r="173" spans="2:4">
      <c r="B173" t="s">
        <v>436</v>
      </c>
      <c r="C173" s="188">
        <v>2382</v>
      </c>
      <c r="D173" s="188">
        <v>2218</v>
      </c>
    </row>
    <row r="174" spans="2:4">
      <c r="B174" t="s">
        <v>437</v>
      </c>
      <c r="C174" s="189" t="s">
        <v>237</v>
      </c>
      <c r="D174" s="189" t="s">
        <v>238</v>
      </c>
    </row>
    <row r="175" spans="2:4">
      <c r="B175" t="s">
        <v>18</v>
      </c>
      <c r="C175" s="185">
        <v>82.91</v>
      </c>
      <c r="D175" s="185">
        <v>82.91</v>
      </c>
    </row>
    <row r="176" spans="2:4">
      <c r="B176" t="s">
        <v>438</v>
      </c>
      <c r="C176" s="190">
        <v>85.32</v>
      </c>
      <c r="D176" s="190">
        <v>83.78</v>
      </c>
    </row>
    <row r="225" spans="2:7" ht="15.75" thickBot="1">
      <c r="B225" s="172" t="s">
        <v>171</v>
      </c>
      <c r="C225" s="170">
        <v>76.19</v>
      </c>
      <c r="D225" s="170">
        <v>87.14</v>
      </c>
      <c r="E225" s="170">
        <v>86.86</v>
      </c>
      <c r="F225" s="170">
        <v>85.18</v>
      </c>
      <c r="G225" s="170">
        <v>87.05</v>
      </c>
    </row>
    <row r="226" spans="2:7" ht="15.75" thickBot="1">
      <c r="B226" s="173" t="s">
        <v>172</v>
      </c>
      <c r="C226" s="174">
        <v>78.209999999999994</v>
      </c>
      <c r="D226" s="174">
        <v>80.63</v>
      </c>
      <c r="E226" s="174">
        <v>81.92</v>
      </c>
      <c r="F226" s="174">
        <v>81.260000000000005</v>
      </c>
      <c r="G226" s="174">
        <v>85.26</v>
      </c>
    </row>
    <row r="227" spans="2:7" ht="15.75" thickBot="1">
      <c r="B227" s="176" t="s">
        <v>170</v>
      </c>
      <c r="C227" s="177">
        <v>80.489999999999995</v>
      </c>
      <c r="D227" s="177">
        <v>78.47</v>
      </c>
      <c r="E227" s="177">
        <v>78.739999999999995</v>
      </c>
      <c r="F227" s="177">
        <v>76.790000000000006</v>
      </c>
      <c r="G227" s="177">
        <v>79.03</v>
      </c>
    </row>
    <row r="228" spans="2:7" ht="15.75" thickBot="1">
      <c r="B228" s="179" t="s">
        <v>431</v>
      </c>
      <c r="C228" s="180">
        <v>84.38</v>
      </c>
      <c r="D228" s="180">
        <v>84.66</v>
      </c>
      <c r="E228" s="180">
        <v>83.78</v>
      </c>
      <c r="F228" s="180">
        <v>82.02</v>
      </c>
      <c r="G228" s="180">
        <v>86.82</v>
      </c>
    </row>
    <row r="229" spans="2:7" ht="15.75" thickBot="1">
      <c r="B229" s="182" t="s">
        <v>432</v>
      </c>
      <c r="C229" s="183">
        <v>78.33</v>
      </c>
      <c r="D229" s="183">
        <v>85.6</v>
      </c>
      <c r="E229" s="183">
        <v>86.75</v>
      </c>
      <c r="F229" s="183">
        <v>85.69</v>
      </c>
      <c r="G229" s="183">
        <v>89.35</v>
      </c>
    </row>
    <row r="230" spans="2:7">
      <c r="B230" t="s">
        <v>433</v>
      </c>
      <c r="C230" s="185">
        <v>79.010000000000005</v>
      </c>
      <c r="D230" s="185">
        <v>83.26</v>
      </c>
      <c r="E230" s="185">
        <v>83.59</v>
      </c>
      <c r="F230" s="185">
        <v>82.17</v>
      </c>
      <c r="G230" s="185">
        <v>85.4</v>
      </c>
    </row>
    <row r="231" spans="2:7">
      <c r="B231" t="s">
        <v>434</v>
      </c>
      <c r="C231" s="186">
        <v>12</v>
      </c>
      <c r="D231" s="186">
        <v>360</v>
      </c>
      <c r="E231" s="186">
        <v>2276</v>
      </c>
      <c r="F231" s="186">
        <v>1542</v>
      </c>
      <c r="G231" s="186">
        <v>500</v>
      </c>
    </row>
    <row r="232" spans="2:7">
      <c r="B232" t="s">
        <v>435</v>
      </c>
      <c r="C232" s="187">
        <v>68.069999999999993</v>
      </c>
      <c r="D232" s="187">
        <v>79.69</v>
      </c>
      <c r="E232" s="187">
        <v>79.13</v>
      </c>
      <c r="F232" s="187">
        <v>78.17</v>
      </c>
      <c r="G232" s="187">
        <v>82.9</v>
      </c>
    </row>
    <row r="233" spans="2:7">
      <c r="B233" t="s">
        <v>436</v>
      </c>
      <c r="C233" s="188">
        <v>14</v>
      </c>
      <c r="D233" s="188">
        <v>413</v>
      </c>
      <c r="E233" s="188">
        <v>2318</v>
      </c>
      <c r="F233" s="188">
        <v>1467</v>
      </c>
      <c r="G233" s="188">
        <v>425</v>
      </c>
    </row>
    <row r="234" spans="2:7" ht="45">
      <c r="B234" t="s">
        <v>437</v>
      </c>
      <c r="C234" s="189" t="s">
        <v>266</v>
      </c>
      <c r="D234" s="189" t="s">
        <v>267</v>
      </c>
      <c r="E234" s="189" t="s">
        <v>268</v>
      </c>
      <c r="F234" s="189" t="s">
        <v>269</v>
      </c>
      <c r="G234" s="189" t="s">
        <v>270</v>
      </c>
    </row>
    <row r="235" spans="2:7">
      <c r="B235" t="s">
        <v>18</v>
      </c>
      <c r="C235" s="185">
        <v>82.91</v>
      </c>
      <c r="D235" s="185">
        <v>82.91</v>
      </c>
      <c r="E235" s="185">
        <v>82.91</v>
      </c>
      <c r="F235" s="185">
        <v>82.91</v>
      </c>
      <c r="G235" s="185">
        <v>82.91</v>
      </c>
    </row>
    <row r="236" spans="2:7">
      <c r="B236" t="s">
        <v>438</v>
      </c>
      <c r="C236" s="190">
        <v>75</v>
      </c>
      <c r="D236" s="190">
        <v>86.11</v>
      </c>
      <c r="E236" s="190">
        <v>84.66</v>
      </c>
      <c r="F236" s="190">
        <v>82.38</v>
      </c>
      <c r="G236" s="190">
        <v>89.58</v>
      </c>
    </row>
    <row r="285" spans="2:12" ht="15.75" thickBot="1">
      <c r="B285" s="172" t="s">
        <v>171</v>
      </c>
      <c r="C285" s="170">
        <v>93.53</v>
      </c>
      <c r="D285" s="170">
        <v>91.83</v>
      </c>
      <c r="E285" s="170">
        <v>88.97</v>
      </c>
      <c r="F285" s="170">
        <v>83.86</v>
      </c>
      <c r="G285" s="170">
        <v>84.1</v>
      </c>
      <c r="H285" s="170">
        <v>78.73</v>
      </c>
      <c r="I285" s="170">
        <v>86.35</v>
      </c>
      <c r="J285" s="170">
        <v>87.52</v>
      </c>
      <c r="K285" s="170">
        <v>90.4</v>
      </c>
      <c r="L285" s="170">
        <v>79.88</v>
      </c>
    </row>
    <row r="286" spans="2:12" ht="15.75" thickBot="1">
      <c r="B286" s="173" t="s">
        <v>172</v>
      </c>
      <c r="C286" s="174">
        <v>93.66</v>
      </c>
      <c r="D286" s="174">
        <v>89.43</v>
      </c>
      <c r="E286" s="174">
        <v>85.92</v>
      </c>
      <c r="F286" s="174">
        <v>81.99</v>
      </c>
      <c r="G286" s="174">
        <v>79.41</v>
      </c>
      <c r="H286" s="174">
        <v>74.709999999999994</v>
      </c>
      <c r="I286" s="174">
        <v>79.209999999999994</v>
      </c>
      <c r="J286" s="174">
        <v>81.94</v>
      </c>
      <c r="K286" s="174">
        <v>82.09</v>
      </c>
      <c r="L286" s="174">
        <v>80.540000000000006</v>
      </c>
    </row>
    <row r="287" spans="2:12" ht="15.75" thickBot="1">
      <c r="B287" s="176" t="s">
        <v>170</v>
      </c>
      <c r="C287" s="177">
        <v>87.16</v>
      </c>
      <c r="D287" s="177">
        <v>83.33</v>
      </c>
      <c r="E287" s="177">
        <v>81.790000000000006</v>
      </c>
      <c r="F287" s="177">
        <v>75.37</v>
      </c>
      <c r="G287" s="177">
        <v>74.319999999999993</v>
      </c>
      <c r="H287" s="177">
        <v>69.97</v>
      </c>
      <c r="I287" s="177">
        <v>77.64</v>
      </c>
      <c r="J287" s="177">
        <v>79.180000000000007</v>
      </c>
      <c r="K287" s="177">
        <v>83.27</v>
      </c>
      <c r="L287" s="177">
        <v>72.260000000000005</v>
      </c>
    </row>
    <row r="288" spans="2:12" ht="15.75" thickBot="1">
      <c r="B288" s="179" t="s">
        <v>431</v>
      </c>
      <c r="C288" s="180">
        <v>94.93</v>
      </c>
      <c r="D288" s="180">
        <v>92.27</v>
      </c>
      <c r="E288" s="180">
        <v>89.09</v>
      </c>
      <c r="F288" s="180">
        <v>82.97</v>
      </c>
      <c r="G288" s="180">
        <v>81.58</v>
      </c>
      <c r="H288" s="180">
        <v>76.73</v>
      </c>
      <c r="I288" s="180">
        <v>80.61</v>
      </c>
      <c r="J288" s="180">
        <v>83.49</v>
      </c>
      <c r="K288" s="180">
        <v>80.66</v>
      </c>
      <c r="L288" s="180">
        <v>76.23</v>
      </c>
    </row>
    <row r="289" spans="2:12" ht="15.75" thickBot="1">
      <c r="B289" s="182" t="s">
        <v>432</v>
      </c>
      <c r="C289" s="183">
        <v>94.86</v>
      </c>
      <c r="D289" s="183">
        <v>92.88</v>
      </c>
      <c r="E289" s="183">
        <v>90.23</v>
      </c>
      <c r="F289" s="183">
        <v>86.42</v>
      </c>
      <c r="G289" s="183">
        <v>83.34</v>
      </c>
      <c r="H289" s="183">
        <v>79.400000000000006</v>
      </c>
      <c r="I289" s="183">
        <v>84.13</v>
      </c>
      <c r="J289" s="183">
        <v>86.8</v>
      </c>
      <c r="K289" s="183">
        <v>89.26</v>
      </c>
      <c r="L289" s="183">
        <v>80.28</v>
      </c>
    </row>
    <row r="290" spans="2:12">
      <c r="B290" t="s">
        <v>433</v>
      </c>
      <c r="C290" s="185">
        <v>92.75</v>
      </c>
      <c r="D290" s="185">
        <v>89.82</v>
      </c>
      <c r="E290" s="185">
        <v>87.04</v>
      </c>
      <c r="F290" s="185">
        <v>82.03</v>
      </c>
      <c r="G290" s="185">
        <v>80.510000000000005</v>
      </c>
      <c r="H290" s="185">
        <v>75.88</v>
      </c>
      <c r="I290" s="185">
        <v>81.69</v>
      </c>
      <c r="J290" s="185">
        <v>83.78</v>
      </c>
      <c r="K290" s="185">
        <v>85.39</v>
      </c>
      <c r="L290" s="185">
        <v>77.95</v>
      </c>
    </row>
    <row r="291" spans="2:12">
      <c r="B291" t="s">
        <v>434</v>
      </c>
      <c r="C291" s="186">
        <v>74</v>
      </c>
      <c r="D291" s="186">
        <v>139</v>
      </c>
      <c r="E291" s="186">
        <v>979</v>
      </c>
      <c r="F291" s="186">
        <v>794</v>
      </c>
      <c r="G291" s="186">
        <v>386</v>
      </c>
      <c r="H291" s="186">
        <v>426</v>
      </c>
      <c r="I291" s="186">
        <v>536</v>
      </c>
      <c r="J291" s="186">
        <v>877</v>
      </c>
      <c r="K291" s="186">
        <v>396</v>
      </c>
      <c r="L291" s="186">
        <v>42</v>
      </c>
    </row>
    <row r="292" spans="2:12">
      <c r="B292" t="s">
        <v>435</v>
      </c>
      <c r="C292" s="187">
        <v>91.91</v>
      </c>
      <c r="D292" s="187">
        <v>88.05</v>
      </c>
      <c r="E292" s="187">
        <v>86.33</v>
      </c>
      <c r="F292" s="187">
        <v>77.510000000000005</v>
      </c>
      <c r="G292" s="187">
        <v>73.2</v>
      </c>
      <c r="H292" s="187">
        <v>71.02</v>
      </c>
      <c r="I292" s="187">
        <v>74.760000000000005</v>
      </c>
      <c r="J292" s="187">
        <v>80.2</v>
      </c>
      <c r="K292" s="187">
        <v>80.39</v>
      </c>
      <c r="L292" s="187" t="s">
        <v>245</v>
      </c>
    </row>
    <row r="293" spans="2:12">
      <c r="B293" t="s">
        <v>436</v>
      </c>
      <c r="C293" s="188">
        <v>65</v>
      </c>
      <c r="D293" s="188">
        <v>121</v>
      </c>
      <c r="E293" s="188">
        <v>895</v>
      </c>
      <c r="F293" s="188">
        <v>768</v>
      </c>
      <c r="G293" s="188">
        <v>265</v>
      </c>
      <c r="H293" s="188">
        <v>519</v>
      </c>
      <c r="I293" s="188">
        <v>572</v>
      </c>
      <c r="J293" s="188">
        <v>937</v>
      </c>
      <c r="K293" s="188">
        <v>444</v>
      </c>
      <c r="L293" s="188" t="s">
        <v>11</v>
      </c>
    </row>
    <row r="294" spans="2:12" ht="112.5">
      <c r="B294" t="s">
        <v>437</v>
      </c>
      <c r="C294" s="192" t="s">
        <v>271</v>
      </c>
      <c r="D294" s="192" t="s">
        <v>272</v>
      </c>
      <c r="E294" s="192" t="s">
        <v>273</v>
      </c>
      <c r="F294" s="192" t="s">
        <v>274</v>
      </c>
      <c r="G294" s="192" t="s">
        <v>275</v>
      </c>
      <c r="H294" s="192" t="s">
        <v>276</v>
      </c>
      <c r="I294" s="192" t="s">
        <v>277</v>
      </c>
      <c r="J294" s="192" t="s">
        <v>278</v>
      </c>
      <c r="K294" s="192" t="s">
        <v>279</v>
      </c>
      <c r="L294" s="192" t="s">
        <v>280</v>
      </c>
    </row>
    <row r="295" spans="2:12">
      <c r="B295" t="s">
        <v>18</v>
      </c>
      <c r="C295" s="185">
        <v>82.91</v>
      </c>
      <c r="D295" s="185">
        <v>82.91</v>
      </c>
      <c r="E295" s="185">
        <v>82.91</v>
      </c>
      <c r="F295" s="185">
        <v>82.91</v>
      </c>
      <c r="G295" s="185">
        <v>82.91</v>
      </c>
      <c r="H295" s="185">
        <v>82.91</v>
      </c>
      <c r="I295" s="185">
        <v>82.91</v>
      </c>
      <c r="J295" s="185">
        <v>82.91</v>
      </c>
      <c r="K295" s="185">
        <v>82.91</v>
      </c>
      <c r="L295" s="185">
        <v>82.91</v>
      </c>
    </row>
    <row r="296" spans="2:12">
      <c r="B296" t="s">
        <v>438</v>
      </c>
      <c r="C296" s="190">
        <v>98.65</v>
      </c>
      <c r="D296" s="190">
        <v>94.24</v>
      </c>
      <c r="E296" s="190">
        <v>89.27</v>
      </c>
      <c r="F296" s="190">
        <v>85.34</v>
      </c>
      <c r="G296" s="190">
        <v>81.61</v>
      </c>
      <c r="H296" s="190">
        <v>80</v>
      </c>
      <c r="I296" s="190">
        <v>81.459999999999994</v>
      </c>
      <c r="J296" s="190">
        <v>82.78</v>
      </c>
      <c r="K296" s="190">
        <v>82.83</v>
      </c>
      <c r="L296" s="190">
        <v>76.19</v>
      </c>
    </row>
    <row r="345" spans="2:8" ht="15.75" thickBot="1">
      <c r="B345" s="172" t="s">
        <v>171</v>
      </c>
      <c r="C345" s="170">
        <v>91.75</v>
      </c>
      <c r="D345" s="170">
        <v>87.14</v>
      </c>
      <c r="E345" s="170">
        <v>84.41</v>
      </c>
      <c r="F345" s="170">
        <v>79.94</v>
      </c>
      <c r="G345" s="170">
        <v>87.42</v>
      </c>
      <c r="H345" s="170">
        <v>88.24</v>
      </c>
    </row>
    <row r="346" spans="2:8" ht="15.75" thickBot="1">
      <c r="B346" s="173" t="s">
        <v>172</v>
      </c>
      <c r="C346" s="174">
        <v>87.01</v>
      </c>
      <c r="D346" s="174">
        <v>82.15</v>
      </c>
      <c r="E346" s="174">
        <v>78.97</v>
      </c>
      <c r="F346" s="174">
        <v>76.930000000000007</v>
      </c>
      <c r="G346" s="174">
        <v>83.93</v>
      </c>
      <c r="H346" s="174">
        <v>84.79</v>
      </c>
    </row>
    <row r="347" spans="2:8" ht="15.75" thickBot="1">
      <c r="B347" s="176" t="s">
        <v>170</v>
      </c>
      <c r="C347" s="177">
        <v>87.17</v>
      </c>
      <c r="D347" s="177">
        <v>79.760000000000005</v>
      </c>
      <c r="E347" s="177">
        <v>74.66</v>
      </c>
      <c r="F347" s="177">
        <v>72.42</v>
      </c>
      <c r="G347" s="177">
        <v>77.63</v>
      </c>
      <c r="H347" s="177">
        <v>80.38</v>
      </c>
    </row>
    <row r="348" spans="2:8" ht="15.75" thickBot="1">
      <c r="B348" s="179" t="s">
        <v>431</v>
      </c>
      <c r="C348" s="180">
        <v>86.67</v>
      </c>
      <c r="D348" s="180">
        <v>82.73</v>
      </c>
      <c r="E348" s="180">
        <v>79.88</v>
      </c>
      <c r="F348" s="180">
        <v>80.069999999999993</v>
      </c>
      <c r="G348" s="180">
        <v>86.61</v>
      </c>
      <c r="H348" s="180">
        <v>88.62</v>
      </c>
    </row>
    <row r="349" spans="2:8" ht="15.75" thickBot="1">
      <c r="B349" s="182" t="s">
        <v>432</v>
      </c>
      <c r="C349" s="183">
        <v>91.77</v>
      </c>
      <c r="D349" s="183">
        <v>87.67</v>
      </c>
      <c r="E349" s="183">
        <v>83.75</v>
      </c>
      <c r="F349" s="183">
        <v>81.36</v>
      </c>
      <c r="G349" s="183">
        <v>88.32</v>
      </c>
      <c r="H349" s="183">
        <v>88.26</v>
      </c>
    </row>
    <row r="350" spans="2:8">
      <c r="B350" t="s">
        <v>433</v>
      </c>
      <c r="C350" s="185">
        <v>89.02</v>
      </c>
      <c r="D350" s="185">
        <v>83.93</v>
      </c>
      <c r="E350" s="185">
        <v>80.37</v>
      </c>
      <c r="F350" s="185">
        <v>77.959999999999994</v>
      </c>
      <c r="G350" s="185">
        <v>84.65</v>
      </c>
      <c r="H350" s="185">
        <v>85.91</v>
      </c>
    </row>
    <row r="351" spans="2:8">
      <c r="B351" t="s">
        <v>434</v>
      </c>
      <c r="C351" s="186">
        <v>425</v>
      </c>
      <c r="D351" s="186">
        <v>1125</v>
      </c>
      <c r="E351" s="186">
        <v>1198</v>
      </c>
      <c r="F351" s="186">
        <v>412</v>
      </c>
      <c r="G351" s="186">
        <v>791</v>
      </c>
      <c r="H351" s="186">
        <v>719</v>
      </c>
    </row>
    <row r="352" spans="2:8">
      <c r="B352" t="s">
        <v>435</v>
      </c>
      <c r="C352" s="187">
        <v>83.99</v>
      </c>
      <c r="D352" s="187">
        <v>78.19</v>
      </c>
      <c r="E352" s="187">
        <v>76.42</v>
      </c>
      <c r="F352" s="187">
        <v>76.36</v>
      </c>
      <c r="G352" s="187">
        <v>80.75</v>
      </c>
      <c r="H352" s="187">
        <v>84.02</v>
      </c>
    </row>
    <row r="353" spans="2:8">
      <c r="B353" t="s">
        <v>436</v>
      </c>
      <c r="C353" s="188">
        <v>305</v>
      </c>
      <c r="D353" s="188">
        <v>1135</v>
      </c>
      <c r="E353" s="188">
        <v>1202</v>
      </c>
      <c r="F353" s="188">
        <v>481</v>
      </c>
      <c r="G353" s="188">
        <v>715</v>
      </c>
      <c r="H353" s="188">
        <v>773</v>
      </c>
    </row>
    <row r="354" spans="2:8" ht="22.5">
      <c r="B354" t="s">
        <v>437</v>
      </c>
      <c r="C354" s="189" t="s">
        <v>281</v>
      </c>
      <c r="D354" s="189" t="s">
        <v>282</v>
      </c>
      <c r="E354" s="189" t="s">
        <v>283</v>
      </c>
      <c r="F354" s="189" t="s">
        <v>284</v>
      </c>
      <c r="G354" s="189" t="s">
        <v>285</v>
      </c>
      <c r="H354" s="189" t="s">
        <v>286</v>
      </c>
    </row>
    <row r="355" spans="2:8">
      <c r="B355" t="s">
        <v>18</v>
      </c>
      <c r="C355" s="185">
        <v>82.91</v>
      </c>
      <c r="D355" s="185">
        <v>82.91</v>
      </c>
      <c r="E355" s="185">
        <v>82.91</v>
      </c>
      <c r="F355" s="185">
        <v>82.91</v>
      </c>
      <c r="G355" s="185">
        <v>82.91</v>
      </c>
      <c r="H355" s="185">
        <v>82.91</v>
      </c>
    </row>
    <row r="356" spans="2:8">
      <c r="B356" t="s">
        <v>438</v>
      </c>
      <c r="C356" s="190">
        <v>90.59</v>
      </c>
      <c r="D356" s="190">
        <v>84.53</v>
      </c>
      <c r="E356" s="190">
        <v>80.75</v>
      </c>
      <c r="F356" s="190">
        <v>79.08</v>
      </c>
      <c r="G356" s="190">
        <v>86.71</v>
      </c>
      <c r="H356" s="190">
        <v>89.28</v>
      </c>
    </row>
    <row r="405" spans="2:16" ht="15.75" thickBot="1">
      <c r="B405" s="172" t="s">
        <v>171</v>
      </c>
      <c r="C405" s="170">
        <v>70.28</v>
      </c>
      <c r="D405" s="170">
        <v>93.52</v>
      </c>
      <c r="E405" s="170">
        <v>81.7</v>
      </c>
      <c r="F405" s="170">
        <v>85.8</v>
      </c>
      <c r="G405" s="170">
        <v>86.78</v>
      </c>
      <c r="H405" s="170">
        <v>83.81</v>
      </c>
      <c r="I405" s="170">
        <v>96.24</v>
      </c>
      <c r="J405" s="170">
        <v>90.49</v>
      </c>
      <c r="K405" s="170">
        <v>78.42</v>
      </c>
      <c r="L405" s="170">
        <v>89.17</v>
      </c>
      <c r="M405" s="170">
        <v>84.63</v>
      </c>
      <c r="N405" s="170">
        <v>81.78</v>
      </c>
      <c r="O405" s="170" t="s">
        <v>245</v>
      </c>
      <c r="P405" s="170">
        <v>97.14</v>
      </c>
    </row>
    <row r="406" spans="2:16" ht="15.75" thickBot="1">
      <c r="B406" s="173" t="s">
        <v>172</v>
      </c>
      <c r="C406" s="174">
        <v>62.23</v>
      </c>
      <c r="D406" s="174">
        <v>94.29</v>
      </c>
      <c r="E406" s="174">
        <v>80.44</v>
      </c>
      <c r="F406" s="174">
        <v>83.68</v>
      </c>
      <c r="G406" s="174">
        <v>81.459999999999994</v>
      </c>
      <c r="H406" s="174">
        <v>84.28</v>
      </c>
      <c r="I406" s="174">
        <v>91.48</v>
      </c>
      <c r="J406" s="174">
        <v>90.16</v>
      </c>
      <c r="K406" s="174">
        <v>79.81</v>
      </c>
      <c r="L406" s="174">
        <v>87.3</v>
      </c>
      <c r="M406" s="174">
        <v>79.87</v>
      </c>
      <c r="N406" s="174">
        <v>83.85</v>
      </c>
      <c r="O406" s="174" t="s">
        <v>245</v>
      </c>
      <c r="P406" s="174">
        <v>95.38</v>
      </c>
    </row>
    <row r="407" spans="2:16" ht="15.75" thickBot="1">
      <c r="B407" s="176" t="s">
        <v>170</v>
      </c>
      <c r="C407" s="177">
        <v>67.959999999999994</v>
      </c>
      <c r="D407" s="177">
        <v>91.07</v>
      </c>
      <c r="E407" s="177">
        <v>74.040000000000006</v>
      </c>
      <c r="F407" s="177">
        <v>74.45</v>
      </c>
      <c r="G407" s="177">
        <v>78.72</v>
      </c>
      <c r="H407" s="177">
        <v>76.58</v>
      </c>
      <c r="I407" s="177">
        <v>81.349999999999994</v>
      </c>
      <c r="J407" s="177">
        <v>80.63</v>
      </c>
      <c r="K407" s="177">
        <v>70.56</v>
      </c>
      <c r="L407" s="177">
        <v>81.760000000000005</v>
      </c>
      <c r="M407" s="177">
        <v>76.849999999999994</v>
      </c>
      <c r="N407" s="177">
        <v>73.540000000000006</v>
      </c>
      <c r="O407" s="177" t="s">
        <v>245</v>
      </c>
      <c r="P407" s="177">
        <v>85</v>
      </c>
    </row>
    <row r="408" spans="2:16" ht="15.75" thickBot="1">
      <c r="B408" s="179" t="s">
        <v>431</v>
      </c>
      <c r="C408" s="180">
        <v>72.989999999999995</v>
      </c>
      <c r="D408" s="180">
        <v>99.04</v>
      </c>
      <c r="E408" s="180">
        <v>80</v>
      </c>
      <c r="F408" s="180">
        <v>84.75</v>
      </c>
      <c r="G408" s="180">
        <v>83.95</v>
      </c>
      <c r="H408" s="180">
        <v>89.61</v>
      </c>
      <c r="I408" s="180">
        <v>93.45</v>
      </c>
      <c r="J408" s="180">
        <v>88.73</v>
      </c>
      <c r="K408" s="180">
        <v>76.319999999999993</v>
      </c>
      <c r="L408" s="180">
        <v>90.11</v>
      </c>
      <c r="M408" s="180">
        <v>80.97</v>
      </c>
      <c r="N408" s="180">
        <v>81.84</v>
      </c>
      <c r="O408" s="180" t="s">
        <v>245</v>
      </c>
      <c r="P408" s="180">
        <v>96.25</v>
      </c>
    </row>
    <row r="409" spans="2:16" ht="15.75" thickBot="1">
      <c r="B409" s="182" t="s">
        <v>432</v>
      </c>
      <c r="C409" s="183">
        <v>60.71</v>
      </c>
      <c r="D409" s="183">
        <v>98.57</v>
      </c>
      <c r="E409" s="183">
        <v>79.77</v>
      </c>
      <c r="F409" s="183">
        <v>87.66</v>
      </c>
      <c r="G409" s="183">
        <v>86.3</v>
      </c>
      <c r="H409" s="183">
        <v>90.11</v>
      </c>
      <c r="I409" s="183">
        <v>93.76</v>
      </c>
      <c r="J409" s="183">
        <v>92.57</v>
      </c>
      <c r="K409" s="183">
        <v>79.37</v>
      </c>
      <c r="L409" s="183">
        <v>91.39</v>
      </c>
      <c r="M409" s="183">
        <v>85.14</v>
      </c>
      <c r="N409" s="183">
        <v>86.85</v>
      </c>
      <c r="O409" s="183" t="s">
        <v>245</v>
      </c>
      <c r="P409" s="183">
        <v>91</v>
      </c>
    </row>
    <row r="410" spans="2:16">
      <c r="B410" t="s">
        <v>433</v>
      </c>
      <c r="C410" s="185">
        <v>66.8</v>
      </c>
      <c r="D410" s="185">
        <v>94.93</v>
      </c>
      <c r="E410" s="185">
        <v>79.16</v>
      </c>
      <c r="F410" s="185">
        <v>83.16</v>
      </c>
      <c r="G410" s="185">
        <v>83.39</v>
      </c>
      <c r="H410" s="185">
        <v>84.44</v>
      </c>
      <c r="I410" s="185">
        <v>91.35</v>
      </c>
      <c r="J410" s="185">
        <v>88.51</v>
      </c>
      <c r="K410" s="185">
        <v>77.03</v>
      </c>
      <c r="L410" s="185">
        <v>87.77</v>
      </c>
      <c r="M410" s="185">
        <v>81.510000000000005</v>
      </c>
      <c r="N410" s="185">
        <v>81.52</v>
      </c>
      <c r="O410" s="185" t="s">
        <v>245</v>
      </c>
      <c r="P410" s="185">
        <v>93.1</v>
      </c>
    </row>
    <row r="411" spans="2:16">
      <c r="B411" t="s">
        <v>434</v>
      </c>
      <c r="C411" s="186">
        <v>8</v>
      </c>
      <c r="D411" s="186">
        <v>14</v>
      </c>
      <c r="E411" s="186">
        <v>41</v>
      </c>
      <c r="F411" s="186">
        <v>199</v>
      </c>
      <c r="G411" s="186">
        <v>2612</v>
      </c>
      <c r="H411" s="186">
        <v>95</v>
      </c>
      <c r="I411" s="186">
        <v>21</v>
      </c>
      <c r="J411" s="186">
        <v>170</v>
      </c>
      <c r="K411" s="186">
        <v>102</v>
      </c>
      <c r="L411" s="186">
        <v>60</v>
      </c>
      <c r="M411" s="186">
        <v>1478</v>
      </c>
      <c r="N411" s="186">
        <v>73</v>
      </c>
      <c r="O411" s="186">
        <v>3</v>
      </c>
      <c r="P411" s="186">
        <v>10</v>
      </c>
    </row>
    <row r="412" spans="2:16">
      <c r="B412" t="s">
        <v>435</v>
      </c>
      <c r="C412" s="187">
        <v>71.709999999999994</v>
      </c>
      <c r="D412" s="187">
        <v>94.66</v>
      </c>
      <c r="E412" s="187">
        <v>78.58</v>
      </c>
      <c r="F412" s="187">
        <v>74.38</v>
      </c>
      <c r="G412" s="187">
        <v>80.41</v>
      </c>
      <c r="H412" s="187">
        <v>84.16</v>
      </c>
      <c r="I412" s="187" t="s">
        <v>245</v>
      </c>
      <c r="J412" s="187">
        <v>87.49</v>
      </c>
      <c r="K412" s="187">
        <v>80.099999999999994</v>
      </c>
      <c r="L412" s="187">
        <v>77.22</v>
      </c>
      <c r="M412" s="187">
        <v>75.45</v>
      </c>
      <c r="N412" s="187">
        <v>82.2</v>
      </c>
      <c r="O412" s="187" t="s">
        <v>245</v>
      </c>
      <c r="P412" s="187">
        <v>91.82</v>
      </c>
    </row>
    <row r="413" spans="2:16">
      <c r="B413" t="s">
        <v>436</v>
      </c>
      <c r="C413" s="188">
        <v>22</v>
      </c>
      <c r="D413" s="188">
        <v>10</v>
      </c>
      <c r="E413" s="188">
        <v>47</v>
      </c>
      <c r="F413" s="188">
        <v>187</v>
      </c>
      <c r="G413" s="188">
        <v>2535</v>
      </c>
      <c r="H413" s="188">
        <v>89</v>
      </c>
      <c r="I413" s="188" t="s">
        <v>11</v>
      </c>
      <c r="J413" s="188">
        <v>159</v>
      </c>
      <c r="K413" s="188">
        <v>99</v>
      </c>
      <c r="L413" s="188">
        <v>55</v>
      </c>
      <c r="M413" s="188">
        <v>1432</v>
      </c>
      <c r="N413" s="188">
        <v>77</v>
      </c>
      <c r="O413" s="188">
        <v>5</v>
      </c>
      <c r="P413" s="188">
        <v>11</v>
      </c>
    </row>
    <row r="414" spans="2:16" ht="33.75">
      <c r="B414" t="s">
        <v>437</v>
      </c>
      <c r="C414" s="189" t="s">
        <v>287</v>
      </c>
      <c r="D414" s="189" t="s">
        <v>288</v>
      </c>
      <c r="E414" s="189" t="s">
        <v>289</v>
      </c>
      <c r="F414" s="189" t="s">
        <v>290</v>
      </c>
      <c r="G414" s="189" t="s">
        <v>291</v>
      </c>
      <c r="H414" s="189" t="s">
        <v>292</v>
      </c>
      <c r="I414" s="189" t="s">
        <v>293</v>
      </c>
      <c r="J414" s="189" t="s">
        <v>294</v>
      </c>
      <c r="K414" s="189" t="s">
        <v>295</v>
      </c>
      <c r="L414" s="189" t="s">
        <v>296</v>
      </c>
      <c r="M414" s="189" t="s">
        <v>297</v>
      </c>
      <c r="N414" s="189" t="s">
        <v>298</v>
      </c>
      <c r="O414" s="189" t="s">
        <v>299</v>
      </c>
      <c r="P414" s="189" t="s">
        <v>300</v>
      </c>
    </row>
    <row r="415" spans="2:16">
      <c r="B415" t="s">
        <v>18</v>
      </c>
      <c r="C415" s="185">
        <v>82.91</v>
      </c>
      <c r="D415" s="185">
        <v>82.91</v>
      </c>
      <c r="E415" s="185">
        <v>82.91</v>
      </c>
      <c r="F415" s="185">
        <v>82.91</v>
      </c>
      <c r="G415" s="185">
        <v>82.91</v>
      </c>
      <c r="H415" s="185">
        <v>82.91</v>
      </c>
      <c r="I415" s="185">
        <v>82.91</v>
      </c>
      <c r="J415" s="185">
        <v>82.91</v>
      </c>
      <c r="K415" s="185">
        <v>82.91</v>
      </c>
      <c r="L415" s="185">
        <v>82.91</v>
      </c>
      <c r="M415" s="185">
        <v>82.91</v>
      </c>
      <c r="N415" s="185">
        <v>82.91</v>
      </c>
      <c r="O415" s="185">
        <v>82.91</v>
      </c>
      <c r="P415" s="185">
        <v>82.91</v>
      </c>
    </row>
    <row r="416" spans="2:16">
      <c r="B416" t="s">
        <v>438</v>
      </c>
      <c r="C416" s="190">
        <v>75</v>
      </c>
      <c r="D416" s="190">
        <v>100</v>
      </c>
      <c r="E416" s="190">
        <v>75.61</v>
      </c>
      <c r="F416" s="190">
        <v>86.36</v>
      </c>
      <c r="G416" s="190">
        <v>83.41</v>
      </c>
      <c r="H416" s="190">
        <v>91.58</v>
      </c>
      <c r="I416" s="190">
        <v>100</v>
      </c>
      <c r="J416" s="190">
        <v>91.12</v>
      </c>
      <c r="K416" s="190">
        <v>81.37</v>
      </c>
      <c r="L416" s="190">
        <v>91.53</v>
      </c>
      <c r="M416" s="190">
        <v>83.23</v>
      </c>
      <c r="N416" s="190">
        <v>87.67</v>
      </c>
      <c r="O416" s="190" t="s">
        <v>245</v>
      </c>
      <c r="P416" s="190">
        <v>100</v>
      </c>
    </row>
    <row r="465" spans="2:6" ht="15.75" thickBot="1">
      <c r="B465" s="172" t="s">
        <v>171</v>
      </c>
      <c r="C465" s="170">
        <v>92.06</v>
      </c>
      <c r="D465" s="170">
        <v>82.99</v>
      </c>
      <c r="E465" s="170">
        <v>73.010000000000005</v>
      </c>
      <c r="F465" s="170">
        <v>58.22</v>
      </c>
    </row>
    <row r="466" spans="2:6" ht="15.75" thickBot="1">
      <c r="B466" s="173" t="s">
        <v>172</v>
      </c>
      <c r="C466" s="174">
        <v>87.65</v>
      </c>
      <c r="D466" s="174">
        <v>78.34</v>
      </c>
      <c r="E466" s="174">
        <v>69.09</v>
      </c>
      <c r="F466" s="174">
        <v>54.71</v>
      </c>
    </row>
    <row r="467" spans="2:6" ht="15.75" thickBot="1">
      <c r="B467" s="176" t="s">
        <v>170</v>
      </c>
      <c r="C467" s="177">
        <v>83.2</v>
      </c>
      <c r="D467" s="177">
        <v>74.31</v>
      </c>
      <c r="E467" s="177">
        <v>66.7</v>
      </c>
      <c r="F467" s="177">
        <v>56.94</v>
      </c>
    </row>
    <row r="468" spans="2:6" ht="15.75" thickBot="1">
      <c r="B468" s="179" t="s">
        <v>431</v>
      </c>
      <c r="C468" s="180">
        <v>87.6</v>
      </c>
      <c r="D468" s="180">
        <v>81.8</v>
      </c>
      <c r="E468" s="180">
        <v>71.7</v>
      </c>
      <c r="F468" s="180">
        <v>66.19</v>
      </c>
    </row>
    <row r="469" spans="2:6" ht="15.75" thickBot="1">
      <c r="B469" s="182" t="s">
        <v>432</v>
      </c>
      <c r="C469" s="183">
        <v>90.98</v>
      </c>
      <c r="D469" s="183">
        <v>84.03</v>
      </c>
      <c r="E469" s="183">
        <v>75.88</v>
      </c>
      <c r="F469" s="183">
        <v>65.92</v>
      </c>
    </row>
    <row r="470" spans="2:6">
      <c r="B470" t="s">
        <v>433</v>
      </c>
      <c r="C470" s="185">
        <v>88.39</v>
      </c>
      <c r="D470" s="185">
        <v>80.150000000000006</v>
      </c>
      <c r="E470" s="185">
        <v>71.099999999999994</v>
      </c>
      <c r="F470" s="185">
        <v>59.77</v>
      </c>
    </row>
    <row r="471" spans="2:6">
      <c r="B471" t="s">
        <v>434</v>
      </c>
      <c r="C471" s="186">
        <v>2444</v>
      </c>
      <c r="D471" s="186">
        <v>1088</v>
      </c>
      <c r="E471" s="186">
        <v>501</v>
      </c>
      <c r="F471" s="186">
        <v>116</v>
      </c>
    </row>
    <row r="472" spans="2:6">
      <c r="B472" t="s">
        <v>435</v>
      </c>
      <c r="C472" s="187">
        <v>84.86</v>
      </c>
      <c r="D472" s="187">
        <v>74.510000000000005</v>
      </c>
      <c r="E472" s="187">
        <v>66.599999999999994</v>
      </c>
      <c r="F472" s="187">
        <v>55.18</v>
      </c>
    </row>
    <row r="473" spans="2:6">
      <c r="B473" t="s">
        <v>436</v>
      </c>
      <c r="C473" s="188">
        <v>2773</v>
      </c>
      <c r="D473" s="188">
        <v>1087</v>
      </c>
      <c r="E473" s="188">
        <v>595</v>
      </c>
      <c r="F473" s="188">
        <v>110</v>
      </c>
    </row>
    <row r="474" spans="2:6">
      <c r="B474" t="s">
        <v>437</v>
      </c>
      <c r="C474" s="189" t="s">
        <v>239</v>
      </c>
      <c r="D474" s="189" t="s">
        <v>240</v>
      </c>
      <c r="E474" s="189" t="s">
        <v>241</v>
      </c>
      <c r="F474" s="189" t="s">
        <v>242</v>
      </c>
    </row>
    <row r="475" spans="2:6">
      <c r="B475" t="s">
        <v>18</v>
      </c>
      <c r="C475" s="185">
        <v>82.91</v>
      </c>
      <c r="D475" s="185">
        <v>82.91</v>
      </c>
      <c r="E475" s="185">
        <v>82.91</v>
      </c>
      <c r="F475" s="185">
        <v>82.91</v>
      </c>
    </row>
    <row r="476" spans="2:6">
      <c r="B476" t="s">
        <v>438</v>
      </c>
      <c r="C476" s="190">
        <v>89.51</v>
      </c>
      <c r="D476" s="190">
        <v>82.26</v>
      </c>
      <c r="E476" s="190">
        <v>70.599999999999994</v>
      </c>
      <c r="F476" s="190">
        <v>68.099999999999994</v>
      </c>
    </row>
    <row r="525" spans="2:7" ht="15.75" thickBot="1">
      <c r="B525" s="172" t="s">
        <v>171</v>
      </c>
      <c r="C525" s="170">
        <v>88.46</v>
      </c>
      <c r="D525" s="170">
        <v>81.81</v>
      </c>
      <c r="E525" s="170">
        <v>69.47</v>
      </c>
      <c r="F525" s="170">
        <v>90.75</v>
      </c>
      <c r="G525" s="170">
        <v>71.900000000000006</v>
      </c>
    </row>
    <row r="526" spans="2:7" ht="15.75" thickBot="1">
      <c r="B526" s="173" t="s">
        <v>172</v>
      </c>
      <c r="C526" s="174">
        <v>84.45</v>
      </c>
      <c r="D526" s="174">
        <v>75.67</v>
      </c>
      <c r="E526" s="174">
        <v>62.34</v>
      </c>
      <c r="F526" s="174">
        <v>87.24</v>
      </c>
      <c r="G526" s="174">
        <v>66.099999999999994</v>
      </c>
    </row>
    <row r="527" spans="2:7" ht="15.75" thickBot="1">
      <c r="B527" s="176" t="s">
        <v>170</v>
      </c>
      <c r="C527" s="177">
        <v>79.25</v>
      </c>
      <c r="D527" s="177">
        <v>73.47</v>
      </c>
      <c r="E527" s="177">
        <v>59.43</v>
      </c>
      <c r="F527" s="177">
        <v>82.97</v>
      </c>
      <c r="G527" s="177">
        <v>62.41</v>
      </c>
    </row>
    <row r="528" spans="2:7" ht="15.75" thickBot="1">
      <c r="B528" s="179" t="s">
        <v>431</v>
      </c>
      <c r="C528" s="180">
        <v>84.85</v>
      </c>
      <c r="D528" s="180">
        <v>75.930000000000007</v>
      </c>
      <c r="E528" s="180">
        <v>67.13</v>
      </c>
      <c r="F528" s="180">
        <v>89.76</v>
      </c>
      <c r="G528" s="180">
        <v>66.989999999999995</v>
      </c>
    </row>
    <row r="529" spans="2:7" ht="15.75" thickBot="1">
      <c r="B529" s="182" t="s">
        <v>432</v>
      </c>
      <c r="C529" s="183">
        <v>88.44</v>
      </c>
      <c r="D529" s="183">
        <v>81.05</v>
      </c>
      <c r="E529" s="183">
        <v>68.94</v>
      </c>
      <c r="F529" s="183">
        <v>91.63</v>
      </c>
      <c r="G529" s="183">
        <v>70.739999999999995</v>
      </c>
    </row>
    <row r="530" spans="2:7">
      <c r="B530" t="s">
        <v>433</v>
      </c>
      <c r="C530" s="185">
        <v>85.13</v>
      </c>
      <c r="D530" s="185">
        <v>77.69</v>
      </c>
      <c r="E530" s="185">
        <v>65.31</v>
      </c>
      <c r="F530" s="185">
        <v>88.38</v>
      </c>
      <c r="G530" s="185">
        <v>67.58</v>
      </c>
    </row>
    <row r="531" spans="2:7">
      <c r="B531" t="s">
        <v>434</v>
      </c>
      <c r="C531" s="186">
        <v>680</v>
      </c>
      <c r="D531" s="186">
        <v>940</v>
      </c>
      <c r="E531" s="186">
        <v>101</v>
      </c>
      <c r="F531" s="186">
        <v>1993</v>
      </c>
      <c r="G531" s="186">
        <v>218</v>
      </c>
    </row>
    <row r="532" spans="2:7">
      <c r="B532" t="s">
        <v>435</v>
      </c>
      <c r="C532" s="187">
        <v>80.739999999999995</v>
      </c>
      <c r="D532" s="187">
        <v>74.11</v>
      </c>
      <c r="E532" s="187">
        <v>60.51</v>
      </c>
      <c r="F532" s="187">
        <v>85.59</v>
      </c>
      <c r="G532" s="187">
        <v>59.82</v>
      </c>
    </row>
    <row r="533" spans="2:7">
      <c r="B533" t="s">
        <v>436</v>
      </c>
      <c r="C533" s="188">
        <v>764</v>
      </c>
      <c r="D533" s="188">
        <v>1235</v>
      </c>
      <c r="E533" s="188">
        <v>132</v>
      </c>
      <c r="F533" s="188">
        <v>2149</v>
      </c>
      <c r="G533" s="188">
        <v>297</v>
      </c>
    </row>
    <row r="534" spans="2:7" ht="67.5">
      <c r="B534" t="s">
        <v>437</v>
      </c>
      <c r="C534" s="189" t="s">
        <v>301</v>
      </c>
      <c r="D534" s="189" t="s">
        <v>302</v>
      </c>
      <c r="E534" s="189" t="s">
        <v>303</v>
      </c>
      <c r="F534" s="189" t="s">
        <v>304</v>
      </c>
      <c r="G534" s="189" t="s">
        <v>305</v>
      </c>
    </row>
    <row r="535" spans="2:7">
      <c r="B535" t="s">
        <v>18</v>
      </c>
      <c r="C535" s="185">
        <v>82.91</v>
      </c>
      <c r="D535" s="185">
        <v>82.91</v>
      </c>
      <c r="E535" s="185">
        <v>82.91</v>
      </c>
      <c r="F535" s="185">
        <v>82.91</v>
      </c>
      <c r="G535" s="185">
        <v>82.91</v>
      </c>
    </row>
    <row r="536" spans="2:7">
      <c r="B536" t="s">
        <v>438</v>
      </c>
      <c r="C536" s="190">
        <v>87.3</v>
      </c>
      <c r="D536" s="190">
        <v>77.290000000000006</v>
      </c>
      <c r="E536" s="190">
        <v>65.349999999999994</v>
      </c>
      <c r="F536" s="190">
        <v>91.62</v>
      </c>
      <c r="G536" s="190">
        <v>61.47</v>
      </c>
    </row>
    <row r="585" spans="2:6" ht="15.75" thickBot="1">
      <c r="B585" s="172" t="s">
        <v>171</v>
      </c>
      <c r="C585" s="170">
        <v>93.66</v>
      </c>
      <c r="D585" s="170">
        <v>88.03</v>
      </c>
      <c r="E585" s="170">
        <v>82.62</v>
      </c>
      <c r="F585" s="170">
        <v>65.010000000000005</v>
      </c>
    </row>
    <row r="586" spans="2:6" ht="15.75" thickBot="1">
      <c r="B586" s="173" t="s">
        <v>172</v>
      </c>
      <c r="C586" s="174">
        <v>89.83</v>
      </c>
      <c r="D586" s="174">
        <v>83.54</v>
      </c>
      <c r="E586" s="174">
        <v>77.73</v>
      </c>
      <c r="F586" s="174">
        <v>61.02</v>
      </c>
    </row>
    <row r="587" spans="2:6" ht="15.75" thickBot="1">
      <c r="B587" s="176" t="s">
        <v>170</v>
      </c>
      <c r="C587" s="177">
        <v>85.29</v>
      </c>
      <c r="D587" s="177">
        <v>79.36</v>
      </c>
      <c r="E587" s="177">
        <v>73.209999999999994</v>
      </c>
      <c r="F587" s="177">
        <v>61.49</v>
      </c>
    </row>
    <row r="588" spans="2:6" ht="15.75" thickBot="1">
      <c r="B588" s="179" t="s">
        <v>431</v>
      </c>
      <c r="C588" s="180">
        <v>89.45</v>
      </c>
      <c r="D588" s="180">
        <v>84.49</v>
      </c>
      <c r="E588" s="180">
        <v>80.319999999999993</v>
      </c>
      <c r="F588" s="180">
        <v>67.36</v>
      </c>
    </row>
    <row r="589" spans="2:6" ht="15.75" thickBot="1">
      <c r="B589" s="182" t="s">
        <v>432</v>
      </c>
      <c r="C589" s="183">
        <v>93.27</v>
      </c>
      <c r="D589" s="183">
        <v>88.22</v>
      </c>
      <c r="E589" s="183">
        <v>84</v>
      </c>
      <c r="F589" s="183">
        <v>70.72</v>
      </c>
    </row>
    <row r="590" spans="2:6">
      <c r="B590" t="s">
        <v>433</v>
      </c>
      <c r="C590" s="185">
        <v>90.42</v>
      </c>
      <c r="D590" s="185">
        <v>84.77</v>
      </c>
      <c r="E590" s="185">
        <v>79.48</v>
      </c>
      <c r="F590" s="185">
        <v>64.67</v>
      </c>
    </row>
    <row r="591" spans="2:6">
      <c r="B591" t="s">
        <v>434</v>
      </c>
      <c r="C591" s="186">
        <v>789</v>
      </c>
      <c r="D591" s="186">
        <v>283</v>
      </c>
      <c r="E591" s="186">
        <v>450</v>
      </c>
      <c r="F591" s="186">
        <v>317</v>
      </c>
    </row>
    <row r="592" spans="2:6">
      <c r="B592" t="s">
        <v>435</v>
      </c>
      <c r="C592" s="187" t="s">
        <v>245</v>
      </c>
      <c r="D592" s="187" t="s">
        <v>245</v>
      </c>
      <c r="E592" s="187" t="s">
        <v>245</v>
      </c>
      <c r="F592" s="187" t="s">
        <v>245</v>
      </c>
    </row>
    <row r="593" spans="2:6">
      <c r="B593" t="s">
        <v>436</v>
      </c>
      <c r="C593" s="188" t="s">
        <v>11</v>
      </c>
      <c r="D593" s="188" t="s">
        <v>11</v>
      </c>
      <c r="E593" s="188" t="s">
        <v>11</v>
      </c>
      <c r="F593" s="188" t="s">
        <v>11</v>
      </c>
    </row>
    <row r="594" spans="2:6">
      <c r="B594" t="s">
        <v>437</v>
      </c>
      <c r="C594" s="189" t="s">
        <v>306</v>
      </c>
      <c r="D594" s="189" t="s">
        <v>240</v>
      </c>
      <c r="E594" s="189" t="s">
        <v>241</v>
      </c>
      <c r="F594" s="189" t="s">
        <v>242</v>
      </c>
    </row>
    <row r="595" spans="2:6">
      <c r="B595" t="s">
        <v>18</v>
      </c>
      <c r="C595" s="185">
        <v>82.91</v>
      </c>
      <c r="D595" s="185">
        <v>82.91</v>
      </c>
      <c r="E595" s="185">
        <v>82.91</v>
      </c>
      <c r="F595" s="185">
        <v>82.91</v>
      </c>
    </row>
    <row r="596" spans="2:6">
      <c r="B596" t="s">
        <v>438</v>
      </c>
      <c r="C596" s="190">
        <v>93.54</v>
      </c>
      <c r="D596" s="190">
        <v>87.99</v>
      </c>
      <c r="E596" s="190">
        <v>81.739999999999995</v>
      </c>
      <c r="F596" s="190">
        <v>63.29</v>
      </c>
    </row>
  </sheetData>
  <conditionalFormatting sqref="C45:C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45:D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45:E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45:F4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C105:G10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D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C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225:G22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285:L28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45:H34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N409 P405:P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"/>
  <sheetViews>
    <sheetView tabSelected="1" topLeftCell="A163" workbookViewId="0"/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2017-03-29T03:45:00Z</dcterms:modified>
</cp:coreProperties>
</file>