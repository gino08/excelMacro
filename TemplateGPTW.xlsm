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iqEvnu7k4WmVlGfVb4H/7xy+hnGf3+5+qeRpGb15keoDPHzsQlVOYueCv8EiKBc3KsR1m5vXD5OFm7/oMpXPvw==" workbookSaltValue="WIiBFwaypSgm0/YpbuSdpw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045" r:id="rId4"/>
    <sheet name="Cuadro de Mando Indicadores" sheetId="329" r:id="rId5"/>
    <sheet name="Cuadro de Mando PPT" sheetId="1123" r:id="rId6"/>
    <sheet name="Gráficos Demografías" sheetId="2046" r:id="rId7"/>
    <sheet name="Gráficos Indicadores" sheetId="2047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G60" i="3" s="1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G38" i="3" s="1"/>
  <c r="D38" i="3"/>
  <c r="C38" i="3"/>
  <c r="Q37" i="3"/>
  <c r="Q36" i="3"/>
  <c r="Q35" i="3"/>
  <c r="G35" i="3"/>
  <c r="F35" i="3"/>
  <c r="H35" i="3" s="1"/>
  <c r="E35" i="3"/>
  <c r="D35" i="3"/>
  <c r="C35" i="3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H23" i="3" s="1"/>
  <c r="E23" i="3"/>
  <c r="G23" i="3" s="1"/>
  <c r="D23" i="3"/>
  <c r="C23" i="3"/>
  <c r="Q22" i="3"/>
  <c r="Q21" i="3"/>
  <c r="F21" i="3"/>
  <c r="H21" i="3" s="1"/>
  <c r="E21" i="3"/>
  <c r="G21" i="3" s="1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H6" i="3" s="1"/>
  <c r="E6" i="3"/>
  <c r="G6" i="3" s="1"/>
  <c r="D6" i="3"/>
  <c r="C6" i="3"/>
  <c r="Q5" i="3"/>
  <c r="Q4" i="3"/>
  <c r="Q3" i="3"/>
  <c r="Q2" i="3"/>
  <c r="H2" i="3"/>
  <c r="G2" i="3"/>
  <c r="F2" i="3"/>
  <c r="E2" i="3"/>
  <c r="D2" i="3"/>
  <c r="C2" i="3"/>
  <c r="G44" i="3" l="1"/>
  <c r="G46" i="3"/>
  <c r="G48" i="3"/>
  <c r="G12" i="3"/>
  <c r="BQ20" i="2" l="1"/>
  <c r="BP20" i="2"/>
  <c r="BO20" i="2"/>
  <c r="BN20" i="2"/>
  <c r="BM20" i="2"/>
  <c r="BM19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Q17" i="2"/>
  <c r="BP17" i="2"/>
  <c r="BN17" i="2"/>
  <c r="BJ17" i="2"/>
  <c r="BH17" i="2"/>
  <c r="BF17" i="2"/>
  <c r="AY17" i="2"/>
  <c r="AX17" i="2"/>
  <c r="AV17" i="2"/>
  <c r="AP17" i="2"/>
  <c r="AO17" i="2"/>
  <c r="AM17" i="2"/>
  <c r="AF17" i="2"/>
  <c r="M17" i="2"/>
  <c r="BS16" i="2"/>
  <c r="BV17" i="2" s="1"/>
  <c r="BM16" i="2"/>
  <c r="BO17" i="2" s="1"/>
  <c r="BH16" i="2"/>
  <c r="BK17" i="2" s="1"/>
  <c r="AS16" i="2"/>
  <c r="BE17" i="2" s="1"/>
  <c r="AL16" i="2"/>
  <c r="AN17" i="2" s="1"/>
  <c r="AA16" i="2"/>
  <c r="AE17" i="2" s="1"/>
  <c r="U16" i="2"/>
  <c r="V17" i="2" s="1"/>
  <c r="R16" i="2"/>
  <c r="S17" i="2" s="1"/>
  <c r="L16" i="2"/>
  <c r="L17" i="2" s="1"/>
  <c r="X17" i="2" l="1"/>
  <c r="O17" i="2"/>
  <c r="Y17" i="2"/>
  <c r="AH17" i="2"/>
  <c r="AQ17" i="2"/>
  <c r="AZ17" i="2"/>
  <c r="BI17" i="2"/>
  <c r="BS17" i="2"/>
  <c r="W17" i="2"/>
  <c r="N17" i="2"/>
  <c r="AA17" i="2"/>
  <c r="AS17" i="2"/>
  <c r="BT17" i="2"/>
  <c r="R17" i="2"/>
  <c r="AB17" i="2"/>
  <c r="AJ17" i="2"/>
  <c r="AT17" i="2"/>
  <c r="BB17" i="2"/>
  <c r="BU17" i="2"/>
  <c r="AG17" i="2"/>
  <c r="P17" i="2"/>
  <c r="AI17" i="2"/>
  <c r="BA17" i="2"/>
  <c r="AC17" i="2"/>
  <c r="AL17" i="2"/>
  <c r="AU17" i="2"/>
  <c r="BC17" i="2"/>
  <c r="BM17" i="2"/>
  <c r="U17" i="2"/>
  <c r="AD17" i="2"/>
  <c r="BD17" i="2"/>
  <c r="AW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<sst xmlns="http://schemas.openxmlformats.org/spreadsheetml/2006/main" count="1606" uniqueCount="500">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</sst>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  <font>
      <b/>
      <sz val="16"/>
      <color theme="9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6"/>
      <name val="Calibri"/>
      <family val="2"/>
      <scheme val="minor"/>
    </font>
    <font>
      <b/>
      <sz val="16"/>
      <color theme="7"/>
      <name val="Calibri"/>
      <family val="2"/>
      <scheme val="minor"/>
    </font>
    <font>
      <sz val="14"/>
      <color indexed="8"/>
      <name val="Arial"/>
      <family val="2"/>
    </font>
    <font>
      <sz val="8"/>
      <name val="Segoe UI"/>
      <family val="2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medium">
        <color rgb="FF612141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48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29" borderId="77" xfId="0" applyFill="1" applyBorder="1" applyAlignment="1">
      <alignment horizontal="center" vertical="center" wrapText="1"/>
    </xf>
    <xf numFmtId="0" fontId="0" fillId="29" borderId="0" xfId="0" applyFill="1" applyAlignment="1">
      <alignment horizontal="center" vertical="center" wrapText="1"/>
    </xf>
    <xf numFmtId="0" fontId="0" fillId="29" borderId="79" xfId="0" applyFill="1" applyBorder="1" applyAlignment="1">
      <alignment horizontal="center" vertical="center" wrapText="1"/>
    </xf>
    <xf numFmtId="0" fontId="0" fillId="29" borderId="81" xfId="0" applyFill="1" applyBorder="1" applyAlignment="1">
      <alignment horizontal="center" vertical="center" wrapText="1"/>
    </xf>
    <xf numFmtId="0" fontId="49" fillId="0" borderId="0" xfId="0" applyFont="1" applyAlignment="1">
      <alignment vertical="center" wrapText="1"/>
    </xf>
    <xf numFmtId="0" fontId="49" fillId="0" borderId="78" xfId="0" applyFont="1" applyBorder="1" applyAlignment="1">
      <alignment vertical="center" wrapText="1"/>
    </xf>
    <xf numFmtId="0" fontId="52" fillId="29" borderId="0" xfId="0" applyFont="1" applyFill="1" applyAlignment="1">
      <alignment vertical="center" wrapText="1"/>
    </xf>
    <xf numFmtId="0" fontId="52" fillId="29" borderId="79" xfId="0" applyFont="1" applyFill="1" applyBorder="1" applyAlignment="1">
      <alignment vertical="center" wrapText="1"/>
    </xf>
    <xf numFmtId="0" fontId="55" fillId="0" borderId="0" xfId="0" applyFont="1" applyAlignment="1">
      <alignment vertical="center" wrapText="1"/>
    </xf>
    <xf numFmtId="0" fontId="55" fillId="0" borderId="80" xfId="0" applyFont="1" applyBorder="1" applyAlignment="1">
      <alignment vertical="center" wrapText="1"/>
    </xf>
    <xf numFmtId="0" fontId="58" fillId="29" borderId="0" xfId="0" applyFont="1" applyFill="1" applyAlignment="1">
      <alignment vertical="center" wrapText="1"/>
    </xf>
    <xf numFmtId="0" fontId="58" fillId="29" borderId="81" xfId="0" applyFont="1" applyFill="1" applyBorder="1" applyAlignment="1">
      <alignment vertical="center" wrapText="1"/>
    </xf>
    <xf numFmtId="0" fontId="61" fillId="0" borderId="0" xfId="0" applyFont="1" applyAlignment="1">
      <alignment vertical="center" wrapText="1"/>
    </xf>
    <xf numFmtId="0" fontId="61" fillId="0" borderId="81" xfId="0" applyFont="1" applyBorder="1" applyAlignment="1">
      <alignment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29" borderId="77" xfId="0" applyFill="1" applyBorder="1" applyAlignment="1">
      <alignment vertical="center" wrapText="1"/>
    </xf>
    <xf numFmtId="0" fontId="64" fillId="0" borderId="75" xfId="0" applyFont="1" applyBorder="1"/>
    <xf numFmtId="0" fontId="65" fillId="0" borderId="75" xfId="0" applyFont="1" applyBorder="1"/>
    <xf numFmtId="0" fontId="66" fillId="0" borderId="75" xfId="0" applyFont="1" applyBorder="1"/>
    <xf numFmtId="0" fontId="67" fillId="0" borderId="75" xfId="0" applyFont="1" applyBorder="1"/>
    <xf numFmtId="0" fontId="68" fillId="0" borderId="76" xfId="0" applyFont="1" applyBorder="1"/>
    <xf numFmtId="1" fontId="69" fillId="0" borderId="75" xfId="0" applyNumberFormat="1" applyFont="1" applyFill="1" applyBorder="1" applyAlignment="1">
      <alignment horizontal="center" vertical="center" wrapText="1"/>
    </xf>
    <xf numFmtId="1" fontId="69" fillId="0" borderId="76" xfId="0" applyNumberFormat="1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59" fillId="29" borderId="85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81" xfId="0" applyFont="1" applyBorder="1" applyAlignment="1">
      <alignment horizontal="center" vertical="center" wrapText="1"/>
    </xf>
    <xf numFmtId="0" fontId="60" fillId="29" borderId="85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81" xfId="0" applyFont="1" applyBorder="1" applyAlignment="1">
      <alignment horizontal="left" vertical="center" wrapText="1"/>
    </xf>
    <xf numFmtId="0" fontId="62" fillId="0" borderId="86" xfId="0" applyFont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81" xfId="0" applyFont="1" applyBorder="1" applyAlignment="1">
      <alignment horizontal="center" vertical="center" wrapText="1"/>
    </xf>
    <xf numFmtId="0" fontId="63" fillId="0" borderId="86" xfId="0" applyFont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81" xfId="0" applyFont="1" applyBorder="1" applyAlignment="1">
      <alignment horizontal="left" vertical="center" wrapText="1"/>
    </xf>
    <xf numFmtId="0" fontId="50" fillId="0" borderId="82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1" fillId="0" borderId="82" xfId="0" applyFont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78" xfId="0" applyFont="1" applyBorder="1" applyAlignment="1">
      <alignment horizontal="left" vertical="center" wrapText="1"/>
    </xf>
    <xf numFmtId="0" fontId="53" fillId="29" borderId="83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79" xfId="0" applyFont="1" applyBorder="1" applyAlignment="1">
      <alignment horizontal="center" vertical="center" wrapText="1"/>
    </xf>
    <xf numFmtId="0" fontId="54" fillId="29" borderId="83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79" xfId="0" applyFont="1" applyBorder="1" applyAlignment="1">
      <alignment horizontal="left" vertical="center" wrapText="1"/>
    </xf>
    <xf numFmtId="0" fontId="56" fillId="0" borderId="84" xfId="0" applyFont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80" xfId="0" applyFont="1" applyBorder="1" applyAlignment="1">
      <alignment horizontal="center" vertical="center" wrapText="1"/>
    </xf>
    <xf numFmtId="0" fontId="57" fillId="0" borderId="84" xfId="0" applyFont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80" xfId="0" applyFont="1" applyBorder="1" applyAlignment="1">
      <alignment horizontal="left" vertical="center" wrapText="1"/>
    </xf>
    <xf numFmtId="0" fontId="0" fillId="29" borderId="77" xfId="0" applyFill="1" applyBorder="1" applyAlignment="1">
      <alignment vertical="center" wrapText="1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86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95959"/>
      <color rgb="FF2E3232"/>
      <color rgb="FFFF7D7D"/>
      <color rgb="FFFF7C80"/>
      <color rgb="FFFF9999"/>
      <color rgb="FF9064A2"/>
      <color rgb="FF7489B5"/>
      <color rgb="FF71699A"/>
      <color rgb="FF835376"/>
      <color rgb="FFBD19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83736432"/>
        <c:axId val="1188134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736432"/>
        <c:axId val="1188134448"/>
      </c:lineChart>
      <c:catAx>
        <c:axId val="1183736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34448"/>
        <c:crosses val="autoZero"/>
        <c:auto val="1"/>
        <c:lblAlgn val="ctr"/>
        <c:lblOffset val="100"/>
        <c:noMultiLvlLbl val="0"/>
      </c:catAx>
      <c:valAx>
        <c:axId val="1188134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73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6528720"/>
        <c:axId val="1188122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528720"/>
        <c:axId val="1188122896"/>
      </c:lineChart>
      <c:catAx>
        <c:axId val="916528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22896"/>
        <c:crosses val="autoZero"/>
        <c:auto val="1"/>
        <c:lblAlgn val="ctr"/>
        <c:lblOffset val="100"/>
        <c:noMultiLvlLbl val="0"/>
      </c:catAx>
      <c:valAx>
        <c:axId val="1188122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652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83119232"/>
        <c:axId val="1188124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119232"/>
        <c:axId val="1188124720"/>
      </c:lineChart>
      <c:catAx>
        <c:axId val="118311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24720"/>
        <c:crosses val="autoZero"/>
        <c:auto val="1"/>
        <c:lblAlgn val="ctr"/>
        <c:lblOffset val="100"/>
        <c:noMultiLvlLbl val="0"/>
      </c:catAx>
      <c:valAx>
        <c:axId val="1188124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11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183738800"/>
        <c:axId val="1188163632"/>
      </c:barChart>
      <c:catAx>
        <c:axId val="1183738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88163632"/>
        <c:crosses val="autoZero"/>
        <c:auto val="1"/>
        <c:lblAlgn val="ctr"/>
        <c:lblOffset val="100"/>
        <c:noMultiLvlLbl val="0"/>
      </c:catAx>
      <c:valAx>
        <c:axId val="118816363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1837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6529312"/>
        <c:axId val="1188110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529312"/>
        <c:axId val="1188110736"/>
      </c:lineChart>
      <c:catAx>
        <c:axId val="916529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10736"/>
        <c:crosses val="autoZero"/>
        <c:auto val="1"/>
        <c:lblAlgn val="ctr"/>
        <c:lblOffset val="100"/>
        <c:noMultiLvlLbl val="0"/>
      </c:catAx>
      <c:valAx>
        <c:axId val="1188110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65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83122784"/>
        <c:axId val="1188144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122784"/>
        <c:axId val="1188144176"/>
      </c:lineChart>
      <c:catAx>
        <c:axId val="1183122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44176"/>
        <c:crosses val="autoZero"/>
        <c:auto val="1"/>
        <c:lblAlgn val="ctr"/>
        <c:lblOffset val="100"/>
        <c:noMultiLvlLbl val="0"/>
      </c:catAx>
      <c:valAx>
        <c:axId val="118814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12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6530496"/>
        <c:axId val="1188149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530496"/>
        <c:axId val="1188149648"/>
      </c:lineChart>
      <c:catAx>
        <c:axId val="916530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49648"/>
        <c:crosses val="autoZero"/>
        <c:auto val="1"/>
        <c:lblAlgn val="ctr"/>
        <c:lblOffset val="100"/>
        <c:noMultiLvlLbl val="0"/>
      </c:catAx>
      <c:valAx>
        <c:axId val="1188149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653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183732288"/>
        <c:axId val="1188172752"/>
      </c:barChart>
      <c:catAx>
        <c:axId val="118373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88172752"/>
        <c:crosses val="autoZero"/>
        <c:auto val="1"/>
        <c:lblAlgn val="ctr"/>
        <c:lblOffset val="100"/>
        <c:noMultiLvlLbl val="0"/>
      </c:catAx>
      <c:valAx>
        <c:axId val="1188172752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18373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83123376"/>
        <c:axId val="1188152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123376"/>
        <c:axId val="1188152688"/>
      </c:lineChart>
      <c:catAx>
        <c:axId val="1183123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52688"/>
        <c:crosses val="autoZero"/>
        <c:auto val="1"/>
        <c:lblAlgn val="ctr"/>
        <c:lblOffset val="100"/>
        <c:noMultiLvlLbl val="0"/>
      </c:catAx>
      <c:valAx>
        <c:axId val="118815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12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83141376"/>
        <c:axId val="1188152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141376"/>
        <c:axId val="1188152080"/>
      </c:lineChart>
      <c:catAx>
        <c:axId val="1183141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52080"/>
        <c:crosses val="autoZero"/>
        <c:auto val="1"/>
        <c:lblAlgn val="ctr"/>
        <c:lblOffset val="100"/>
        <c:noMultiLvlLbl val="0"/>
      </c:catAx>
      <c:valAx>
        <c:axId val="1188152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14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5696784"/>
        <c:axId val="1188170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696784"/>
        <c:axId val="1188170320"/>
      </c:lineChart>
      <c:catAx>
        <c:axId val="915696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70320"/>
        <c:crosses val="autoZero"/>
        <c:auto val="1"/>
        <c:lblAlgn val="ctr"/>
        <c:lblOffset val="100"/>
        <c:noMultiLvlLbl val="0"/>
      </c:catAx>
      <c:valAx>
        <c:axId val="1188170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69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6531680"/>
        <c:axId val="1188142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531680"/>
        <c:axId val="1188142960"/>
      </c:lineChart>
      <c:catAx>
        <c:axId val="916531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42960"/>
        <c:crosses val="autoZero"/>
        <c:auto val="1"/>
        <c:lblAlgn val="ctr"/>
        <c:lblOffset val="100"/>
        <c:noMultiLvlLbl val="0"/>
      </c:catAx>
      <c:valAx>
        <c:axId val="1188142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65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915690272"/>
        <c:axId val="1188211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690272"/>
        <c:axId val="1188211664"/>
      </c:lineChart>
      <c:catAx>
        <c:axId val="915690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211664"/>
        <c:crosses val="autoZero"/>
        <c:auto val="1"/>
        <c:lblAlgn val="ctr"/>
        <c:lblOffset val="100"/>
        <c:noMultiLvlLbl val="0"/>
      </c:catAx>
      <c:valAx>
        <c:axId val="1188211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69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3278704"/>
        <c:axId val="12007836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278704"/>
        <c:axId val="1200783648"/>
      </c:lineChart>
      <c:catAx>
        <c:axId val="1093278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200783648"/>
        <c:crosses val="autoZero"/>
        <c:auto val="1"/>
        <c:lblAlgn val="ctr"/>
        <c:lblOffset val="100"/>
        <c:noMultiLvlLbl val="0"/>
      </c:catAx>
      <c:valAx>
        <c:axId val="1200783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32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3279296"/>
        <c:axId val="1166321648"/>
      </c:lineChart>
      <c:catAx>
        <c:axId val="109327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66321648"/>
        <c:crosses val="autoZero"/>
        <c:auto val="1"/>
        <c:lblAlgn val="ctr"/>
        <c:lblOffset val="100"/>
        <c:noMultiLvlLbl val="0"/>
      </c:catAx>
      <c:valAx>
        <c:axId val="116632164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09327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3279888"/>
        <c:axId val="11663246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279888"/>
        <c:axId val="1166324688"/>
      </c:lineChart>
      <c:catAx>
        <c:axId val="109327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6324688"/>
        <c:crosses val="autoZero"/>
        <c:auto val="1"/>
        <c:lblAlgn val="ctr"/>
        <c:lblOffset val="100"/>
        <c:noMultiLvlLbl val="0"/>
      </c:catAx>
      <c:valAx>
        <c:axId val="1166324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327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93282256"/>
        <c:axId val="974308240"/>
      </c:lineChart>
      <c:catAx>
        <c:axId val="109328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4308240"/>
        <c:crosses val="autoZero"/>
        <c:auto val="1"/>
        <c:lblAlgn val="ctr"/>
        <c:lblOffset val="100"/>
        <c:noMultiLvlLbl val="0"/>
      </c:catAx>
      <c:valAx>
        <c:axId val="97430824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09328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3282848"/>
        <c:axId val="1103930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282848"/>
        <c:axId val="1103930800"/>
      </c:lineChart>
      <c:catAx>
        <c:axId val="1093282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03930800"/>
        <c:crosses val="autoZero"/>
        <c:auto val="1"/>
        <c:lblAlgn val="ctr"/>
        <c:lblOffset val="100"/>
        <c:noMultiLvlLbl val="0"/>
      </c:catAx>
      <c:valAx>
        <c:axId val="1103930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328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093277520"/>
        <c:axId val="9146850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277520"/>
        <c:axId val="914685008"/>
      </c:lineChart>
      <c:catAx>
        <c:axId val="1093277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914685008"/>
        <c:crosses val="autoZero"/>
        <c:auto val="1"/>
        <c:lblAlgn val="ctr"/>
        <c:lblOffset val="100"/>
        <c:noMultiLvlLbl val="0"/>
      </c:catAx>
      <c:valAx>
        <c:axId val="914685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327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183734656"/>
        <c:axId val="1188205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734656"/>
        <c:axId val="1188205584"/>
      </c:lineChart>
      <c:catAx>
        <c:axId val="1183734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205584"/>
        <c:crosses val="autoZero"/>
        <c:auto val="1"/>
        <c:lblAlgn val="ctr"/>
        <c:lblOffset val="100"/>
        <c:noMultiLvlLbl val="0"/>
      </c:catAx>
      <c:valAx>
        <c:axId val="1188205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73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5693824"/>
        <c:axId val="11881982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693824"/>
        <c:axId val="1188198288"/>
      </c:lineChart>
      <c:catAx>
        <c:axId val="91569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98288"/>
        <c:crosses val="autoZero"/>
        <c:auto val="1"/>
        <c:lblAlgn val="ctr"/>
        <c:lblOffset val="100"/>
        <c:noMultiLvlLbl val="0"/>
      </c:catAx>
      <c:valAx>
        <c:axId val="1188198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69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183142560"/>
        <c:axId val="11882134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142560"/>
        <c:axId val="1188213488"/>
      </c:lineChart>
      <c:catAx>
        <c:axId val="118314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213488"/>
        <c:crosses val="autoZero"/>
        <c:auto val="1"/>
        <c:lblAlgn val="ctr"/>
        <c:lblOffset val="100"/>
        <c:noMultiLvlLbl val="0"/>
      </c:catAx>
      <c:valAx>
        <c:axId val="1188213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1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6525760"/>
        <c:axId val="11881922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525760"/>
        <c:axId val="1188192208"/>
      </c:lineChart>
      <c:catAx>
        <c:axId val="916525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92208"/>
        <c:crosses val="autoZero"/>
        <c:auto val="1"/>
        <c:lblAlgn val="ctr"/>
        <c:lblOffset val="100"/>
        <c:noMultiLvlLbl val="0"/>
      </c:catAx>
      <c:valAx>
        <c:axId val="1188192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652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183141968"/>
        <c:axId val="11882292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3141968"/>
        <c:axId val="1188229296"/>
      </c:lineChart>
      <c:catAx>
        <c:axId val="1183141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229296"/>
        <c:crosses val="autoZero"/>
        <c:auto val="1"/>
        <c:lblAlgn val="ctr"/>
        <c:lblOffset val="100"/>
        <c:noMultiLvlLbl val="0"/>
      </c:catAx>
      <c:valAx>
        <c:axId val="118822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314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6532864"/>
        <c:axId val="11882305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532864"/>
        <c:axId val="1188230512"/>
      </c:lineChart>
      <c:catAx>
        <c:axId val="91653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230512"/>
        <c:crosses val="autoZero"/>
        <c:auto val="1"/>
        <c:lblAlgn val="ctr"/>
        <c:lblOffset val="100"/>
        <c:noMultiLvlLbl val="0"/>
      </c:catAx>
      <c:valAx>
        <c:axId val="1188230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653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178566992"/>
        <c:axId val="11881964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566992"/>
        <c:axId val="1188196464"/>
      </c:lineChart>
      <c:catAx>
        <c:axId val="1178566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196464"/>
        <c:crosses val="autoZero"/>
        <c:auto val="1"/>
        <c:lblAlgn val="ctr"/>
        <c:lblOffset val="100"/>
        <c:noMultiLvlLbl val="0"/>
      </c:catAx>
      <c:valAx>
        <c:axId val="1188196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7856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915695008"/>
        <c:axId val="11882061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695008"/>
        <c:axId val="1188206192"/>
      </c:lineChart>
      <c:catAx>
        <c:axId val="915695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88206192"/>
        <c:crosses val="autoZero"/>
        <c:auto val="1"/>
        <c:lblAlgn val="ctr"/>
        <c:lblOffset val="100"/>
        <c:noMultiLvlLbl val="0"/>
      </c:catAx>
      <c:valAx>
        <c:axId val="1188206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91569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183143744"/>
        <c:axId val="1188102224"/>
      </c:barChart>
      <c:catAx>
        <c:axId val="1183143744"/>
        <c:scaling>
          <c:orientation val="minMax"/>
        </c:scaling>
        <c:delete val="1"/>
        <c:axPos val="l"/>
        <c:majorTickMark val="none"/>
        <c:minorTickMark val="none"/>
        <c:tickLblPos val="nextTo"/>
        <c:crossAx val="1188102224"/>
        <c:crosses val="autoZero"/>
        <c:auto val="1"/>
        <c:lblAlgn val="ctr"/>
        <c:lblOffset val="100"/>
        <c:noMultiLvlLbl val="0"/>
      </c:catAx>
      <c:valAx>
        <c:axId val="118810222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8314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Anillos"/>
    <item val="Barra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val="0">
  <itemLst>
    <item val="Anillos"/>
    <item val="Barra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09601" name="DropDowns_Demo1" hidden="1">
              <a:extLst>
                <a:ext uri="{63B3BB69-23CF-44E3-9099-C40C66FF867C}">
                  <a14:compatExt spid="_x0000_s409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409602" name="CheckBox_Demo1" hidden="1">
              <a:extLst>
                <a:ext uri="{63B3BB69-23CF-44E3-9099-C40C66FF867C}">
                  <a14:compatExt spid="_x0000_s409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409603" name="DropDowns_Demo_Bis1" hidden="1">
              <a:extLst>
                <a:ext uri="{63B3BB69-23CF-44E3-9099-C40C66FF867C}">
                  <a14:compatExt spid="_x0000_s409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409604" name="CheckBox_Demo_Bis1" hidden="1">
              <a:extLst>
                <a:ext uri="{63B3BB69-23CF-44E3-9099-C40C66FF867C}">
                  <a14:compatExt spid="_x0000_s409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09605" name="DropDowns_Demo2" hidden="1">
              <a:extLst>
                <a:ext uri="{63B3BB69-23CF-44E3-9099-C40C66FF867C}">
                  <a14:compatExt spid="_x0000_s409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409606" name="CheckBox_Demo2" hidden="1">
              <a:extLst>
                <a:ext uri="{63B3BB69-23CF-44E3-9099-C40C66FF867C}">
                  <a14:compatExt spid="_x0000_s409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409607" name="DropDowns_Demo_Bis2" hidden="1">
              <a:extLst>
                <a:ext uri="{63B3BB69-23CF-44E3-9099-C40C66FF867C}">
                  <a14:compatExt spid="_x0000_s409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409608" name="CheckBox_Demo_Bis2" hidden="1">
              <a:extLst>
                <a:ext uri="{63B3BB69-23CF-44E3-9099-C40C66FF867C}">
                  <a14:compatExt spid="_x0000_s409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09609" name="DropDowns_Demo3" hidden="1">
              <a:extLst>
                <a:ext uri="{63B3BB69-23CF-44E3-9099-C40C66FF867C}">
                  <a14:compatExt spid="_x0000_s409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409610" name="CheckBox_Demo3" hidden="1">
              <a:extLst>
                <a:ext uri="{63B3BB69-23CF-44E3-9099-C40C66FF867C}">
                  <a14:compatExt spid="_x0000_s409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409611" name="DropDowns_Demo_Bis3" hidden="1">
              <a:extLst>
                <a:ext uri="{63B3BB69-23CF-44E3-9099-C40C66FF867C}">
                  <a14:compatExt spid="_x0000_s409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409612" name="CheckBox_Demo_Bis3" hidden="1">
              <a:extLst>
                <a:ext uri="{63B3BB69-23CF-44E3-9099-C40C66FF867C}">
                  <a14:compatExt spid="_x0000_s409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409613" name="DropDowns_Demo4" hidden="1">
              <a:extLst>
                <a:ext uri="{63B3BB69-23CF-44E3-9099-C40C66FF867C}">
                  <a14:compatExt spid="_x0000_s409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409614" name="CheckBox_Demo4" hidden="1">
              <a:extLst>
                <a:ext uri="{63B3BB69-23CF-44E3-9099-C40C66FF867C}">
                  <a14:compatExt spid="_x0000_s409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409615" name="DropDowns_Demo_Bis4" hidden="1">
              <a:extLst>
                <a:ext uri="{63B3BB69-23CF-44E3-9099-C40C66FF867C}">
                  <a14:compatExt spid="_x0000_s409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409616" name="CheckBox_Demo_Bis4" hidden="1">
              <a:extLst>
                <a:ext uri="{63B3BB69-23CF-44E3-9099-C40C66FF867C}">
                  <a14:compatExt spid="_x0000_s409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409617" name="DropDowns_Demo5" hidden="1">
              <a:extLst>
                <a:ext uri="{63B3BB69-23CF-44E3-9099-C40C66FF867C}">
                  <a14:compatExt spid="_x0000_s409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409618" name="CheckBox_Demo5" hidden="1">
              <a:extLst>
                <a:ext uri="{63B3BB69-23CF-44E3-9099-C40C66FF867C}">
                  <a14:compatExt spid="_x0000_s409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409619" name="DropDowns_Demo_Bis5" hidden="1">
              <a:extLst>
                <a:ext uri="{63B3BB69-23CF-44E3-9099-C40C66FF867C}">
                  <a14:compatExt spid="_x0000_s409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409620" name="CheckBox_Demo_Bis5" hidden="1">
              <a:extLst>
                <a:ext uri="{63B3BB69-23CF-44E3-9099-C40C66FF867C}">
                  <a14:compatExt spid="_x0000_s409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409621" name="DropDowns_Demo6" hidden="1">
              <a:extLst>
                <a:ext uri="{63B3BB69-23CF-44E3-9099-C40C66FF867C}">
                  <a14:compatExt spid="_x0000_s409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409622" name="CheckBox_Demo6" hidden="1">
              <a:extLst>
                <a:ext uri="{63B3BB69-23CF-44E3-9099-C40C66FF867C}">
                  <a14:compatExt spid="_x0000_s409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409623" name="DropDowns_Demo_Bis6" hidden="1">
              <a:extLst>
                <a:ext uri="{63B3BB69-23CF-44E3-9099-C40C66FF867C}">
                  <a14:compatExt spid="_x0000_s409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409624" name="CheckBox_Demo_Bis6" hidden="1">
              <a:extLst>
                <a:ext uri="{63B3BB69-23CF-44E3-9099-C40C66FF867C}">
                  <a14:compatExt spid="_x0000_s409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409625" name="DropDowns_Demo7" hidden="1">
              <a:extLst>
                <a:ext uri="{63B3BB69-23CF-44E3-9099-C40C66FF867C}">
                  <a14:compatExt spid="_x0000_s409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409626" name="CheckBox_Demo7" hidden="1">
              <a:extLst>
                <a:ext uri="{63B3BB69-23CF-44E3-9099-C40C66FF867C}">
                  <a14:compatExt spid="_x0000_s409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409627" name="DropDowns_Demo_Bis7" hidden="1">
              <a:extLst>
                <a:ext uri="{63B3BB69-23CF-44E3-9099-C40C66FF867C}">
                  <a14:compatExt spid="_x0000_s409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409628" name="CheckBox_Demo_Bis7" hidden="1">
              <a:extLst>
                <a:ext uri="{63B3BB69-23CF-44E3-9099-C40C66FF867C}">
                  <a14:compatExt spid="_x0000_s409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409629" name="DropDowns_Demo8" hidden="1">
              <a:extLst>
                <a:ext uri="{63B3BB69-23CF-44E3-9099-C40C66FF867C}">
                  <a14:compatExt spid="_x0000_s409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409630" name="CheckBox_Demo8" hidden="1">
              <a:extLst>
                <a:ext uri="{63B3BB69-23CF-44E3-9099-C40C66FF867C}">
                  <a14:compatExt spid="_x0000_s409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409631" name="DropDowns_Demo_Bis8" hidden="1">
              <a:extLst>
                <a:ext uri="{63B3BB69-23CF-44E3-9099-C40C66FF867C}">
                  <a14:compatExt spid="_x0000_s409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409632" name="CheckBox_Demo_Bis8" hidden="1">
              <a:extLst>
                <a:ext uri="{63B3BB69-23CF-44E3-9099-C40C66FF867C}">
                  <a14:compatExt spid="_x0000_s409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409633" name="DropDowns_Demo9" hidden="1">
              <a:extLst>
                <a:ext uri="{63B3BB69-23CF-44E3-9099-C40C66FF867C}">
                  <a14:compatExt spid="_x0000_s40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409634" name="CheckBox_Demo9" hidden="1">
              <a:extLst>
                <a:ext uri="{63B3BB69-23CF-44E3-9099-C40C66FF867C}">
                  <a14:compatExt spid="_x0000_s40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409635" name="DropDowns_Demo_Bis9" hidden="1">
              <a:extLst>
                <a:ext uri="{63B3BB69-23CF-44E3-9099-C40C66FF867C}">
                  <a14:compatExt spid="_x0000_s40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409636" name="CheckBox_Demo_Bis9" hidden="1">
              <a:extLst>
                <a:ext uri="{63B3BB69-23CF-44E3-9099-C40C66FF867C}">
                  <a14:compatExt spid="_x0000_s40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409637" name="DropDowns_Demo10" hidden="1">
              <a:extLst>
                <a:ext uri="{63B3BB69-23CF-44E3-9099-C40C66FF867C}">
                  <a14:compatExt spid="_x0000_s40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409638" name="CheckBox_Demo10" hidden="1">
              <a:extLst>
                <a:ext uri="{63B3BB69-23CF-44E3-9099-C40C66FF867C}">
                  <a14:compatExt spid="_x0000_s40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409639" name="DropDowns_Demo_Bis10" hidden="1">
              <a:extLst>
                <a:ext uri="{63B3BB69-23CF-44E3-9099-C40C66FF867C}">
                  <a14:compatExt spid="_x0000_s40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409640" name="CheckBox_Demo_Bis10" hidden="1">
              <a:extLst>
                <a:ext uri="{63B3BB69-23CF-44E3-9099-C40C66FF867C}">
                  <a14:compatExt spid="_x0000_s40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09641" name="Button 41" hidden="1">
              <a:extLst>
                <a:ext uri="{63B3BB69-23CF-44E3-9099-C40C66FF867C}">
                  <a14:compatExt spid="_x0000_s409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409642" name="Button 42" hidden="1">
              <a:extLst>
                <a:ext uri="{63B3BB69-23CF-44E3-9099-C40C66FF867C}">
                  <a14:compatExt spid="_x0000_s409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409643" name="Button 43" hidden="1">
              <a:extLst>
                <a:ext uri="{63B3BB69-23CF-44E3-9099-C40C66FF867C}">
                  <a14:compatExt spid="_x0000_s409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118</xdr:row>
          <xdr:rowOff>0</xdr:rowOff>
        </xdr:from>
        <xdr:to>
          <xdr:col>10</xdr:col>
          <xdr:colOff>0</xdr:colOff>
          <xdr:row>120</xdr:row>
          <xdr:rowOff>0</xdr:rowOff>
        </xdr:to>
        <xdr:sp macro="" textlink="">
          <xdr:nvSpPr>
            <xdr:cNvPr id="267303" name="Button 39" hidden="1">
              <a:extLst>
                <a:ext uri="{63B3BB69-23CF-44E3-9099-C40C66FF867C}">
                  <a14:compatExt spid="_x0000_s26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7945100"/>
          <a:ext cx="11169650" cy="4953000"/>
          <a:chOff x="1524000" y="17945100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794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794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5661600"/>
          <a:ext cx="11169650" cy="4953000"/>
          <a:chOff x="1524000" y="3566160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5661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5661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7876400"/>
          <a:ext cx="11169650" cy="4953000"/>
          <a:chOff x="1524000" y="77876400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77876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77876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5338225"/>
          <a:ext cx="11169650" cy="4953000"/>
          <a:chOff x="1524000" y="11533822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53382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53382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3054725"/>
          <a:ext cx="11169650" cy="4953000"/>
          <a:chOff x="1524000" y="133054725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30547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30547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2542875"/>
          <a:ext cx="11169650" cy="4953000"/>
          <a:chOff x="1524000" y="15254287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2542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2542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0.04328</cdr:x>
      <cdr:y>0.27526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0.04328</cdr:x>
      <cdr:y>0.34888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0.04328</cdr:x>
      <cdr:y>0.27526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0.04328</cdr:x>
      <cdr:y>0.39272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0.04328</cdr:x>
      <cdr:y>0.19696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0.04328</cdr:x>
      <cdr:y>0.47255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4886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0.04328</cdr:x>
      <cdr:y>0.39272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(21)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0.04328</cdr:x>
      <cdr:y>0.39272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(10)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4149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0.04328</cdr:x>
      <cdr:y>0.27526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(116)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3932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0.04328</cdr:x>
      <cdr:y>0.27526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(218)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1839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0.04328</cdr:x>
      <cdr:y>0.27526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</a:rPr>
            <a:t>(317)</a:t>
          </a: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7</xdr:col>
      <xdr:colOff>254000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7</xdr:col>
      <xdr:colOff>254000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10</xdr:col>
      <xdr:colOff>635000</xdr:colOff>
      <xdr:row>152</xdr:row>
      <xdr:rowOff>6350</xdr:rowOff>
    </xdr:to>
    <xdr:grpSp>
      <xdr:nvGrpSpPr>
        <xdr:cNvPr id="8" name="ResultadoDimension1"/>
        <xdr:cNvGrpSpPr/>
      </xdr:nvGrpSpPr>
      <xdr:grpSpPr>
        <a:xfrm>
          <a:off x="2076450" y="25400000"/>
          <a:ext cx="1066482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10</xdr:col>
      <xdr:colOff>635000</xdr:colOff>
      <xdr:row>178</xdr:row>
      <xdr:rowOff>133350</xdr:rowOff>
    </xdr:to>
    <xdr:grpSp>
      <xdr:nvGrpSpPr>
        <xdr:cNvPr id="11" name="ResultadoDimension2"/>
        <xdr:cNvGrpSpPr/>
      </xdr:nvGrpSpPr>
      <xdr:grpSpPr>
        <a:xfrm>
          <a:off x="2076450" y="30480000"/>
          <a:ext cx="1066482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10</xdr:col>
      <xdr:colOff>635000</xdr:colOff>
      <xdr:row>205</xdr:row>
      <xdr:rowOff>69850</xdr:rowOff>
    </xdr:to>
    <xdr:grpSp>
      <xdr:nvGrpSpPr>
        <xdr:cNvPr id="14" name="ResultadoDimension3"/>
        <xdr:cNvGrpSpPr/>
      </xdr:nvGrpSpPr>
      <xdr:grpSpPr>
        <a:xfrm>
          <a:off x="2076450" y="35560000"/>
          <a:ext cx="1066482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10</xdr:col>
      <xdr:colOff>635000</xdr:colOff>
      <xdr:row>232</xdr:row>
      <xdr:rowOff>6350</xdr:rowOff>
    </xdr:to>
    <xdr:grpSp>
      <xdr:nvGrpSpPr>
        <xdr:cNvPr id="17" name="ResultadoDimension4"/>
        <xdr:cNvGrpSpPr/>
      </xdr:nvGrpSpPr>
      <xdr:grpSpPr>
        <a:xfrm>
          <a:off x="2076450" y="40640000"/>
          <a:ext cx="1066482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10</xdr:col>
      <xdr:colOff>635000</xdr:colOff>
      <xdr:row>258</xdr:row>
      <xdr:rowOff>133350</xdr:rowOff>
    </xdr:to>
    <xdr:grpSp>
      <xdr:nvGrpSpPr>
        <xdr:cNvPr id="20" name="ResultadoDimension5"/>
        <xdr:cNvGrpSpPr/>
      </xdr:nvGrpSpPr>
      <xdr:grpSpPr>
        <a:xfrm>
          <a:off x="2076450" y="45720000"/>
          <a:ext cx="1066482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11</xdr:col>
      <xdr:colOff>669925</xdr:colOff>
      <xdr:row>412</xdr:row>
      <xdr:rowOff>63500</xdr:rowOff>
    </xdr:to>
    <xdr:grpSp>
      <xdr:nvGrpSpPr>
        <xdr:cNvPr id="55" name="GraficoSintesis1"/>
        <xdr:cNvGrpSpPr/>
      </xdr:nvGrpSpPr>
      <xdr:grpSpPr>
        <a:xfrm>
          <a:off x="1822450" y="76581000"/>
          <a:ext cx="11591925" cy="5130800"/>
          <a:chOff x="1270000" y="76581000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1811000" cy="4254500"/>
            <a:chOff x="1270000" y="76581000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76581000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5937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1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4319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1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2701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1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1083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1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799465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1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7664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76844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770475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7749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77695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77898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78342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78546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78749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79193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79397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79600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00447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0247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045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76593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35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77431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35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78270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35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79108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35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79946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35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4382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29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1527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010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083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0.79667</cdr:y>
    </cdr:from>
    <cdr:to>
      <cdr:x>0.28631</cdr:x>
      <cdr:y>0.89667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32937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0.38369</cdr:x>
      <cdr:y>0.79667</cdr:y>
    </cdr:from>
    <cdr:to>
      <cdr:x>0.60008</cdr:x>
      <cdr:y>0.89667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27304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0.69746</cdr:x>
      <cdr:y>0.79667</cdr:y>
    </cdr:from>
    <cdr:to>
      <cdr:x>0.91386</cdr:x>
      <cdr:y>0.89667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21670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0.79667</cdr:y>
    </cdr:from>
    <cdr:to>
      <cdr:x>0.28631</cdr:x>
      <cdr:y>0.89667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32937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0.38369</cdr:x>
      <cdr:y>0.79667</cdr:y>
    </cdr:from>
    <cdr:to>
      <cdr:x>0.60008</cdr:x>
      <cdr:y>0.89667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27304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0.69746</cdr:x>
      <cdr:y>0.79667</cdr:y>
    </cdr:from>
    <cdr:to>
      <cdr:x>0.91386</cdr:x>
      <cdr:y>0.89667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21670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0.79667</cdr:y>
    </cdr:from>
    <cdr:to>
      <cdr:x>0.28631</cdr:x>
      <cdr:y>0.89667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32937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0.38369</cdr:x>
      <cdr:y>0.79667</cdr:y>
    </cdr:from>
    <cdr:to>
      <cdr:x>0.60008</cdr:x>
      <cdr:y>0.89667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27304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0.69746</cdr:x>
      <cdr:y>0.79667</cdr:y>
    </cdr:from>
    <cdr:to>
      <cdr:x>0.91386</cdr:x>
      <cdr:y>0.89667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21670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0.79667</cdr:y>
    </cdr:from>
    <cdr:to>
      <cdr:x>0.28631</cdr:x>
      <cdr:y>0.89667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32937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0.38369</cdr:x>
      <cdr:y>0.79667</cdr:y>
    </cdr:from>
    <cdr:to>
      <cdr:x>0.60008</cdr:x>
      <cdr:y>0.89667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27304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0.69746</cdr:x>
      <cdr:y>0.79667</cdr:y>
    </cdr:from>
    <cdr:to>
      <cdr:x>0.91386</cdr:x>
      <cdr:y>0.89667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21670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0.79667</cdr:y>
    </cdr:from>
    <cdr:to>
      <cdr:x>0.28631</cdr:x>
      <cdr:y>0.89667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32937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0.38369</cdr:x>
      <cdr:y>0.79667</cdr:y>
    </cdr:from>
    <cdr:to>
      <cdr:x>0.60008</cdr:x>
      <cdr:y>0.89667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27304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0.69746</cdr:x>
      <cdr:y>0.79667</cdr:y>
    </cdr:from>
    <cdr:to>
      <cdr:x>0.91386</cdr:x>
      <cdr:y>0.89667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21670" y="30353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1" t="s">
        <v>6</v>
      </c>
      <c r="G2" s="191"/>
      <c r="H2" s="191"/>
      <c r="J2" s="191" t="s">
        <v>7</v>
      </c>
      <c r="K2" s="191"/>
      <c r="L2" s="191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5" t="s">
        <v>387</v>
      </c>
      <c r="B1" s="215"/>
      <c r="C1" s="106"/>
      <c r="D1" s="201" t="s">
        <v>199</v>
      </c>
      <c r="E1" s="202"/>
      <c r="F1" s="202"/>
      <c r="G1" s="202"/>
      <c r="H1" s="202"/>
      <c r="I1" s="202"/>
      <c r="J1" s="202"/>
      <c r="K1" s="133"/>
      <c r="L1" s="201" t="s">
        <v>28</v>
      </c>
      <c r="M1" s="202"/>
      <c r="N1" s="202"/>
      <c r="O1" s="202"/>
      <c r="P1" s="203"/>
      <c r="Q1" s="133"/>
      <c r="R1" s="201" t="s">
        <v>29</v>
      </c>
      <c r="S1" s="203"/>
      <c r="T1" s="133"/>
      <c r="U1" s="201" t="s">
        <v>159</v>
      </c>
      <c r="V1" s="202"/>
      <c r="W1" s="202"/>
      <c r="X1" s="202"/>
      <c r="Y1" s="203"/>
      <c r="Z1" s="133"/>
      <c r="AA1" s="201" t="s">
        <v>388</v>
      </c>
      <c r="AB1" s="202"/>
      <c r="AC1" s="202"/>
      <c r="AD1" s="202"/>
      <c r="AE1" s="202"/>
      <c r="AF1" s="202"/>
      <c r="AG1" s="202"/>
      <c r="AH1" s="202"/>
      <c r="AI1" s="202"/>
      <c r="AJ1" s="203"/>
      <c r="AK1" s="133"/>
      <c r="AL1" s="201" t="s">
        <v>160</v>
      </c>
      <c r="AM1" s="202"/>
      <c r="AN1" s="202"/>
      <c r="AO1" s="202"/>
      <c r="AP1" s="202"/>
      <c r="AQ1" s="203"/>
      <c r="AR1" s="133"/>
      <c r="AS1" s="201" t="s">
        <v>389</v>
      </c>
      <c r="AT1" s="202"/>
      <c r="AU1" s="202"/>
      <c r="AV1" s="202"/>
      <c r="AW1" s="202"/>
      <c r="AX1" s="202"/>
      <c r="AY1" s="202"/>
      <c r="AZ1" s="202"/>
      <c r="BA1" s="202"/>
      <c r="BB1" s="202"/>
      <c r="BC1" s="202"/>
      <c r="BD1" s="202"/>
      <c r="BE1" s="202"/>
      <c r="BF1" s="203"/>
      <c r="BG1" s="133"/>
      <c r="BH1" s="201" t="s">
        <v>161</v>
      </c>
      <c r="BI1" s="202"/>
      <c r="BJ1" s="202"/>
      <c r="BK1" s="203"/>
      <c r="BL1" s="133"/>
      <c r="BM1" s="201" t="s">
        <v>142</v>
      </c>
      <c r="BN1" s="202"/>
      <c r="BO1" s="202"/>
      <c r="BP1" s="202"/>
      <c r="BQ1" s="203"/>
      <c r="BR1" s="133"/>
      <c r="BS1" s="201" t="s">
        <v>162</v>
      </c>
      <c r="BT1" s="202"/>
      <c r="BU1" s="202"/>
      <c r="BV1" s="203"/>
    </row>
    <row r="2" spans="1:74" ht="273.75">
      <c r="A2" s="213" t="s">
        <v>390</v>
      </c>
      <c r="B2" s="213"/>
      <c r="C2" s="214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3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3"/>
      <c r="R2" s="107" t="s">
        <v>205</v>
      </c>
      <c r="S2" s="107" t="s">
        <v>206</v>
      </c>
      <c r="T2" s="133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3"/>
      <c r="AA2" s="134" t="s">
        <v>397</v>
      </c>
      <c r="AB2" s="134" t="s">
        <v>398</v>
      </c>
      <c r="AC2" s="134" t="s">
        <v>399</v>
      </c>
      <c r="AD2" s="134" t="s">
        <v>400</v>
      </c>
      <c r="AE2" s="134" t="s">
        <v>401</v>
      </c>
      <c r="AF2" s="134" t="s">
        <v>402</v>
      </c>
      <c r="AG2" s="134" t="s">
        <v>403</v>
      </c>
      <c r="AH2" s="134" t="s">
        <v>404</v>
      </c>
      <c r="AI2" s="134" t="s">
        <v>405</v>
      </c>
      <c r="AJ2" s="134" t="s">
        <v>406</v>
      </c>
      <c r="AK2" s="133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3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3"/>
      <c r="BH2" s="107" t="s">
        <v>419</v>
      </c>
      <c r="BI2" s="107" t="s">
        <v>420</v>
      </c>
      <c r="BJ2" s="107" t="s">
        <v>421</v>
      </c>
      <c r="BK2" s="107" t="s">
        <v>422</v>
      </c>
      <c r="BL2" s="133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3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3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3"/>
      <c r="R3" s="110">
        <v>2476</v>
      </c>
      <c r="S3" s="110">
        <v>2191</v>
      </c>
      <c r="T3" s="133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3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3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3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3"/>
      <c r="BH3" s="110">
        <v>2444</v>
      </c>
      <c r="BI3" s="110">
        <v>1088</v>
      </c>
      <c r="BJ3" s="110">
        <v>501</v>
      </c>
      <c r="BK3" s="110">
        <v>116</v>
      </c>
      <c r="BL3" s="133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3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5"/>
      <c r="B4" s="135"/>
      <c r="C4" s="136" t="s">
        <v>354</v>
      </c>
      <c r="D4" s="137">
        <v>5231</v>
      </c>
      <c r="E4" s="137">
        <v>5159</v>
      </c>
      <c r="F4" s="137"/>
      <c r="G4" s="137"/>
      <c r="H4" s="137"/>
      <c r="I4" s="137"/>
      <c r="J4" s="137"/>
      <c r="K4" s="133"/>
      <c r="L4" s="137"/>
      <c r="M4" s="137"/>
      <c r="N4" s="137"/>
      <c r="O4" s="137"/>
      <c r="P4" s="137"/>
      <c r="Q4" s="133"/>
      <c r="R4" s="137"/>
      <c r="S4" s="137"/>
      <c r="T4" s="133"/>
      <c r="U4" s="137"/>
      <c r="V4" s="137"/>
      <c r="W4" s="137"/>
      <c r="X4" s="137"/>
      <c r="Y4" s="137"/>
      <c r="Z4" s="133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3"/>
      <c r="AL4" s="137"/>
      <c r="AM4" s="137"/>
      <c r="AN4" s="137"/>
      <c r="AO4" s="137"/>
      <c r="AP4" s="137"/>
      <c r="AQ4" s="137"/>
      <c r="AR4" s="133"/>
      <c r="AS4" s="137">
        <v>9</v>
      </c>
      <c r="AT4" s="137">
        <v>22</v>
      </c>
      <c r="AU4" s="137">
        <v>43</v>
      </c>
      <c r="AV4" s="137">
        <v>219</v>
      </c>
      <c r="AW4" s="137">
        <v>2790</v>
      </c>
      <c r="AX4" s="137">
        <v>97</v>
      </c>
      <c r="AY4" s="137">
        <v>21</v>
      </c>
      <c r="AZ4" s="137">
        <v>179</v>
      </c>
      <c r="BA4" s="137">
        <v>109</v>
      </c>
      <c r="BB4" s="137">
        <v>62</v>
      </c>
      <c r="BC4" s="137">
        <v>1587</v>
      </c>
      <c r="BD4" s="137">
        <v>77</v>
      </c>
      <c r="BE4" s="137">
        <v>4</v>
      </c>
      <c r="BF4" s="137">
        <v>12</v>
      </c>
      <c r="BG4" s="133"/>
      <c r="BH4" s="137"/>
      <c r="BI4" s="137"/>
      <c r="BJ4" s="137"/>
      <c r="BK4" s="137"/>
      <c r="BL4" s="133"/>
      <c r="BM4" s="137"/>
      <c r="BN4" s="137"/>
      <c r="BO4" s="137"/>
      <c r="BP4" s="137"/>
      <c r="BQ4" s="137"/>
      <c r="BR4" s="133"/>
      <c r="BS4" s="137"/>
      <c r="BT4" s="137"/>
      <c r="BU4" s="137"/>
      <c r="BV4" s="137"/>
    </row>
    <row r="5" spans="1:74">
      <c r="A5" s="138"/>
      <c r="B5" s="138"/>
      <c r="C5" s="139" t="s">
        <v>355</v>
      </c>
      <c r="D5" s="140">
        <v>4735</v>
      </c>
      <c r="E5" s="140">
        <v>4504</v>
      </c>
      <c r="F5" s="140"/>
      <c r="G5" s="140"/>
      <c r="H5" s="140"/>
      <c r="I5" s="140"/>
      <c r="J5" s="140"/>
      <c r="K5" s="133"/>
      <c r="L5" s="140">
        <v>249</v>
      </c>
      <c r="M5" s="140">
        <v>1965</v>
      </c>
      <c r="N5" s="140">
        <v>1426</v>
      </c>
      <c r="O5" s="140">
        <v>733</v>
      </c>
      <c r="P5" s="140">
        <v>256</v>
      </c>
      <c r="Q5" s="133"/>
      <c r="R5" s="140">
        <v>2382</v>
      </c>
      <c r="S5" s="140">
        <v>2218</v>
      </c>
      <c r="T5" s="133"/>
      <c r="U5" s="140">
        <v>14</v>
      </c>
      <c r="V5" s="140">
        <v>413</v>
      </c>
      <c r="W5" s="140">
        <v>2318</v>
      </c>
      <c r="X5" s="140">
        <v>1467</v>
      </c>
      <c r="Y5" s="140">
        <v>425</v>
      </c>
      <c r="Z5" s="133"/>
      <c r="AA5" s="140">
        <v>65</v>
      </c>
      <c r="AB5" s="140">
        <v>121</v>
      </c>
      <c r="AC5" s="140">
        <v>895</v>
      </c>
      <c r="AD5" s="140">
        <v>768</v>
      </c>
      <c r="AE5" s="140">
        <v>265</v>
      </c>
      <c r="AF5" s="140">
        <v>519</v>
      </c>
      <c r="AG5" s="140">
        <v>572</v>
      </c>
      <c r="AH5" s="140">
        <v>937</v>
      </c>
      <c r="AI5" s="140">
        <v>444</v>
      </c>
      <c r="AJ5" s="140" t="s">
        <v>213</v>
      </c>
      <c r="AK5" s="133"/>
      <c r="AL5" s="140">
        <v>305</v>
      </c>
      <c r="AM5" s="140">
        <v>1135</v>
      </c>
      <c r="AN5" s="140">
        <v>1202</v>
      </c>
      <c r="AO5" s="140">
        <v>481</v>
      </c>
      <c r="AP5" s="140">
        <v>715</v>
      </c>
      <c r="AQ5" s="140">
        <v>773</v>
      </c>
      <c r="AR5" s="133"/>
      <c r="AS5" s="140">
        <v>22</v>
      </c>
      <c r="AT5" s="140">
        <v>10</v>
      </c>
      <c r="AU5" s="140">
        <v>47</v>
      </c>
      <c r="AV5" s="140">
        <v>187</v>
      </c>
      <c r="AW5" s="140">
        <v>2535</v>
      </c>
      <c r="AX5" s="140">
        <v>89</v>
      </c>
      <c r="AY5" s="140" t="s">
        <v>213</v>
      </c>
      <c r="AZ5" s="140">
        <v>159</v>
      </c>
      <c r="BA5" s="140">
        <v>99</v>
      </c>
      <c r="BB5" s="140">
        <v>55</v>
      </c>
      <c r="BC5" s="140">
        <v>1432</v>
      </c>
      <c r="BD5" s="140">
        <v>77</v>
      </c>
      <c r="BE5" s="140">
        <v>5</v>
      </c>
      <c r="BF5" s="140">
        <v>11</v>
      </c>
      <c r="BG5" s="133"/>
      <c r="BH5" s="140">
        <v>2773</v>
      </c>
      <c r="BI5" s="140">
        <v>1087</v>
      </c>
      <c r="BJ5" s="140">
        <v>595</v>
      </c>
      <c r="BK5" s="140">
        <v>110</v>
      </c>
      <c r="BL5" s="133"/>
      <c r="BM5" s="140">
        <v>764</v>
      </c>
      <c r="BN5" s="140">
        <v>1235</v>
      </c>
      <c r="BO5" s="140">
        <v>132</v>
      </c>
      <c r="BP5" s="140">
        <v>2149</v>
      </c>
      <c r="BQ5" s="140">
        <v>297</v>
      </c>
      <c r="BR5" s="133"/>
      <c r="BS5" s="140" t="s">
        <v>213</v>
      </c>
      <c r="BT5" s="140" t="s">
        <v>213</v>
      </c>
      <c r="BU5" s="140" t="s">
        <v>213</v>
      </c>
      <c r="BV5" s="140" t="s">
        <v>213</v>
      </c>
    </row>
    <row r="6" spans="1:74">
      <c r="A6" s="14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216" t="s">
        <v>214</v>
      </c>
      <c r="B7" s="217"/>
      <c r="C7" s="218"/>
      <c r="D7" s="142">
        <v>85.93</v>
      </c>
      <c r="E7" s="142">
        <v>82.67</v>
      </c>
      <c r="F7" s="142">
        <v>89.46</v>
      </c>
      <c r="G7" s="142">
        <v>79.150000000000006</v>
      </c>
      <c r="H7" s="143">
        <v>3.2600000000000051</v>
      </c>
      <c r="I7" s="143">
        <v>-3.5299999999999869</v>
      </c>
      <c r="J7" s="143">
        <v>6.7800000000000011</v>
      </c>
      <c r="K7" s="133"/>
      <c r="L7" s="142">
        <v>90.45</v>
      </c>
      <c r="M7" s="142">
        <v>86.08</v>
      </c>
      <c r="N7" s="142">
        <v>84.35</v>
      </c>
      <c r="O7" s="142">
        <v>87.74</v>
      </c>
      <c r="P7" s="142">
        <v>90.43</v>
      </c>
      <c r="Q7" s="133"/>
      <c r="R7" s="142">
        <v>86.53</v>
      </c>
      <c r="S7" s="142">
        <v>86.24</v>
      </c>
      <c r="T7" s="133"/>
      <c r="U7" s="142">
        <v>76.19</v>
      </c>
      <c r="V7" s="142">
        <v>87.14</v>
      </c>
      <c r="W7" s="142">
        <v>86.86</v>
      </c>
      <c r="X7" s="142">
        <v>85.18</v>
      </c>
      <c r="Y7" s="142">
        <v>87.05</v>
      </c>
      <c r="Z7" s="133"/>
      <c r="AA7" s="142">
        <v>93.53</v>
      </c>
      <c r="AB7" s="142">
        <v>91.83</v>
      </c>
      <c r="AC7" s="142">
        <v>88.97</v>
      </c>
      <c r="AD7" s="142">
        <v>83.86</v>
      </c>
      <c r="AE7" s="142">
        <v>84.1</v>
      </c>
      <c r="AF7" s="142">
        <v>78.73</v>
      </c>
      <c r="AG7" s="142">
        <v>86.35</v>
      </c>
      <c r="AH7" s="142">
        <v>87.52</v>
      </c>
      <c r="AI7" s="142">
        <v>90.4</v>
      </c>
      <c r="AJ7" s="142">
        <v>79.88</v>
      </c>
      <c r="AK7" s="133"/>
      <c r="AL7" s="142">
        <v>91.75</v>
      </c>
      <c r="AM7" s="142">
        <v>87.14</v>
      </c>
      <c r="AN7" s="142">
        <v>84.41</v>
      </c>
      <c r="AO7" s="142">
        <v>79.94</v>
      </c>
      <c r="AP7" s="142">
        <v>87.42</v>
      </c>
      <c r="AQ7" s="142">
        <v>88.24</v>
      </c>
      <c r="AR7" s="133"/>
      <c r="AS7" s="142">
        <v>70.28</v>
      </c>
      <c r="AT7" s="142">
        <v>93.52</v>
      </c>
      <c r="AU7" s="142">
        <v>81.7</v>
      </c>
      <c r="AV7" s="142">
        <v>85.8</v>
      </c>
      <c r="AW7" s="142">
        <v>86.78</v>
      </c>
      <c r="AX7" s="142">
        <v>83.81</v>
      </c>
      <c r="AY7" s="142">
        <v>96.24</v>
      </c>
      <c r="AZ7" s="142">
        <v>90.49</v>
      </c>
      <c r="BA7" s="142">
        <v>78.42</v>
      </c>
      <c r="BB7" s="142">
        <v>89.17</v>
      </c>
      <c r="BC7" s="142">
        <v>84.63</v>
      </c>
      <c r="BD7" s="142">
        <v>81.78</v>
      </c>
      <c r="BE7" s="142" t="s">
        <v>215</v>
      </c>
      <c r="BF7" s="142">
        <v>97.14</v>
      </c>
      <c r="BG7" s="133"/>
      <c r="BH7" s="142">
        <v>92.06</v>
      </c>
      <c r="BI7" s="142">
        <v>82.99</v>
      </c>
      <c r="BJ7" s="142">
        <v>73.010000000000005</v>
      </c>
      <c r="BK7" s="142">
        <v>58.22</v>
      </c>
      <c r="BL7" s="133"/>
      <c r="BM7" s="142">
        <v>88.46</v>
      </c>
      <c r="BN7" s="142">
        <v>81.81</v>
      </c>
      <c r="BO7" s="142">
        <v>69.47</v>
      </c>
      <c r="BP7" s="142">
        <v>90.75</v>
      </c>
      <c r="BQ7" s="142">
        <v>71.900000000000006</v>
      </c>
      <c r="BR7" s="133"/>
      <c r="BS7" s="142">
        <v>93.66</v>
      </c>
      <c r="BT7" s="142">
        <v>88.03</v>
      </c>
      <c r="BU7" s="142">
        <v>82.62</v>
      </c>
      <c r="BV7" s="142">
        <v>65.010000000000005</v>
      </c>
    </row>
    <row r="8" spans="1:74">
      <c r="A8" s="219" t="s">
        <v>216</v>
      </c>
      <c r="B8" s="220"/>
      <c r="C8" s="221"/>
      <c r="D8" s="142">
        <v>81.56</v>
      </c>
      <c r="E8" s="142">
        <v>77.59</v>
      </c>
      <c r="F8" s="142">
        <v>88.6</v>
      </c>
      <c r="G8" s="142">
        <v>77.23</v>
      </c>
      <c r="H8" s="143">
        <v>3.9699999999999989</v>
      </c>
      <c r="I8" s="143">
        <v>-7.039999999999992</v>
      </c>
      <c r="J8" s="143">
        <v>4.3299999999999983</v>
      </c>
      <c r="K8" s="133"/>
      <c r="L8" s="142">
        <v>84.9</v>
      </c>
      <c r="M8" s="142">
        <v>80.59</v>
      </c>
      <c r="N8" s="142">
        <v>81</v>
      </c>
      <c r="O8" s="142">
        <v>84.36</v>
      </c>
      <c r="P8" s="142">
        <v>87.34</v>
      </c>
      <c r="Q8" s="133"/>
      <c r="R8" s="142">
        <v>82.52</v>
      </c>
      <c r="S8" s="142">
        <v>81.34</v>
      </c>
      <c r="T8" s="133"/>
      <c r="U8" s="142">
        <v>78.209999999999994</v>
      </c>
      <c r="V8" s="142">
        <v>80.63</v>
      </c>
      <c r="W8" s="142">
        <v>81.92</v>
      </c>
      <c r="X8" s="142">
        <v>81.260000000000005</v>
      </c>
      <c r="Y8" s="142">
        <v>85.26</v>
      </c>
      <c r="Z8" s="133"/>
      <c r="AA8" s="142">
        <v>93.66</v>
      </c>
      <c r="AB8" s="142">
        <v>89.43</v>
      </c>
      <c r="AC8" s="142">
        <v>85.92</v>
      </c>
      <c r="AD8" s="142">
        <v>81.99</v>
      </c>
      <c r="AE8" s="142">
        <v>79.41</v>
      </c>
      <c r="AF8" s="142">
        <v>74.709999999999994</v>
      </c>
      <c r="AG8" s="142">
        <v>79.209999999999994</v>
      </c>
      <c r="AH8" s="142">
        <v>81.94</v>
      </c>
      <c r="AI8" s="142">
        <v>82.09</v>
      </c>
      <c r="AJ8" s="142">
        <v>80.540000000000006</v>
      </c>
      <c r="AK8" s="133"/>
      <c r="AL8" s="142">
        <v>87.01</v>
      </c>
      <c r="AM8" s="142">
        <v>82.15</v>
      </c>
      <c r="AN8" s="142">
        <v>78.97</v>
      </c>
      <c r="AO8" s="142">
        <v>76.930000000000007</v>
      </c>
      <c r="AP8" s="142">
        <v>83.93</v>
      </c>
      <c r="AQ8" s="142">
        <v>84.79</v>
      </c>
      <c r="AR8" s="133"/>
      <c r="AS8" s="142">
        <v>62.23</v>
      </c>
      <c r="AT8" s="142">
        <v>94.29</v>
      </c>
      <c r="AU8" s="142">
        <v>80.44</v>
      </c>
      <c r="AV8" s="142">
        <v>83.68</v>
      </c>
      <c r="AW8" s="142">
        <v>81.459999999999994</v>
      </c>
      <c r="AX8" s="142">
        <v>84.28</v>
      </c>
      <c r="AY8" s="142">
        <v>91.48</v>
      </c>
      <c r="AZ8" s="142">
        <v>90.16</v>
      </c>
      <c r="BA8" s="142">
        <v>79.81</v>
      </c>
      <c r="BB8" s="142">
        <v>87.3</v>
      </c>
      <c r="BC8" s="142">
        <v>79.87</v>
      </c>
      <c r="BD8" s="142">
        <v>83.85</v>
      </c>
      <c r="BE8" s="142" t="s">
        <v>215</v>
      </c>
      <c r="BF8" s="142">
        <v>95.38</v>
      </c>
      <c r="BG8" s="133"/>
      <c r="BH8" s="142">
        <v>87.65</v>
      </c>
      <c r="BI8" s="142">
        <v>78.34</v>
      </c>
      <c r="BJ8" s="142">
        <v>69.09</v>
      </c>
      <c r="BK8" s="142">
        <v>54.71</v>
      </c>
      <c r="BL8" s="133"/>
      <c r="BM8" s="142">
        <v>84.45</v>
      </c>
      <c r="BN8" s="142">
        <v>75.67</v>
      </c>
      <c r="BO8" s="142">
        <v>62.34</v>
      </c>
      <c r="BP8" s="142">
        <v>87.24</v>
      </c>
      <c r="BQ8" s="142">
        <v>66.099999999999994</v>
      </c>
      <c r="BR8" s="133"/>
      <c r="BS8" s="142">
        <v>89.83</v>
      </c>
      <c r="BT8" s="142">
        <v>83.54</v>
      </c>
      <c r="BU8" s="142">
        <v>77.73</v>
      </c>
      <c r="BV8" s="142">
        <v>61.02</v>
      </c>
    </row>
    <row r="9" spans="1:74">
      <c r="A9" s="204" t="s">
        <v>217</v>
      </c>
      <c r="B9" s="205"/>
      <c r="C9" s="206"/>
      <c r="D9" s="142">
        <v>77.78</v>
      </c>
      <c r="E9" s="142">
        <v>73.56</v>
      </c>
      <c r="F9" s="142">
        <v>84.91</v>
      </c>
      <c r="G9" s="142">
        <v>75.44</v>
      </c>
      <c r="H9" s="143">
        <v>4.2199999999999989</v>
      </c>
      <c r="I9" s="143">
        <v>-7.1299999999999955</v>
      </c>
      <c r="J9" s="143">
        <v>2.3400000000000034</v>
      </c>
      <c r="K9" s="133"/>
      <c r="L9" s="142">
        <v>85.2</v>
      </c>
      <c r="M9" s="142">
        <v>77.400000000000006</v>
      </c>
      <c r="N9" s="142">
        <v>75.959999999999994</v>
      </c>
      <c r="O9" s="142">
        <v>79.81</v>
      </c>
      <c r="P9" s="142">
        <v>83.12</v>
      </c>
      <c r="Q9" s="133"/>
      <c r="R9" s="142">
        <v>78.27</v>
      </c>
      <c r="S9" s="142">
        <v>78.02</v>
      </c>
      <c r="T9" s="133"/>
      <c r="U9" s="142">
        <v>80.489999999999995</v>
      </c>
      <c r="V9" s="142">
        <v>78.47</v>
      </c>
      <c r="W9" s="142">
        <v>78.739999999999995</v>
      </c>
      <c r="X9" s="142">
        <v>76.790000000000006</v>
      </c>
      <c r="Y9" s="142">
        <v>79.03</v>
      </c>
      <c r="Z9" s="133"/>
      <c r="AA9" s="142">
        <v>87.16</v>
      </c>
      <c r="AB9" s="142">
        <v>83.33</v>
      </c>
      <c r="AC9" s="142">
        <v>81.790000000000006</v>
      </c>
      <c r="AD9" s="142">
        <v>75.37</v>
      </c>
      <c r="AE9" s="142">
        <v>74.319999999999993</v>
      </c>
      <c r="AF9" s="142">
        <v>69.97</v>
      </c>
      <c r="AG9" s="142">
        <v>77.64</v>
      </c>
      <c r="AH9" s="142">
        <v>79.180000000000007</v>
      </c>
      <c r="AI9" s="142">
        <v>83.27</v>
      </c>
      <c r="AJ9" s="142">
        <v>72.260000000000005</v>
      </c>
      <c r="AK9" s="133"/>
      <c r="AL9" s="142">
        <v>87.17</v>
      </c>
      <c r="AM9" s="142">
        <v>79.760000000000005</v>
      </c>
      <c r="AN9" s="142">
        <v>74.66</v>
      </c>
      <c r="AO9" s="142">
        <v>72.42</v>
      </c>
      <c r="AP9" s="142">
        <v>77.63</v>
      </c>
      <c r="AQ9" s="142">
        <v>80.38</v>
      </c>
      <c r="AR9" s="133"/>
      <c r="AS9" s="142">
        <v>67.959999999999994</v>
      </c>
      <c r="AT9" s="142">
        <v>91.07</v>
      </c>
      <c r="AU9" s="142">
        <v>74.040000000000006</v>
      </c>
      <c r="AV9" s="142">
        <v>74.45</v>
      </c>
      <c r="AW9" s="142">
        <v>78.72</v>
      </c>
      <c r="AX9" s="142">
        <v>76.58</v>
      </c>
      <c r="AY9" s="142">
        <v>81.349999999999994</v>
      </c>
      <c r="AZ9" s="142">
        <v>80.63</v>
      </c>
      <c r="BA9" s="142">
        <v>70.56</v>
      </c>
      <c r="BB9" s="142">
        <v>81.760000000000005</v>
      </c>
      <c r="BC9" s="142">
        <v>76.849999999999994</v>
      </c>
      <c r="BD9" s="142">
        <v>73.540000000000006</v>
      </c>
      <c r="BE9" s="142" t="s">
        <v>215</v>
      </c>
      <c r="BF9" s="142">
        <v>85</v>
      </c>
      <c r="BG9" s="133"/>
      <c r="BH9" s="142">
        <v>83.2</v>
      </c>
      <c r="BI9" s="142">
        <v>74.31</v>
      </c>
      <c r="BJ9" s="142">
        <v>66.7</v>
      </c>
      <c r="BK9" s="142">
        <v>56.94</v>
      </c>
      <c r="BL9" s="133"/>
      <c r="BM9" s="142">
        <v>79.25</v>
      </c>
      <c r="BN9" s="142">
        <v>73.47</v>
      </c>
      <c r="BO9" s="142">
        <v>59.43</v>
      </c>
      <c r="BP9" s="142">
        <v>82.97</v>
      </c>
      <c r="BQ9" s="142">
        <v>62.41</v>
      </c>
      <c r="BR9" s="133"/>
      <c r="BS9" s="142">
        <v>85.29</v>
      </c>
      <c r="BT9" s="142">
        <v>79.36</v>
      </c>
      <c r="BU9" s="142">
        <v>73.209999999999994</v>
      </c>
      <c r="BV9" s="142">
        <v>61.49</v>
      </c>
    </row>
    <row r="10" spans="1:74">
      <c r="A10" s="207" t="s">
        <v>218</v>
      </c>
      <c r="B10" s="208"/>
      <c r="C10" s="209"/>
      <c r="D10" s="142">
        <v>83.3</v>
      </c>
      <c r="E10" s="142">
        <v>78.540000000000006</v>
      </c>
      <c r="F10" s="142">
        <v>90.36</v>
      </c>
      <c r="G10" s="142">
        <v>80.28</v>
      </c>
      <c r="H10" s="143">
        <v>4.7599999999999909</v>
      </c>
      <c r="I10" s="143">
        <v>-7.0600000000000023</v>
      </c>
      <c r="J10" s="143">
        <v>3.019999999999996</v>
      </c>
      <c r="K10" s="133"/>
      <c r="L10" s="142">
        <v>83.54</v>
      </c>
      <c r="M10" s="142">
        <v>81.03</v>
      </c>
      <c r="N10" s="142">
        <v>83.26</v>
      </c>
      <c r="O10" s="142">
        <v>88.56</v>
      </c>
      <c r="P10" s="142">
        <v>91.07</v>
      </c>
      <c r="Q10" s="133"/>
      <c r="R10" s="142">
        <v>83.68</v>
      </c>
      <c r="S10" s="142">
        <v>83.52</v>
      </c>
      <c r="T10" s="133"/>
      <c r="U10" s="142">
        <v>84.38</v>
      </c>
      <c r="V10" s="142">
        <v>84.66</v>
      </c>
      <c r="W10" s="142">
        <v>83.78</v>
      </c>
      <c r="X10" s="142">
        <v>82.02</v>
      </c>
      <c r="Y10" s="142">
        <v>86.82</v>
      </c>
      <c r="Z10" s="133"/>
      <c r="AA10" s="142">
        <v>94.93</v>
      </c>
      <c r="AB10" s="142">
        <v>92.27</v>
      </c>
      <c r="AC10" s="142">
        <v>89.09</v>
      </c>
      <c r="AD10" s="142">
        <v>82.97</v>
      </c>
      <c r="AE10" s="142">
        <v>81.58</v>
      </c>
      <c r="AF10" s="142">
        <v>76.73</v>
      </c>
      <c r="AG10" s="142">
        <v>80.61</v>
      </c>
      <c r="AH10" s="142">
        <v>83.49</v>
      </c>
      <c r="AI10" s="142">
        <v>80.66</v>
      </c>
      <c r="AJ10" s="142">
        <v>76.23</v>
      </c>
      <c r="AK10" s="133"/>
      <c r="AL10" s="142">
        <v>86.67</v>
      </c>
      <c r="AM10" s="142">
        <v>82.73</v>
      </c>
      <c r="AN10" s="142">
        <v>79.88</v>
      </c>
      <c r="AO10" s="142">
        <v>80.069999999999993</v>
      </c>
      <c r="AP10" s="142">
        <v>86.61</v>
      </c>
      <c r="AQ10" s="142">
        <v>88.62</v>
      </c>
      <c r="AR10" s="133"/>
      <c r="AS10" s="142">
        <v>72.989999999999995</v>
      </c>
      <c r="AT10" s="142">
        <v>99.04</v>
      </c>
      <c r="AU10" s="142">
        <v>80</v>
      </c>
      <c r="AV10" s="142">
        <v>84.75</v>
      </c>
      <c r="AW10" s="142">
        <v>83.95</v>
      </c>
      <c r="AX10" s="142">
        <v>89.61</v>
      </c>
      <c r="AY10" s="142">
        <v>93.45</v>
      </c>
      <c r="AZ10" s="142">
        <v>88.73</v>
      </c>
      <c r="BA10" s="142">
        <v>76.319999999999993</v>
      </c>
      <c r="BB10" s="142">
        <v>90.11</v>
      </c>
      <c r="BC10" s="142">
        <v>80.97</v>
      </c>
      <c r="BD10" s="142">
        <v>81.84</v>
      </c>
      <c r="BE10" s="142" t="s">
        <v>215</v>
      </c>
      <c r="BF10" s="142">
        <v>96.25</v>
      </c>
      <c r="BG10" s="133"/>
      <c r="BH10" s="142">
        <v>87.6</v>
      </c>
      <c r="BI10" s="142">
        <v>81.8</v>
      </c>
      <c r="BJ10" s="142">
        <v>71.7</v>
      </c>
      <c r="BK10" s="142">
        <v>66.19</v>
      </c>
      <c r="BL10" s="133"/>
      <c r="BM10" s="142">
        <v>84.85</v>
      </c>
      <c r="BN10" s="142">
        <v>75.930000000000007</v>
      </c>
      <c r="BO10" s="142">
        <v>67.13</v>
      </c>
      <c r="BP10" s="142">
        <v>89.76</v>
      </c>
      <c r="BQ10" s="142">
        <v>66.989999999999995</v>
      </c>
      <c r="BR10" s="133"/>
      <c r="BS10" s="142">
        <v>89.45</v>
      </c>
      <c r="BT10" s="142">
        <v>84.49</v>
      </c>
      <c r="BU10" s="142">
        <v>80.319999999999993</v>
      </c>
      <c r="BV10" s="142">
        <v>67.36</v>
      </c>
    </row>
    <row r="11" spans="1:74">
      <c r="A11" s="210" t="s">
        <v>219</v>
      </c>
      <c r="B11" s="211"/>
      <c r="C11" s="212"/>
      <c r="D11" s="142">
        <v>86.19</v>
      </c>
      <c r="E11" s="142">
        <v>81.86</v>
      </c>
      <c r="F11" s="142">
        <v>92.63</v>
      </c>
      <c r="G11" s="142">
        <v>83.31</v>
      </c>
      <c r="H11" s="143">
        <v>4.3299999999999983</v>
      </c>
      <c r="I11" s="143">
        <v>-6.4399999999999977</v>
      </c>
      <c r="J11" s="143">
        <v>2.8799999999999955</v>
      </c>
      <c r="K11" s="133"/>
      <c r="L11" s="142">
        <v>90.58</v>
      </c>
      <c r="M11" s="142">
        <v>85.89</v>
      </c>
      <c r="N11" s="142">
        <v>85.08</v>
      </c>
      <c r="O11" s="142">
        <v>88.42</v>
      </c>
      <c r="P11" s="142">
        <v>90.24</v>
      </c>
      <c r="Q11" s="133"/>
      <c r="R11" s="142">
        <v>86.39</v>
      </c>
      <c r="S11" s="142">
        <v>86.83</v>
      </c>
      <c r="T11" s="133"/>
      <c r="U11" s="142">
        <v>78.33</v>
      </c>
      <c r="V11" s="142">
        <v>85.6</v>
      </c>
      <c r="W11" s="142">
        <v>86.75</v>
      </c>
      <c r="X11" s="142">
        <v>85.69</v>
      </c>
      <c r="Y11" s="142">
        <v>89.35</v>
      </c>
      <c r="Z11" s="133"/>
      <c r="AA11" s="142">
        <v>94.86</v>
      </c>
      <c r="AB11" s="142">
        <v>92.88</v>
      </c>
      <c r="AC11" s="142">
        <v>90.23</v>
      </c>
      <c r="AD11" s="142">
        <v>86.42</v>
      </c>
      <c r="AE11" s="142">
        <v>83.34</v>
      </c>
      <c r="AF11" s="142">
        <v>79.400000000000006</v>
      </c>
      <c r="AG11" s="142">
        <v>84.13</v>
      </c>
      <c r="AH11" s="142">
        <v>86.8</v>
      </c>
      <c r="AI11" s="142">
        <v>89.26</v>
      </c>
      <c r="AJ11" s="142">
        <v>80.28</v>
      </c>
      <c r="AK11" s="133"/>
      <c r="AL11" s="142">
        <v>91.77</v>
      </c>
      <c r="AM11" s="142">
        <v>87.67</v>
      </c>
      <c r="AN11" s="142">
        <v>83.75</v>
      </c>
      <c r="AO11" s="142">
        <v>81.36</v>
      </c>
      <c r="AP11" s="142">
        <v>88.32</v>
      </c>
      <c r="AQ11" s="142">
        <v>88.26</v>
      </c>
      <c r="AR11" s="133"/>
      <c r="AS11" s="142">
        <v>60.71</v>
      </c>
      <c r="AT11" s="142">
        <v>98.57</v>
      </c>
      <c r="AU11" s="142">
        <v>79.77</v>
      </c>
      <c r="AV11" s="142">
        <v>87.66</v>
      </c>
      <c r="AW11" s="142">
        <v>86.3</v>
      </c>
      <c r="AX11" s="142">
        <v>90.11</v>
      </c>
      <c r="AY11" s="142">
        <v>93.76</v>
      </c>
      <c r="AZ11" s="142">
        <v>92.57</v>
      </c>
      <c r="BA11" s="142">
        <v>79.37</v>
      </c>
      <c r="BB11" s="142">
        <v>91.39</v>
      </c>
      <c r="BC11" s="142">
        <v>85.14</v>
      </c>
      <c r="BD11" s="142">
        <v>86.85</v>
      </c>
      <c r="BE11" s="142" t="s">
        <v>215</v>
      </c>
      <c r="BF11" s="142">
        <v>91</v>
      </c>
      <c r="BG11" s="133"/>
      <c r="BH11" s="142">
        <v>90.98</v>
      </c>
      <c r="BI11" s="142">
        <v>84.03</v>
      </c>
      <c r="BJ11" s="142">
        <v>75.88</v>
      </c>
      <c r="BK11" s="142">
        <v>65.92</v>
      </c>
      <c r="BL11" s="133"/>
      <c r="BM11" s="142">
        <v>88.44</v>
      </c>
      <c r="BN11" s="142">
        <v>81.05</v>
      </c>
      <c r="BO11" s="142">
        <v>68.94</v>
      </c>
      <c r="BP11" s="142">
        <v>91.63</v>
      </c>
      <c r="BQ11" s="142">
        <v>70.739999999999995</v>
      </c>
      <c r="BR11" s="133"/>
      <c r="BS11" s="142">
        <v>93.27</v>
      </c>
      <c r="BT11" s="142">
        <v>88.22</v>
      </c>
      <c r="BU11" s="142">
        <v>84</v>
      </c>
      <c r="BV11" s="142">
        <v>70.72</v>
      </c>
    </row>
    <row r="12" spans="1:74">
      <c r="A12" s="144" t="s">
        <v>356</v>
      </c>
      <c r="B12" s="112">
        <v>58</v>
      </c>
      <c r="C12" s="113" t="s">
        <v>220</v>
      </c>
      <c r="D12" s="145">
        <v>84.08</v>
      </c>
      <c r="E12" s="145">
        <v>79.319999999999993</v>
      </c>
      <c r="F12" s="145">
        <v>91.62</v>
      </c>
      <c r="G12" s="145">
        <v>82.28</v>
      </c>
      <c r="H12" s="146">
        <v>4.7600000000000051</v>
      </c>
      <c r="I12" s="146">
        <v>-7.5400000000000063</v>
      </c>
      <c r="J12" s="146">
        <v>1.7999999999999972</v>
      </c>
      <c r="K12" s="133"/>
      <c r="L12" s="145">
        <v>87.33</v>
      </c>
      <c r="M12" s="145">
        <v>82.4</v>
      </c>
      <c r="N12" s="145">
        <v>83.7</v>
      </c>
      <c r="O12" s="145">
        <v>87.89</v>
      </c>
      <c r="P12" s="145">
        <v>93.55</v>
      </c>
      <c r="Q12" s="133"/>
      <c r="R12" s="145">
        <v>85.32</v>
      </c>
      <c r="S12" s="145">
        <v>83.78</v>
      </c>
      <c r="T12" s="133"/>
      <c r="U12" s="145">
        <v>75</v>
      </c>
      <c r="V12" s="145">
        <v>86.11</v>
      </c>
      <c r="W12" s="145">
        <v>84.66</v>
      </c>
      <c r="X12" s="145">
        <v>82.38</v>
      </c>
      <c r="Y12" s="145">
        <v>89.58</v>
      </c>
      <c r="Z12" s="133"/>
      <c r="AA12" s="145">
        <v>98.65</v>
      </c>
      <c r="AB12" s="145">
        <v>94.24</v>
      </c>
      <c r="AC12" s="145">
        <v>89.27</v>
      </c>
      <c r="AD12" s="145">
        <v>85.34</v>
      </c>
      <c r="AE12" s="145">
        <v>81.61</v>
      </c>
      <c r="AF12" s="145">
        <v>80</v>
      </c>
      <c r="AG12" s="145">
        <v>81.459999999999994</v>
      </c>
      <c r="AH12" s="145">
        <v>82.78</v>
      </c>
      <c r="AI12" s="145">
        <v>82.83</v>
      </c>
      <c r="AJ12" s="145">
        <v>76.19</v>
      </c>
      <c r="AK12" s="133"/>
      <c r="AL12" s="145">
        <v>90.59</v>
      </c>
      <c r="AM12" s="145">
        <v>84.53</v>
      </c>
      <c r="AN12" s="145">
        <v>80.75</v>
      </c>
      <c r="AO12" s="145">
        <v>79.08</v>
      </c>
      <c r="AP12" s="145">
        <v>86.71</v>
      </c>
      <c r="AQ12" s="145">
        <v>89.28</v>
      </c>
      <c r="AR12" s="133"/>
      <c r="AS12" s="145">
        <v>75</v>
      </c>
      <c r="AT12" s="145">
        <v>100</v>
      </c>
      <c r="AU12" s="145">
        <v>75.61</v>
      </c>
      <c r="AV12" s="145">
        <v>86.36</v>
      </c>
      <c r="AW12" s="145">
        <v>83.41</v>
      </c>
      <c r="AX12" s="145">
        <v>91.58</v>
      </c>
      <c r="AY12" s="145">
        <v>100</v>
      </c>
      <c r="AZ12" s="145">
        <v>91.12</v>
      </c>
      <c r="BA12" s="145">
        <v>81.37</v>
      </c>
      <c r="BB12" s="145">
        <v>91.53</v>
      </c>
      <c r="BC12" s="145">
        <v>83.23</v>
      </c>
      <c r="BD12" s="145">
        <v>87.67</v>
      </c>
      <c r="BE12" s="145" t="s">
        <v>215</v>
      </c>
      <c r="BF12" s="145">
        <v>100</v>
      </c>
      <c r="BG12" s="133"/>
      <c r="BH12" s="145">
        <v>89.51</v>
      </c>
      <c r="BI12" s="145">
        <v>82.26</v>
      </c>
      <c r="BJ12" s="145">
        <v>70.599999999999994</v>
      </c>
      <c r="BK12" s="145">
        <v>68.099999999999994</v>
      </c>
      <c r="BL12" s="133"/>
      <c r="BM12" s="145">
        <v>87.3</v>
      </c>
      <c r="BN12" s="145">
        <v>77.290000000000006</v>
      </c>
      <c r="BO12" s="145">
        <v>65.349999999999994</v>
      </c>
      <c r="BP12" s="145">
        <v>91.62</v>
      </c>
      <c r="BQ12" s="145">
        <v>61.47</v>
      </c>
      <c r="BR12" s="133"/>
      <c r="BS12" s="145">
        <v>93.54</v>
      </c>
      <c r="BT12" s="145">
        <v>87.99</v>
      </c>
      <c r="BU12" s="145">
        <v>81.739999999999995</v>
      </c>
      <c r="BV12" s="145">
        <v>63.29</v>
      </c>
    </row>
    <row r="13" spans="1:74">
      <c r="A13" s="195" t="s">
        <v>221</v>
      </c>
      <c r="B13" s="196"/>
      <c r="C13" s="197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3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3"/>
      <c r="R13" s="26">
        <v>83.48</v>
      </c>
      <c r="S13" s="26">
        <v>83.12</v>
      </c>
      <c r="T13" s="133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3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3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3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3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3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3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8"/>
      <c r="B14" s="138"/>
      <c r="C14" s="139" t="s">
        <v>357</v>
      </c>
      <c r="D14" s="147">
        <v>78.88</v>
      </c>
      <c r="E14" s="147">
        <v>73.930000000000007</v>
      </c>
      <c r="F14" s="147"/>
      <c r="G14" s="147"/>
      <c r="H14" s="147"/>
      <c r="I14" s="147"/>
      <c r="J14" s="147"/>
      <c r="K14" s="148"/>
      <c r="L14" s="147">
        <v>82.41</v>
      </c>
      <c r="M14" s="147">
        <v>77.44</v>
      </c>
      <c r="N14" s="147">
        <v>78.069999999999993</v>
      </c>
      <c r="O14" s="147">
        <v>82.57</v>
      </c>
      <c r="P14" s="147">
        <v>86.36</v>
      </c>
      <c r="Q14" s="148"/>
      <c r="R14" s="147">
        <v>79.62</v>
      </c>
      <c r="S14" s="147">
        <v>78.790000000000006</v>
      </c>
      <c r="T14" s="148"/>
      <c r="U14" s="147">
        <v>68.069999999999993</v>
      </c>
      <c r="V14" s="147">
        <v>79.69</v>
      </c>
      <c r="W14" s="147">
        <v>79.13</v>
      </c>
      <c r="X14" s="147">
        <v>78.17</v>
      </c>
      <c r="Y14" s="147">
        <v>82.9</v>
      </c>
      <c r="Z14" s="148"/>
      <c r="AA14" s="147">
        <v>91.91</v>
      </c>
      <c r="AB14" s="147">
        <v>88.05</v>
      </c>
      <c r="AC14" s="147">
        <v>86.33</v>
      </c>
      <c r="AD14" s="147">
        <v>77.510000000000005</v>
      </c>
      <c r="AE14" s="147">
        <v>73.2</v>
      </c>
      <c r="AF14" s="147">
        <v>71.02</v>
      </c>
      <c r="AG14" s="147">
        <v>74.760000000000005</v>
      </c>
      <c r="AH14" s="147">
        <v>80.2</v>
      </c>
      <c r="AI14" s="147">
        <v>80.39</v>
      </c>
      <c r="AJ14" s="147" t="s">
        <v>215</v>
      </c>
      <c r="AK14" s="148"/>
      <c r="AL14" s="147">
        <v>83.99</v>
      </c>
      <c r="AM14" s="147">
        <v>78.19</v>
      </c>
      <c r="AN14" s="147">
        <v>76.42</v>
      </c>
      <c r="AO14" s="147">
        <v>76.36</v>
      </c>
      <c r="AP14" s="147">
        <v>80.75</v>
      </c>
      <c r="AQ14" s="147">
        <v>84.02</v>
      </c>
      <c r="AR14" s="148"/>
      <c r="AS14" s="147">
        <v>71.709999999999994</v>
      </c>
      <c r="AT14" s="147">
        <v>94.66</v>
      </c>
      <c r="AU14" s="147">
        <v>78.58</v>
      </c>
      <c r="AV14" s="147">
        <v>74.38</v>
      </c>
      <c r="AW14" s="147">
        <v>80.41</v>
      </c>
      <c r="AX14" s="147">
        <v>84.16</v>
      </c>
      <c r="AY14" s="147" t="s">
        <v>215</v>
      </c>
      <c r="AZ14" s="147">
        <v>87.49</v>
      </c>
      <c r="BA14" s="147">
        <v>80.099999999999994</v>
      </c>
      <c r="BB14" s="147">
        <v>77.22</v>
      </c>
      <c r="BC14" s="147">
        <v>75.45</v>
      </c>
      <c r="BD14" s="147">
        <v>82.2</v>
      </c>
      <c r="BE14" s="147" t="s">
        <v>215</v>
      </c>
      <c r="BF14" s="147">
        <v>91.82</v>
      </c>
      <c r="BG14" s="148"/>
      <c r="BH14" s="147">
        <v>84.86</v>
      </c>
      <c r="BI14" s="147">
        <v>74.510000000000005</v>
      </c>
      <c r="BJ14" s="147">
        <v>66.599999999999994</v>
      </c>
      <c r="BK14" s="147">
        <v>55.18</v>
      </c>
      <c r="BL14" s="148"/>
      <c r="BM14" s="147">
        <v>80.739999999999995</v>
      </c>
      <c r="BN14" s="147">
        <v>74.11</v>
      </c>
      <c r="BO14" s="147">
        <v>60.51</v>
      </c>
      <c r="BP14" s="147">
        <v>85.59</v>
      </c>
      <c r="BQ14" s="147">
        <v>59.82</v>
      </c>
      <c r="BR14" s="148"/>
      <c r="BS14" s="147" t="s">
        <v>215</v>
      </c>
      <c r="BT14" s="147" t="s">
        <v>215</v>
      </c>
      <c r="BU14" s="147" t="s">
        <v>215</v>
      </c>
      <c r="BV14" s="147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3"/>
      <c r="L16" s="198">
        <f>+SUM(L3:P3)</f>
        <v>4698</v>
      </c>
      <c r="M16" s="199"/>
      <c r="N16" s="199"/>
      <c r="O16" s="199"/>
      <c r="P16" s="200"/>
      <c r="Q16" s="133"/>
      <c r="R16" s="198">
        <f>+SUM(R3:S3)</f>
        <v>4667</v>
      </c>
      <c r="S16" s="200"/>
      <c r="T16" s="133"/>
      <c r="U16" s="198">
        <f>+SUM(U3:Y3)</f>
        <v>4690</v>
      </c>
      <c r="V16" s="199"/>
      <c r="W16" s="199"/>
      <c r="X16" s="199"/>
      <c r="Y16" s="200"/>
      <c r="Z16" s="133"/>
      <c r="AA16" s="198">
        <f>+SUM(AA3:AJ3)</f>
        <v>4649</v>
      </c>
      <c r="AB16" s="199"/>
      <c r="AC16" s="199"/>
      <c r="AD16" s="199"/>
      <c r="AE16" s="199"/>
      <c r="AF16" s="199"/>
      <c r="AG16" s="199"/>
      <c r="AH16" s="199"/>
      <c r="AI16" s="199"/>
      <c r="AJ16" s="200"/>
      <c r="AK16" s="133"/>
      <c r="AL16" s="198">
        <f>+SUM(AL3:AQ3)</f>
        <v>4670</v>
      </c>
      <c r="AM16" s="199"/>
      <c r="AN16" s="199"/>
      <c r="AO16" s="199"/>
      <c r="AP16" s="199"/>
      <c r="AQ16" s="200"/>
      <c r="AR16" s="133"/>
      <c r="AS16" s="198">
        <f>+SUM(AS3:BF3)</f>
        <v>4886</v>
      </c>
      <c r="AT16" s="199"/>
      <c r="AU16" s="199"/>
      <c r="AV16" s="199"/>
      <c r="AW16" s="199"/>
      <c r="AX16" s="199"/>
      <c r="AY16" s="199"/>
      <c r="AZ16" s="199"/>
      <c r="BA16" s="199"/>
      <c r="BB16" s="199"/>
      <c r="BC16" s="199"/>
      <c r="BD16" s="199"/>
      <c r="BE16" s="199"/>
      <c r="BF16" s="200"/>
      <c r="BG16" s="133"/>
      <c r="BH16" s="198">
        <f>+SUM(BH3:BK3)</f>
        <v>4149</v>
      </c>
      <c r="BI16" s="199"/>
      <c r="BJ16" s="199"/>
      <c r="BK16" s="200"/>
      <c r="BL16" s="133"/>
      <c r="BM16" s="198">
        <f>+SUM(BM3:BQ3)</f>
        <v>3932</v>
      </c>
      <c r="BN16" s="199"/>
      <c r="BO16" s="199"/>
      <c r="BP16" s="199"/>
      <c r="BQ16" s="200"/>
      <c r="BR16" s="133"/>
      <c r="BS16" s="198">
        <f>+SUM(BS3:BV3)</f>
        <v>1839</v>
      </c>
      <c r="BT16" s="199"/>
      <c r="BU16" s="199"/>
      <c r="BV16" s="200"/>
    </row>
    <row r="17" spans="1:74">
      <c r="A17" s="135"/>
      <c r="B17" s="135"/>
      <c r="C17" s="136" t="s">
        <v>359</v>
      </c>
      <c r="D17" s="137"/>
      <c r="E17" s="137"/>
      <c r="F17" s="137"/>
      <c r="G17" s="137"/>
      <c r="H17" s="137"/>
      <c r="I17" s="137"/>
      <c r="J17" s="137"/>
      <c r="K17" s="133"/>
      <c r="L17" s="149">
        <f>+L3/$L$16</f>
        <v>6.2154108131119629E-2</v>
      </c>
      <c r="M17" s="149">
        <f t="shared" ref="M17:P17" si="0">+M3/$L$16</f>
        <v>0.42486164325244785</v>
      </c>
      <c r="N17" s="149">
        <f t="shared" si="0"/>
        <v>0.30353341847594723</v>
      </c>
      <c r="O17" s="149">
        <f t="shared" si="0"/>
        <v>0.15666240953597274</v>
      </c>
      <c r="P17" s="149">
        <f t="shared" si="0"/>
        <v>5.2788420604512561E-2</v>
      </c>
      <c r="Q17" s="133"/>
      <c r="R17" s="149">
        <f>+R3/$R$16</f>
        <v>0.53053353331904862</v>
      </c>
      <c r="S17" s="149">
        <f>+S3/$R$16</f>
        <v>0.46946646668095138</v>
      </c>
      <c r="T17" s="133"/>
      <c r="U17" s="149">
        <f>+U3/$U$16</f>
        <v>2.5586353944562902E-3</v>
      </c>
      <c r="V17" s="149">
        <f t="shared" ref="V17:Y17" si="1">+V3/$U$16</f>
        <v>7.6759061833688705E-2</v>
      </c>
      <c r="W17" s="149">
        <f t="shared" si="1"/>
        <v>0.48528784648187634</v>
      </c>
      <c r="X17" s="149">
        <f t="shared" si="1"/>
        <v>0.32878464818763325</v>
      </c>
      <c r="Y17" s="149">
        <f t="shared" si="1"/>
        <v>0.10660980810234541</v>
      </c>
      <c r="Z17" s="133"/>
      <c r="AA17" s="149">
        <f>+AA3/$AA$16</f>
        <v>1.5917401591740158E-2</v>
      </c>
      <c r="AB17" s="149">
        <f t="shared" ref="AB17:AJ17" si="2">+AB3/$AA$16</f>
        <v>2.98989029898903E-2</v>
      </c>
      <c r="AC17" s="149">
        <f t="shared" si="2"/>
        <v>0.2105829210582921</v>
      </c>
      <c r="AD17" s="149">
        <f t="shared" si="2"/>
        <v>0.17078941707894171</v>
      </c>
      <c r="AE17" s="149">
        <f t="shared" si="2"/>
        <v>8.3028608302860823E-2</v>
      </c>
      <c r="AF17" s="149">
        <f t="shared" si="2"/>
        <v>9.1632609163260922E-2</v>
      </c>
      <c r="AG17" s="149">
        <f t="shared" si="2"/>
        <v>0.11529361152936116</v>
      </c>
      <c r="AH17" s="149">
        <f t="shared" si="2"/>
        <v>0.18864271886427189</v>
      </c>
      <c r="AI17" s="149">
        <f t="shared" si="2"/>
        <v>8.5179608517960859E-2</v>
      </c>
      <c r="AJ17" s="149">
        <f t="shared" si="2"/>
        <v>9.0342009034200896E-3</v>
      </c>
      <c r="AK17" s="133"/>
      <c r="AL17" s="149">
        <f>+AL3/$AL$16</f>
        <v>9.1006423982869372E-2</v>
      </c>
      <c r="AM17" s="149">
        <f t="shared" ref="AM17:AQ17" si="3">+AM3/$AL$16</f>
        <v>0.24089935760171305</v>
      </c>
      <c r="AN17" s="149">
        <f t="shared" si="3"/>
        <v>0.25653104925053533</v>
      </c>
      <c r="AO17" s="149">
        <f t="shared" si="3"/>
        <v>8.8222698072805139E-2</v>
      </c>
      <c r="AP17" s="149">
        <f t="shared" si="3"/>
        <v>0.16937901498929336</v>
      </c>
      <c r="AQ17" s="149">
        <f t="shared" si="3"/>
        <v>0.15396145610278372</v>
      </c>
      <c r="AR17" s="133"/>
      <c r="AS17" s="149">
        <f>+AS3/$AS$16</f>
        <v>1.637331150225133E-3</v>
      </c>
      <c r="AT17" s="149">
        <f t="shared" ref="AT17:BF17" si="4">+AT3/$AS$16</f>
        <v>2.8653295128939827E-3</v>
      </c>
      <c r="AU17" s="149">
        <f t="shared" si="4"/>
        <v>8.3913221449038074E-3</v>
      </c>
      <c r="AV17" s="149">
        <f t="shared" si="4"/>
        <v>4.0728612361850186E-2</v>
      </c>
      <c r="AW17" s="149">
        <f t="shared" si="4"/>
        <v>0.53458862054850598</v>
      </c>
      <c r="AX17" s="149">
        <f t="shared" si="4"/>
        <v>1.9443307408923454E-2</v>
      </c>
      <c r="AY17" s="149">
        <f t="shared" si="4"/>
        <v>4.2979942693409743E-3</v>
      </c>
      <c r="AZ17" s="149">
        <f t="shared" si="4"/>
        <v>3.4793286942284077E-2</v>
      </c>
      <c r="BA17" s="149">
        <f t="shared" si="4"/>
        <v>2.0875972165370446E-2</v>
      </c>
      <c r="BB17" s="149">
        <f t="shared" si="4"/>
        <v>1.2279983626688497E-2</v>
      </c>
      <c r="BC17" s="149">
        <f t="shared" si="4"/>
        <v>0.30249693000409333</v>
      </c>
      <c r="BD17" s="149">
        <f t="shared" si="4"/>
        <v>1.4940646745804339E-2</v>
      </c>
      <c r="BE17" s="149">
        <f t="shared" si="4"/>
        <v>6.1399918133442485E-4</v>
      </c>
      <c r="BF17" s="149">
        <f t="shared" si="4"/>
        <v>2.0466639377814161E-3</v>
      </c>
      <c r="BG17" s="133"/>
      <c r="BH17" s="149">
        <f>+BH3/$BH$16</f>
        <v>0.58905760424198605</v>
      </c>
      <c r="BI17" s="149">
        <f t="shared" ref="BI17:BJ17" si="5">+BI3/$BH$16</f>
        <v>0.26223186309954205</v>
      </c>
      <c r="BJ17" s="149">
        <f t="shared" si="5"/>
        <v>0.12075198843094721</v>
      </c>
      <c r="BK17" s="149">
        <f>+BK3/$BH$16</f>
        <v>2.7958544227524706E-2</v>
      </c>
      <c r="BL17" s="133"/>
      <c r="BM17" s="149">
        <f>+BM3/$BM$16</f>
        <v>0.17293997965412003</v>
      </c>
      <c r="BN17" s="149">
        <f t="shared" ref="BN17:BP17" si="6">+BN3/$BM$16</f>
        <v>0.23906408952187183</v>
      </c>
      <c r="BO17" s="149">
        <f t="shared" si="6"/>
        <v>2.5686673448626653E-2</v>
      </c>
      <c r="BP17" s="149">
        <f t="shared" si="6"/>
        <v>0.50686673448626651</v>
      </c>
      <c r="BQ17" s="149">
        <f>+BQ3/$BM$16</f>
        <v>5.5442522889114956E-2</v>
      </c>
      <c r="BR17" s="133"/>
      <c r="BS17" s="149">
        <f>+BS3/$BS$16</f>
        <v>0.4290375203915171</v>
      </c>
      <c r="BT17" s="149">
        <f t="shared" ref="BT17:BV17" si="7">+BT3/$BS$16</f>
        <v>0.15388798259923872</v>
      </c>
      <c r="BU17" s="149">
        <f t="shared" si="7"/>
        <v>0.24469820554649266</v>
      </c>
      <c r="BV17" s="149">
        <f t="shared" si="7"/>
        <v>0.17237629146275149</v>
      </c>
    </row>
    <row r="18" spans="1:74">
      <c r="A18" s="135"/>
      <c r="B18" s="135"/>
      <c r="C18" s="136" t="s">
        <v>424</v>
      </c>
      <c r="D18" s="137"/>
      <c r="E18" s="137"/>
      <c r="F18" s="137"/>
      <c r="G18" s="137"/>
      <c r="H18" s="137"/>
      <c r="I18" s="137"/>
      <c r="J18" s="137"/>
      <c r="K18" s="133"/>
      <c r="L18" s="137"/>
      <c r="M18" s="137"/>
      <c r="N18" s="137"/>
      <c r="O18" s="137"/>
      <c r="P18" s="137"/>
      <c r="Q18" s="133"/>
      <c r="R18" s="137"/>
      <c r="S18" s="137"/>
      <c r="T18" s="133"/>
      <c r="U18" s="137"/>
      <c r="V18" s="137"/>
      <c r="W18" s="137"/>
      <c r="X18" s="137"/>
      <c r="Y18" s="137"/>
      <c r="Z18" s="133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3"/>
      <c r="AL18" s="137"/>
      <c r="AM18" s="137"/>
      <c r="AN18" s="137"/>
      <c r="AO18" s="137"/>
      <c r="AP18" s="137"/>
      <c r="AQ18" s="137"/>
      <c r="AR18" s="133"/>
      <c r="AS18" s="150">
        <f>+AS3/AS4</f>
        <v>0.88888888888888884</v>
      </c>
      <c r="AT18" s="150">
        <f t="shared" ref="AT18:BF18" si="8">+AT3/AT4</f>
        <v>0.63636363636363635</v>
      </c>
      <c r="AU18" s="150">
        <f t="shared" si="8"/>
        <v>0.95348837209302328</v>
      </c>
      <c r="AV18" s="150">
        <f t="shared" si="8"/>
        <v>0.908675799086758</v>
      </c>
      <c r="AW18" s="150">
        <f t="shared" si="8"/>
        <v>0.93620071684587813</v>
      </c>
      <c r="AX18" s="150">
        <f t="shared" si="8"/>
        <v>0.97938144329896903</v>
      </c>
      <c r="AY18" s="150">
        <f t="shared" si="8"/>
        <v>1</v>
      </c>
      <c r="AZ18" s="150">
        <f t="shared" si="8"/>
        <v>0.94972067039106145</v>
      </c>
      <c r="BA18" s="150">
        <f t="shared" si="8"/>
        <v>0.93577981651376152</v>
      </c>
      <c r="BB18" s="150">
        <f t="shared" si="8"/>
        <v>0.967741935483871</v>
      </c>
      <c r="BC18" s="150">
        <f t="shared" si="8"/>
        <v>0.93131695022054195</v>
      </c>
      <c r="BD18" s="150">
        <f t="shared" si="8"/>
        <v>0.94805194805194803</v>
      </c>
      <c r="BE18" s="150">
        <f t="shared" si="8"/>
        <v>0.75</v>
      </c>
      <c r="BF18" s="150">
        <f t="shared" si="8"/>
        <v>0.83333333333333337</v>
      </c>
      <c r="BG18" s="133"/>
      <c r="BH18" s="137"/>
      <c r="BI18" s="137"/>
      <c r="BJ18" s="137"/>
      <c r="BK18" s="137"/>
      <c r="BL18" s="133"/>
      <c r="BM18" s="137"/>
      <c r="BN18" s="137"/>
      <c r="BO18" s="137"/>
      <c r="BP18" s="137"/>
      <c r="BQ18" s="137"/>
      <c r="BR18" s="133"/>
      <c r="BS18" s="137"/>
      <c r="BT18" s="137"/>
      <c r="BU18" s="137"/>
      <c r="BV18" s="137"/>
    </row>
    <row r="19" spans="1:74">
      <c r="A19" s="138"/>
      <c r="B19" s="138"/>
      <c r="C19" s="139" t="s">
        <v>425</v>
      </c>
      <c r="D19" s="140"/>
      <c r="E19" s="140"/>
      <c r="F19" s="140"/>
      <c r="G19" s="140"/>
      <c r="H19" s="140"/>
      <c r="I19" s="140"/>
      <c r="J19" s="140"/>
      <c r="K19" s="133"/>
      <c r="L19" s="140"/>
      <c r="M19" s="140"/>
      <c r="N19" s="140"/>
      <c r="O19" s="140"/>
      <c r="P19" s="140"/>
      <c r="Q19" s="133"/>
      <c r="R19" s="140"/>
      <c r="S19" s="140"/>
      <c r="T19" s="133"/>
      <c r="U19" s="140"/>
      <c r="V19" s="140"/>
      <c r="W19" s="140"/>
      <c r="X19" s="140"/>
      <c r="Y19" s="140"/>
      <c r="Z19" s="133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33"/>
      <c r="AL19" s="140"/>
      <c r="AM19" s="140"/>
      <c r="AN19" s="140"/>
      <c r="AO19" s="140"/>
      <c r="AP19" s="140"/>
      <c r="AQ19" s="140"/>
      <c r="AR19" s="133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33"/>
      <c r="BH19" s="140"/>
      <c r="BI19" s="140"/>
      <c r="BJ19" s="140"/>
      <c r="BK19" s="140"/>
      <c r="BL19" s="133"/>
      <c r="BM19" s="192">
        <f>+SUM(BM5:BQ5)</f>
        <v>4577</v>
      </c>
      <c r="BN19" s="193"/>
      <c r="BO19" s="193"/>
      <c r="BP19" s="193"/>
      <c r="BQ19" s="194"/>
      <c r="BR19" s="133"/>
      <c r="BS19" s="140"/>
      <c r="BT19" s="140"/>
      <c r="BU19" s="140"/>
      <c r="BV19" s="140"/>
    </row>
    <row r="20" spans="1:74">
      <c r="A20" s="138"/>
      <c r="B20" s="138"/>
      <c r="C20" s="139" t="s">
        <v>426</v>
      </c>
      <c r="D20" s="140"/>
      <c r="E20" s="140"/>
      <c r="F20" s="140"/>
      <c r="G20" s="140"/>
      <c r="H20" s="140"/>
      <c r="I20" s="140"/>
      <c r="J20" s="140"/>
      <c r="K20" s="133"/>
      <c r="L20" s="140"/>
      <c r="M20" s="140"/>
      <c r="N20" s="140"/>
      <c r="O20" s="140"/>
      <c r="P20" s="140"/>
      <c r="Q20" s="133"/>
      <c r="R20" s="140"/>
      <c r="S20" s="140"/>
      <c r="T20" s="133"/>
      <c r="U20" s="140"/>
      <c r="V20" s="140"/>
      <c r="W20" s="140"/>
      <c r="X20" s="140"/>
      <c r="Y20" s="140"/>
      <c r="Z20" s="133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33"/>
      <c r="AL20" s="140"/>
      <c r="AM20" s="140"/>
      <c r="AN20" s="140"/>
      <c r="AO20" s="140"/>
      <c r="AP20" s="140"/>
      <c r="AQ20" s="140"/>
      <c r="AR20" s="133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33"/>
      <c r="BH20" s="140"/>
      <c r="BI20" s="140"/>
      <c r="BJ20" s="140"/>
      <c r="BK20" s="140"/>
      <c r="BL20" s="133"/>
      <c r="BM20" s="151">
        <f>+BM5/$BM$19</f>
        <v>0.16692156434345642</v>
      </c>
      <c r="BN20" s="151">
        <f t="shared" ref="BN20:BQ20" si="9">+BN5/$BM$19</f>
        <v>0.26982739785885951</v>
      </c>
      <c r="BO20" s="151">
        <f t="shared" si="9"/>
        <v>2.8839851431068386E-2</v>
      </c>
      <c r="BP20" s="151">
        <f t="shared" si="9"/>
        <v>0.46952152064671182</v>
      </c>
      <c r="BQ20" s="151">
        <f t="shared" si="9"/>
        <v>6.4889665719903872E-2</v>
      </c>
      <c r="BR20" s="133"/>
      <c r="BS20" s="140"/>
      <c r="BT20" s="140"/>
      <c r="BU20" s="140"/>
      <c r="BV20" s="140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85" priority="43" stopIfTrue="1" operator="lessThanOrEqual">
      <formula>44.49</formula>
    </cfRule>
    <cfRule type="cellIs" dxfId="284" priority="44" stopIfTrue="1" operator="greaterThanOrEqual">
      <formula>85.5</formula>
    </cfRule>
    <cfRule type="cellIs" dxfId="283" priority="45" stopIfTrue="1" operator="between">
      <formula>44.5</formula>
      <formula>60.49</formula>
    </cfRule>
  </conditionalFormatting>
  <conditionalFormatting sqref="D7:D11">
    <cfRule type="cellIs" dxfId="282" priority="40" stopIfTrue="1" operator="lessThanOrEqual">
      <formula>44.49</formula>
    </cfRule>
    <cfRule type="cellIs" dxfId="281" priority="41" stopIfTrue="1" operator="greaterThanOrEqual">
      <formula>85.5</formula>
    </cfRule>
    <cfRule type="cellIs" dxfId="280" priority="42" stopIfTrue="1" operator="between">
      <formula>44.5</formula>
      <formula>60.49</formula>
    </cfRule>
  </conditionalFormatting>
  <conditionalFormatting sqref="E7:E11">
    <cfRule type="cellIs" dxfId="279" priority="37" stopIfTrue="1" operator="lessThanOrEqual">
      <formula>44.49</formula>
    </cfRule>
    <cfRule type="cellIs" dxfId="278" priority="38" stopIfTrue="1" operator="greaterThanOrEqual">
      <formula>85.5</formula>
    </cfRule>
    <cfRule type="cellIs" dxfId="277" priority="39" stopIfTrue="1" operator="between">
      <formula>44.5</formula>
      <formula>60.49</formula>
    </cfRule>
  </conditionalFormatting>
  <conditionalFormatting sqref="F7:F11">
    <cfRule type="cellIs" dxfId="276" priority="34" stopIfTrue="1" operator="lessThanOrEqual">
      <formula>44.49</formula>
    </cfRule>
    <cfRule type="cellIs" dxfId="275" priority="35" stopIfTrue="1" operator="greaterThanOrEqual">
      <formula>85.5</formula>
    </cfRule>
    <cfRule type="cellIs" dxfId="274" priority="36" stopIfTrue="1" operator="between">
      <formula>44.5</formula>
      <formula>60.49</formula>
    </cfRule>
  </conditionalFormatting>
  <conditionalFormatting sqref="G7:G11">
    <cfRule type="cellIs" dxfId="273" priority="31" stopIfTrue="1" operator="lessThanOrEqual">
      <formula>44.49</formula>
    </cfRule>
    <cfRule type="cellIs" dxfId="272" priority="32" stopIfTrue="1" operator="greaterThanOrEqual">
      <formula>85.5</formula>
    </cfRule>
    <cfRule type="cellIs" dxfId="271" priority="33" stopIfTrue="1" operator="between">
      <formula>44.5</formula>
      <formula>60.49</formula>
    </cfRule>
  </conditionalFormatting>
  <conditionalFormatting sqref="R7:R11">
    <cfRule type="cellIs" dxfId="270" priority="28" stopIfTrue="1" operator="lessThanOrEqual">
      <formula>44.49</formula>
    </cfRule>
    <cfRule type="cellIs" dxfId="269" priority="29" stopIfTrue="1" operator="greaterThanOrEqual">
      <formula>85.5</formula>
    </cfRule>
    <cfRule type="cellIs" dxfId="268" priority="30" stopIfTrue="1" operator="between">
      <formula>44.5</formula>
      <formula>60.49</formula>
    </cfRule>
  </conditionalFormatting>
  <conditionalFormatting sqref="S7:S11">
    <cfRule type="cellIs" dxfId="267" priority="25" stopIfTrue="1" operator="lessThanOrEqual">
      <formula>44.49</formula>
    </cfRule>
    <cfRule type="cellIs" dxfId="266" priority="26" stopIfTrue="1" operator="greaterThanOrEqual">
      <formula>85.5</formula>
    </cfRule>
    <cfRule type="cellIs" dxfId="265" priority="27" stopIfTrue="1" operator="between">
      <formula>44.5</formula>
      <formula>60.49</formula>
    </cfRule>
  </conditionalFormatting>
  <conditionalFormatting sqref="U7:U11">
    <cfRule type="cellIs" dxfId="264" priority="22" stopIfTrue="1" operator="lessThanOrEqual">
      <formula>44.49</formula>
    </cfRule>
    <cfRule type="cellIs" dxfId="263" priority="23" stopIfTrue="1" operator="greaterThanOrEqual">
      <formula>85.5</formula>
    </cfRule>
    <cfRule type="cellIs" dxfId="262" priority="24" stopIfTrue="1" operator="between">
      <formula>44.5</formula>
      <formula>60.49</formula>
    </cfRule>
  </conditionalFormatting>
  <conditionalFormatting sqref="V7:Y11">
    <cfRule type="cellIs" dxfId="261" priority="19" stopIfTrue="1" operator="lessThanOrEqual">
      <formula>44.49</formula>
    </cfRule>
    <cfRule type="cellIs" dxfId="260" priority="20" stopIfTrue="1" operator="greaterThanOrEqual">
      <formula>85.5</formula>
    </cfRule>
    <cfRule type="cellIs" dxfId="259" priority="21" stopIfTrue="1" operator="between">
      <formula>44.5</formula>
      <formula>60.49</formula>
    </cfRule>
  </conditionalFormatting>
  <conditionalFormatting sqref="AA7:AJ11">
    <cfRule type="cellIs" dxfId="258" priority="16" stopIfTrue="1" operator="lessThanOrEqual">
      <formula>44.49</formula>
    </cfRule>
    <cfRule type="cellIs" dxfId="257" priority="17" stopIfTrue="1" operator="greaterThanOrEqual">
      <formula>85.5</formula>
    </cfRule>
    <cfRule type="cellIs" dxfId="256" priority="18" stopIfTrue="1" operator="between">
      <formula>44.5</formula>
      <formula>60.49</formula>
    </cfRule>
  </conditionalFormatting>
  <conditionalFormatting sqref="AL7:AQ11">
    <cfRule type="cellIs" dxfId="255" priority="13" stopIfTrue="1" operator="lessThanOrEqual">
      <formula>44.49</formula>
    </cfRule>
    <cfRule type="cellIs" dxfId="254" priority="14" stopIfTrue="1" operator="greaterThanOrEqual">
      <formula>85.5</formula>
    </cfRule>
    <cfRule type="cellIs" dxfId="253" priority="15" stopIfTrue="1" operator="between">
      <formula>44.5</formula>
      <formula>60.49</formula>
    </cfRule>
  </conditionalFormatting>
  <conditionalFormatting sqref="AS7:BD11 BF7:BF11">
    <cfRule type="cellIs" dxfId="252" priority="10" stopIfTrue="1" operator="lessThanOrEqual">
      <formula>44.49</formula>
    </cfRule>
    <cfRule type="cellIs" dxfId="251" priority="11" stopIfTrue="1" operator="greaterThanOrEqual">
      <formula>85.5</formula>
    </cfRule>
    <cfRule type="cellIs" dxfId="250" priority="12" stopIfTrue="1" operator="between">
      <formula>44.5</formula>
      <formula>60.49</formula>
    </cfRule>
  </conditionalFormatting>
  <conditionalFormatting sqref="BH7:BK11">
    <cfRule type="cellIs" dxfId="249" priority="7" stopIfTrue="1" operator="lessThanOrEqual">
      <formula>44.49</formula>
    </cfRule>
    <cfRule type="cellIs" dxfId="248" priority="8" stopIfTrue="1" operator="greaterThanOrEqual">
      <formula>85.5</formula>
    </cfRule>
    <cfRule type="cellIs" dxfId="247" priority="9" stopIfTrue="1" operator="between">
      <formula>44.5</formula>
      <formula>60.49</formula>
    </cfRule>
  </conditionalFormatting>
  <conditionalFormatting sqref="BM7:BQ11">
    <cfRule type="cellIs" dxfId="246" priority="4" stopIfTrue="1" operator="lessThanOrEqual">
      <formula>44.49</formula>
    </cfRule>
    <cfRule type="cellIs" dxfId="245" priority="5" stopIfTrue="1" operator="greaterThanOrEqual">
      <formula>85.5</formula>
    </cfRule>
    <cfRule type="cellIs" dxfId="244" priority="6" stopIfTrue="1" operator="between">
      <formula>44.5</formula>
      <formula>60.49</formula>
    </cfRule>
  </conditionalFormatting>
  <conditionalFormatting sqref="BS7:BV11">
    <cfRule type="cellIs" dxfId="243" priority="1" stopIfTrue="1" operator="lessThanOrEqual">
      <formula>44.49</formula>
    </cfRule>
    <cfRule type="cellIs" dxfId="242" priority="2" stopIfTrue="1" operator="greaterThanOrEqual">
      <formula>85.5</formula>
    </cfRule>
    <cfRule type="cellIs" dxfId="24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G6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90" t="s">
        <v>248</v>
      </c>
      <c r="B2" s="281" t="s">
        <v>12</v>
      </c>
      <c r="C2" s="284">
        <f>+ROUND(AVERAGE(M2:M5),0)</f>
        <v>87</v>
      </c>
      <c r="D2" s="284">
        <f>+ROUND(AVERAGE(N2:N5),0)</f>
        <v>84</v>
      </c>
      <c r="E2" s="284">
        <f>+ROUND(AVERAGE(O2:O5),0)</f>
        <v>89</v>
      </c>
      <c r="F2" s="284">
        <f>+ROUND(AVERAGE(P2:P5),0)</f>
        <v>78</v>
      </c>
      <c r="G2" s="276">
        <f>+C2-E2</f>
        <v>-2</v>
      </c>
      <c r="H2" s="278">
        <f>+C2-F2</f>
        <v>9</v>
      </c>
      <c r="I2" s="269" t="s">
        <v>12</v>
      </c>
      <c r="J2" s="267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90"/>
      <c r="B3" s="281"/>
      <c r="C3" s="284"/>
      <c r="D3" s="284"/>
      <c r="E3" s="284"/>
      <c r="F3" s="284"/>
      <c r="G3" s="276"/>
      <c r="H3" s="278"/>
      <c r="I3" s="269"/>
      <c r="J3" s="268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90"/>
      <c r="B4" s="281"/>
      <c r="C4" s="284"/>
      <c r="D4" s="284"/>
      <c r="E4" s="284"/>
      <c r="F4" s="284"/>
      <c r="G4" s="276"/>
      <c r="H4" s="278"/>
      <c r="I4" s="269"/>
      <c r="J4" s="267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90"/>
      <c r="B5" s="282"/>
      <c r="C5" s="285"/>
      <c r="D5" s="285"/>
      <c r="E5" s="285"/>
      <c r="F5" s="285"/>
      <c r="G5" s="277"/>
      <c r="H5" s="279"/>
      <c r="I5" s="270"/>
      <c r="J5" s="268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90"/>
      <c r="B6" s="280" t="s">
        <v>13</v>
      </c>
      <c r="C6" s="283">
        <f>+ROUND(AVERAGE(M6:M11),0)</f>
        <v>86</v>
      </c>
      <c r="D6" s="283">
        <f>+ROUND(AVERAGE(N6:N11),0)</f>
        <v>82</v>
      </c>
      <c r="E6" s="283">
        <f>+ROUND(AVERAGE(O6:O11),0)</f>
        <v>89</v>
      </c>
      <c r="F6" s="283">
        <f>+ROUND(AVERAGE(P6:P11),0)</f>
        <v>80</v>
      </c>
      <c r="G6" s="286">
        <f>+C6-E6</f>
        <v>-3</v>
      </c>
      <c r="H6" s="228">
        <f>+C6-F6</f>
        <v>6</v>
      </c>
      <c r="I6" s="269" t="s">
        <v>13</v>
      </c>
      <c r="J6" s="267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90"/>
      <c r="B7" s="281"/>
      <c r="C7" s="236"/>
      <c r="D7" s="236"/>
      <c r="E7" s="236"/>
      <c r="F7" s="236"/>
      <c r="G7" s="287"/>
      <c r="H7" s="229"/>
      <c r="I7" s="269"/>
      <c r="J7" s="267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90"/>
      <c r="B8" s="281"/>
      <c r="C8" s="236"/>
      <c r="D8" s="236"/>
      <c r="E8" s="236"/>
      <c r="F8" s="236"/>
      <c r="G8" s="287"/>
      <c r="H8" s="229"/>
      <c r="I8" s="269"/>
      <c r="J8" s="268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90"/>
      <c r="B9" s="281"/>
      <c r="C9" s="236"/>
      <c r="D9" s="236"/>
      <c r="E9" s="236"/>
      <c r="F9" s="236"/>
      <c r="G9" s="287"/>
      <c r="H9" s="229"/>
      <c r="I9" s="269"/>
      <c r="J9" s="267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90"/>
      <c r="B10" s="281"/>
      <c r="C10" s="236"/>
      <c r="D10" s="236"/>
      <c r="E10" s="236"/>
      <c r="F10" s="236"/>
      <c r="G10" s="287"/>
      <c r="H10" s="229"/>
      <c r="I10" s="269"/>
      <c r="J10" s="268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90"/>
      <c r="B11" s="282"/>
      <c r="C11" s="237"/>
      <c r="D11" s="237"/>
      <c r="E11" s="237"/>
      <c r="F11" s="237"/>
      <c r="G11" s="288"/>
      <c r="H11" s="241"/>
      <c r="I11" s="270"/>
      <c r="J11" s="182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90"/>
      <c r="B12" s="280" t="s">
        <v>14</v>
      </c>
      <c r="C12" s="283">
        <f>+ROUND(AVERAGE(M12:M15),0)</f>
        <v>86</v>
      </c>
      <c r="D12" s="283">
        <f>+ROUND(AVERAGE(N12:N15),0)</f>
        <v>82</v>
      </c>
      <c r="E12" s="283">
        <f>+ROUND(AVERAGE(O12:O15),0)</f>
        <v>90</v>
      </c>
      <c r="F12" s="283">
        <f>+ROUND(AVERAGE(P12:P15),0)</f>
        <v>79</v>
      </c>
      <c r="G12" s="286">
        <f>+C12-E12</f>
        <v>-4</v>
      </c>
      <c r="H12" s="228">
        <f>+C12-F12</f>
        <v>7</v>
      </c>
      <c r="I12" s="269" t="s">
        <v>14</v>
      </c>
      <c r="J12" s="267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90"/>
      <c r="B13" s="281"/>
      <c r="C13" s="236"/>
      <c r="D13" s="236"/>
      <c r="E13" s="236"/>
      <c r="F13" s="236"/>
      <c r="G13" s="287"/>
      <c r="H13" s="229"/>
      <c r="I13" s="269"/>
      <c r="J13" s="267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90"/>
      <c r="B14" s="281"/>
      <c r="C14" s="236"/>
      <c r="D14" s="236"/>
      <c r="E14" s="236"/>
      <c r="F14" s="236"/>
      <c r="G14" s="287"/>
      <c r="H14" s="229"/>
      <c r="I14" s="269"/>
      <c r="J14" s="268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91"/>
      <c r="B15" s="292"/>
      <c r="C15" s="293"/>
      <c r="D15" s="293"/>
      <c r="E15" s="293"/>
      <c r="F15" s="293"/>
      <c r="G15" s="294"/>
      <c r="H15" s="230"/>
      <c r="I15" s="270"/>
      <c r="J15" s="182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89" t="s">
        <v>270</v>
      </c>
      <c r="B17" s="280" t="s">
        <v>15</v>
      </c>
      <c r="C17" s="283">
        <f>+ROUND(AVERAGE(M17:M20),0)</f>
        <v>82</v>
      </c>
      <c r="D17" s="283">
        <f>+ROUND(AVERAGE(N17:N20),0)</f>
        <v>79</v>
      </c>
      <c r="E17" s="283">
        <f>+ROUND(AVERAGE(O17:O20),0)</f>
        <v>89</v>
      </c>
      <c r="F17" s="283">
        <f>+ROUND(AVERAGE(P17:P20),0)</f>
        <v>77</v>
      </c>
      <c r="G17" s="286">
        <f>+C17-E17</f>
        <v>-7</v>
      </c>
      <c r="H17" s="228">
        <f>+C17-F17</f>
        <v>5</v>
      </c>
      <c r="I17" s="257" t="s">
        <v>15</v>
      </c>
      <c r="J17" s="271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89"/>
      <c r="B18" s="281"/>
      <c r="C18" s="236"/>
      <c r="D18" s="236"/>
      <c r="E18" s="236"/>
      <c r="F18" s="236"/>
      <c r="G18" s="287"/>
      <c r="H18" s="229"/>
      <c r="I18" s="258"/>
      <c r="J18" s="256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89"/>
      <c r="B19" s="281"/>
      <c r="C19" s="236"/>
      <c r="D19" s="236"/>
      <c r="E19" s="236"/>
      <c r="F19" s="236"/>
      <c r="G19" s="287"/>
      <c r="H19" s="229"/>
      <c r="I19" s="258"/>
      <c r="J19" s="255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89"/>
      <c r="B20" s="282"/>
      <c r="C20" s="237"/>
      <c r="D20" s="237"/>
      <c r="E20" s="237"/>
      <c r="F20" s="237"/>
      <c r="G20" s="288"/>
      <c r="H20" s="241"/>
      <c r="I20" s="259"/>
      <c r="J20" s="256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89"/>
      <c r="B21" s="280" t="s">
        <v>16</v>
      </c>
      <c r="C21" s="283">
        <f>+ROUND(AVERAGE(M21:M22),0)</f>
        <v>81</v>
      </c>
      <c r="D21" s="283">
        <f>+ROUND(AVERAGE(N21:N22),0)</f>
        <v>77</v>
      </c>
      <c r="E21" s="283">
        <f>+ROUND(AVERAGE(O21:O22),0)</f>
        <v>87</v>
      </c>
      <c r="F21" s="283">
        <f>+ROUND(AVERAGE(P21:P22),0)</f>
        <v>73</v>
      </c>
      <c r="G21" s="286">
        <f>+C21-E21</f>
        <v>-6</v>
      </c>
      <c r="H21" s="228">
        <f>+C21-F21</f>
        <v>8</v>
      </c>
      <c r="I21" s="257" t="s">
        <v>16</v>
      </c>
      <c r="J21" s="255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89"/>
      <c r="B22" s="282"/>
      <c r="C22" s="237"/>
      <c r="D22" s="237"/>
      <c r="E22" s="237"/>
      <c r="F22" s="237"/>
      <c r="G22" s="288"/>
      <c r="H22" s="241"/>
      <c r="I22" s="259"/>
      <c r="J22" s="256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89"/>
      <c r="B23" s="280" t="s">
        <v>17</v>
      </c>
      <c r="C23" s="283">
        <f>+ROUND(AVERAGE(M23:M29),0)</f>
        <v>81</v>
      </c>
      <c r="D23" s="283">
        <f>+ROUND(AVERAGE(N23:N29),0)</f>
        <v>77</v>
      </c>
      <c r="E23" s="283">
        <f>+ROUND(AVERAGE(O23:O29),0)</f>
        <v>89</v>
      </c>
      <c r="F23" s="283">
        <f>+ROUND(AVERAGE(P23:P29),0)</f>
        <v>78</v>
      </c>
      <c r="G23" s="286">
        <f>+C23-E23</f>
        <v>-8</v>
      </c>
      <c r="H23" s="228">
        <f>+C23-F23</f>
        <v>3</v>
      </c>
      <c r="I23" s="257" t="s">
        <v>17</v>
      </c>
      <c r="J23" s="255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89"/>
      <c r="B24" s="281"/>
      <c r="C24" s="236"/>
      <c r="D24" s="236"/>
      <c r="E24" s="236"/>
      <c r="F24" s="236"/>
      <c r="G24" s="287"/>
      <c r="H24" s="229"/>
      <c r="I24" s="258"/>
      <c r="J24" s="255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89"/>
      <c r="B25" s="281"/>
      <c r="C25" s="236"/>
      <c r="D25" s="236"/>
      <c r="E25" s="236"/>
      <c r="F25" s="236"/>
      <c r="G25" s="287"/>
      <c r="H25" s="229"/>
      <c r="I25" s="258"/>
      <c r="J25" s="256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89"/>
      <c r="B26" s="281"/>
      <c r="C26" s="236"/>
      <c r="D26" s="236"/>
      <c r="E26" s="236"/>
      <c r="F26" s="236"/>
      <c r="G26" s="287"/>
      <c r="H26" s="229"/>
      <c r="I26" s="258"/>
      <c r="J26" s="255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89"/>
      <c r="B27" s="281"/>
      <c r="C27" s="236"/>
      <c r="D27" s="236"/>
      <c r="E27" s="236"/>
      <c r="F27" s="236"/>
      <c r="G27" s="287"/>
      <c r="H27" s="229"/>
      <c r="I27" s="258"/>
      <c r="J27" s="255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89"/>
      <c r="B28" s="281"/>
      <c r="C28" s="236"/>
      <c r="D28" s="236"/>
      <c r="E28" s="236"/>
      <c r="F28" s="236"/>
      <c r="G28" s="287"/>
      <c r="H28" s="229"/>
      <c r="I28" s="258"/>
      <c r="J28" s="255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89"/>
      <c r="B29" s="292"/>
      <c r="C29" s="293"/>
      <c r="D29" s="293"/>
      <c r="E29" s="293"/>
      <c r="F29" s="293"/>
      <c r="G29" s="294"/>
      <c r="H29" s="230"/>
      <c r="I29" s="259"/>
      <c r="J29" s="256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295" t="s">
        <v>289</v>
      </c>
      <c r="B31" s="280" t="s">
        <v>18</v>
      </c>
      <c r="C31" s="283">
        <f>+ROUND(AVERAGE(M31:M34),0)</f>
        <v>69</v>
      </c>
      <c r="D31" s="283">
        <f>+ROUND(AVERAGE(N31:N34),0)</f>
        <v>63</v>
      </c>
      <c r="E31" s="283">
        <f>+ROUND(AVERAGE(O31:O34),0)</f>
        <v>77</v>
      </c>
      <c r="F31" s="283">
        <f>+ROUND(AVERAGE(P31:P34),0)</f>
        <v>65</v>
      </c>
      <c r="G31" s="286">
        <f>+C31-E31</f>
        <v>-8</v>
      </c>
      <c r="H31" s="228">
        <f>+C31-F31</f>
        <v>4</v>
      </c>
      <c r="I31" s="260" t="s">
        <v>18</v>
      </c>
      <c r="J31" s="262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295"/>
      <c r="B32" s="281"/>
      <c r="C32" s="236"/>
      <c r="D32" s="236"/>
      <c r="E32" s="236"/>
      <c r="F32" s="236"/>
      <c r="G32" s="287"/>
      <c r="H32" s="229"/>
      <c r="I32" s="260"/>
      <c r="J32" s="247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295"/>
      <c r="B33" s="281"/>
      <c r="C33" s="236"/>
      <c r="D33" s="236"/>
      <c r="E33" s="236"/>
      <c r="F33" s="236"/>
      <c r="G33" s="287"/>
      <c r="H33" s="229"/>
      <c r="I33" s="260"/>
      <c r="J33" s="246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295"/>
      <c r="B34" s="282"/>
      <c r="C34" s="237"/>
      <c r="D34" s="237"/>
      <c r="E34" s="237"/>
      <c r="F34" s="237"/>
      <c r="G34" s="287"/>
      <c r="H34" s="241"/>
      <c r="I34" s="261"/>
      <c r="J34" s="263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295"/>
      <c r="B35" s="297" t="s">
        <v>19</v>
      </c>
      <c r="C35" s="283">
        <f>+ROUND(AVERAGE(M35:M37),0)</f>
        <v>68</v>
      </c>
      <c r="D35" s="283">
        <f>+ROUND(AVERAGE(N35:N37),0)</f>
        <v>62</v>
      </c>
      <c r="E35" s="283">
        <f>+ROUND(AVERAGE(O35:O37),0)</f>
        <v>78</v>
      </c>
      <c r="F35" s="283">
        <f>+ROUND(AVERAGE(P35:P37),0)</f>
        <v>64</v>
      </c>
      <c r="G35" s="245">
        <f>+C35-E35</f>
        <v>-10</v>
      </c>
      <c r="H35" s="228">
        <f>+C35-F35</f>
        <v>4</v>
      </c>
      <c r="I35" s="264" t="s">
        <v>19</v>
      </c>
      <c r="J35" s="264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295"/>
      <c r="B36" s="298"/>
      <c r="C36" s="236"/>
      <c r="D36" s="236"/>
      <c r="E36" s="236"/>
      <c r="F36" s="236"/>
      <c r="G36" s="239"/>
      <c r="H36" s="229"/>
      <c r="I36" s="265"/>
      <c r="J36" s="265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295"/>
      <c r="B37" s="299"/>
      <c r="C37" s="237"/>
      <c r="D37" s="237"/>
      <c r="E37" s="237"/>
      <c r="F37" s="237"/>
      <c r="G37" s="240"/>
      <c r="H37" s="241"/>
      <c r="I37" s="266"/>
      <c r="J37" s="266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295"/>
      <c r="B38" s="280" t="s">
        <v>20</v>
      </c>
      <c r="C38" s="283">
        <f>+ROUND(AVERAGE(M38:M42),0)</f>
        <v>91</v>
      </c>
      <c r="D38" s="283">
        <f>+ROUND(AVERAGE(N38:N42),0)</f>
        <v>89</v>
      </c>
      <c r="E38" s="283">
        <f>+ROUND(AVERAGE(O38:O42),0)</f>
        <v>96</v>
      </c>
      <c r="F38" s="283">
        <f>+ROUND(AVERAGE(P38:P42),0)</f>
        <v>91</v>
      </c>
      <c r="G38" s="302">
        <f>+C38-E38</f>
        <v>-5</v>
      </c>
      <c r="H38" s="228">
        <f>+C38-F38</f>
        <v>0</v>
      </c>
      <c r="I38" s="272" t="s">
        <v>20</v>
      </c>
      <c r="J38" s="246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295"/>
      <c r="B39" s="281"/>
      <c r="C39" s="236"/>
      <c r="D39" s="236"/>
      <c r="E39" s="236"/>
      <c r="F39" s="236"/>
      <c r="G39" s="287"/>
      <c r="H39" s="229"/>
      <c r="I39" s="260"/>
      <c r="J39" s="247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295"/>
      <c r="B40" s="281"/>
      <c r="C40" s="236"/>
      <c r="D40" s="236"/>
      <c r="E40" s="236"/>
      <c r="F40" s="236"/>
      <c r="G40" s="287"/>
      <c r="H40" s="229"/>
      <c r="I40" s="260"/>
      <c r="J40" s="247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295"/>
      <c r="B41" s="281"/>
      <c r="C41" s="236"/>
      <c r="D41" s="236"/>
      <c r="E41" s="236"/>
      <c r="F41" s="236"/>
      <c r="G41" s="287"/>
      <c r="H41" s="229"/>
      <c r="I41" s="260"/>
      <c r="J41" s="247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296"/>
      <c r="B42" s="300"/>
      <c r="C42" s="301"/>
      <c r="D42" s="301"/>
      <c r="E42" s="301"/>
      <c r="F42" s="301"/>
      <c r="G42" s="303"/>
      <c r="H42" s="304"/>
      <c r="I42" s="261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305" t="s">
        <v>306</v>
      </c>
      <c r="B44" s="307" t="s">
        <v>21</v>
      </c>
      <c r="C44" s="236">
        <f>+ROUND(AVERAGE(M44:M45),0)</f>
        <v>81</v>
      </c>
      <c r="D44" s="236">
        <f>+ROUND(AVERAGE(N44:N45),0)</f>
        <v>76</v>
      </c>
      <c r="E44" s="236">
        <f>+ROUND(AVERAGE(O44:O45),0)</f>
        <v>88</v>
      </c>
      <c r="F44" s="236">
        <f>+ROUND(AVERAGE(P44:P45),0)</f>
        <v>77</v>
      </c>
      <c r="G44" s="238">
        <f>+C44-E44</f>
        <v>-7</v>
      </c>
      <c r="H44" s="229">
        <f>+C44-F44</f>
        <v>4</v>
      </c>
      <c r="I44" s="248" t="s">
        <v>21</v>
      </c>
      <c r="J44" s="249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305"/>
      <c r="B45" s="308"/>
      <c r="C45" s="237"/>
      <c r="D45" s="237"/>
      <c r="E45" s="237"/>
      <c r="F45" s="237"/>
      <c r="G45" s="309"/>
      <c r="H45" s="241"/>
      <c r="I45" s="250"/>
      <c r="J45" s="251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305"/>
      <c r="B46" s="310" t="s">
        <v>22</v>
      </c>
      <c r="C46" s="283">
        <f>+ROUND(AVERAGE(M46:M47),0)</f>
        <v>84</v>
      </c>
      <c r="D46" s="283">
        <f>+ROUND(AVERAGE(N46:N47),0)</f>
        <v>79</v>
      </c>
      <c r="E46" s="283">
        <f>+ROUND(AVERAGE(O46:O47),0)</f>
        <v>91</v>
      </c>
      <c r="F46" s="283">
        <f>+ROUND(AVERAGE(P46:P47),0)</f>
        <v>80</v>
      </c>
      <c r="G46" s="311">
        <f>+C46-E46</f>
        <v>-7</v>
      </c>
      <c r="H46" s="228">
        <f>+C46-F46</f>
        <v>4</v>
      </c>
      <c r="I46" s="248" t="s">
        <v>22</v>
      </c>
      <c r="J46" s="249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305"/>
      <c r="B47" s="308"/>
      <c r="C47" s="237"/>
      <c r="D47" s="237"/>
      <c r="E47" s="237"/>
      <c r="F47" s="237"/>
      <c r="G47" s="309"/>
      <c r="H47" s="241"/>
      <c r="I47" s="250"/>
      <c r="J47" s="251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305"/>
      <c r="B48" s="310" t="s">
        <v>23</v>
      </c>
      <c r="C48" s="283">
        <f>+ROUND(AVERAGE(M48:M51),0)</f>
        <v>84</v>
      </c>
      <c r="D48" s="283">
        <f>+ROUND(AVERAGE(N48:N51),0)</f>
        <v>79</v>
      </c>
      <c r="E48" s="283">
        <f>+ROUND(AVERAGE(O48:O51),0)</f>
        <v>91</v>
      </c>
      <c r="F48" s="283">
        <f>+ROUND(AVERAGE(P48:P51),0)</f>
        <v>82</v>
      </c>
      <c r="G48" s="311">
        <f>+C48-E48</f>
        <v>-7</v>
      </c>
      <c r="H48" s="228">
        <f>+C48-F48</f>
        <v>2</v>
      </c>
      <c r="I48" s="248" t="s">
        <v>23</v>
      </c>
      <c r="J48" s="249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305"/>
      <c r="B49" s="307"/>
      <c r="C49" s="236"/>
      <c r="D49" s="236"/>
      <c r="E49" s="236"/>
      <c r="F49" s="236"/>
      <c r="G49" s="239"/>
      <c r="H49" s="229"/>
      <c r="I49" s="253"/>
      <c r="J49" s="254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305"/>
      <c r="B50" s="307"/>
      <c r="C50" s="236"/>
      <c r="D50" s="236"/>
      <c r="E50" s="236"/>
      <c r="F50" s="236"/>
      <c r="G50" s="239"/>
      <c r="H50" s="229"/>
      <c r="I50" s="253"/>
      <c r="J50" s="254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306"/>
      <c r="B51" s="314"/>
      <c r="C51" s="315"/>
      <c r="D51" s="315"/>
      <c r="E51" s="315"/>
      <c r="F51" s="315"/>
      <c r="G51" s="316"/>
      <c r="H51" s="252"/>
      <c r="I51" s="250"/>
      <c r="J51" s="251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312" t="s">
        <v>315</v>
      </c>
      <c r="B53" s="234" t="s">
        <v>24</v>
      </c>
      <c r="C53" s="236">
        <f>+ROUND(AVERAGE(M53:M55),0)</f>
        <v>87</v>
      </c>
      <c r="D53" s="236">
        <f>+ROUND(AVERAGE(N53:N55),0)</f>
        <v>83</v>
      </c>
      <c r="E53" s="236">
        <f>+ROUND(AVERAGE(O53:O55),0)</f>
        <v>93</v>
      </c>
      <c r="F53" s="236">
        <f>+ROUND(AVERAGE(P53:P55),0)</f>
        <v>84</v>
      </c>
      <c r="G53" s="238">
        <f>+C53-E53</f>
        <v>-6</v>
      </c>
      <c r="H53" s="229">
        <f>+C53-F53</f>
        <v>3</v>
      </c>
      <c r="I53" s="232" t="s">
        <v>24</v>
      </c>
      <c r="J53" s="232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312"/>
      <c r="B54" s="234"/>
      <c r="C54" s="236"/>
      <c r="D54" s="236"/>
      <c r="E54" s="236"/>
      <c r="F54" s="236"/>
      <c r="G54" s="239"/>
      <c r="H54" s="229"/>
      <c r="I54" s="232"/>
      <c r="J54" s="232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312"/>
      <c r="B55" s="235"/>
      <c r="C55" s="237"/>
      <c r="D55" s="237"/>
      <c r="E55" s="237"/>
      <c r="F55" s="237"/>
      <c r="G55" s="240"/>
      <c r="H55" s="241"/>
      <c r="I55" s="233"/>
      <c r="J55" s="233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312"/>
      <c r="B56" s="280" t="s">
        <v>25</v>
      </c>
      <c r="C56" s="283">
        <f>+ROUND(AVERAGE(M56:M59),0)</f>
        <v>88</v>
      </c>
      <c r="D56" s="283">
        <f>+ROUND(AVERAGE(N56:N59),0)</f>
        <v>84</v>
      </c>
      <c r="E56" s="283">
        <f>+ROUND(AVERAGE(O56:O59),0)</f>
        <v>94</v>
      </c>
      <c r="F56" s="283">
        <f>+ROUND(AVERAGE(P56:P59),0)</f>
        <v>86</v>
      </c>
      <c r="G56" s="302">
        <f>+C56-E56</f>
        <v>-6</v>
      </c>
      <c r="H56" s="228">
        <f>+C56-F56</f>
        <v>2</v>
      </c>
      <c r="I56" s="273" t="s">
        <v>25</v>
      </c>
      <c r="J56" s="225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312"/>
      <c r="B57" s="281"/>
      <c r="C57" s="236"/>
      <c r="D57" s="236"/>
      <c r="E57" s="236"/>
      <c r="F57" s="236"/>
      <c r="G57" s="287"/>
      <c r="H57" s="229"/>
      <c r="I57" s="274"/>
      <c r="J57" s="226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312"/>
      <c r="B58" s="281"/>
      <c r="C58" s="236"/>
      <c r="D58" s="236"/>
      <c r="E58" s="236"/>
      <c r="F58" s="236"/>
      <c r="G58" s="287"/>
      <c r="H58" s="229"/>
      <c r="I58" s="274"/>
      <c r="J58" s="225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312"/>
      <c r="B59" s="282"/>
      <c r="C59" s="237"/>
      <c r="D59" s="237"/>
      <c r="E59" s="237"/>
      <c r="F59" s="237"/>
      <c r="G59" s="287"/>
      <c r="H59" s="241"/>
      <c r="I59" s="275"/>
      <c r="J59" s="227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312"/>
      <c r="B60" s="317" t="s">
        <v>26</v>
      </c>
      <c r="C60" s="283">
        <f>+ROUND(AVERAGE(M60:M62),0)</f>
        <v>82</v>
      </c>
      <c r="D60" s="283">
        <f>+ROUND(AVERAGE(N60:N62),0)</f>
        <v>78</v>
      </c>
      <c r="E60" s="283">
        <f>+ROUND(AVERAGE(O60:O62),0)</f>
        <v>90</v>
      </c>
      <c r="F60" s="283">
        <f>+ROUND(AVERAGE(P60:P62),0)</f>
        <v>78</v>
      </c>
      <c r="G60" s="245">
        <f>+C60-E60</f>
        <v>-8</v>
      </c>
      <c r="H60" s="228">
        <f>+C60-F60</f>
        <v>4</v>
      </c>
      <c r="I60" s="231" t="s">
        <v>26</v>
      </c>
      <c r="J60" s="231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312"/>
      <c r="B61" s="234"/>
      <c r="C61" s="236"/>
      <c r="D61" s="236"/>
      <c r="E61" s="236"/>
      <c r="F61" s="236"/>
      <c r="G61" s="239"/>
      <c r="H61" s="229"/>
      <c r="I61" s="232"/>
      <c r="J61" s="232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313"/>
      <c r="B62" s="318"/>
      <c r="C62" s="293"/>
      <c r="D62" s="293"/>
      <c r="E62" s="293"/>
      <c r="F62" s="293"/>
      <c r="G62" s="240"/>
      <c r="H62" s="230"/>
      <c r="I62" s="233"/>
      <c r="J62" s="233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34"/>
      <c r="C64" s="236"/>
      <c r="D64" s="236"/>
      <c r="E64" s="236"/>
      <c r="F64" s="236"/>
      <c r="G64" s="238"/>
      <c r="H64" s="229"/>
      <c r="I64" s="75"/>
      <c r="J64" s="242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34"/>
      <c r="C65" s="236"/>
      <c r="D65" s="236"/>
      <c r="E65" s="236"/>
      <c r="F65" s="236"/>
      <c r="G65" s="238"/>
      <c r="H65" s="229"/>
      <c r="I65" s="75"/>
      <c r="J65" s="243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34"/>
      <c r="C66" s="236"/>
      <c r="D66" s="236"/>
      <c r="E66" s="236"/>
      <c r="F66" s="236"/>
      <c r="G66" s="238"/>
      <c r="H66" s="229"/>
      <c r="I66" s="75"/>
      <c r="J66" s="243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34"/>
      <c r="C67" s="236"/>
      <c r="D67" s="236"/>
      <c r="E67" s="236"/>
      <c r="F67" s="236"/>
      <c r="G67" s="238"/>
      <c r="H67" s="229"/>
      <c r="I67" s="75"/>
      <c r="J67" s="243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34"/>
      <c r="C68" s="236"/>
      <c r="D68" s="236"/>
      <c r="E68" s="236"/>
      <c r="F68" s="236"/>
      <c r="G68" s="238"/>
      <c r="H68" s="229"/>
      <c r="I68" s="75"/>
      <c r="J68" s="243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34"/>
      <c r="C69" s="236"/>
      <c r="D69" s="236"/>
      <c r="E69" s="236"/>
      <c r="F69" s="236"/>
      <c r="G69" s="239"/>
      <c r="H69" s="229"/>
      <c r="I69" s="75"/>
      <c r="J69" s="243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35"/>
      <c r="C70" s="237"/>
      <c r="D70" s="237"/>
      <c r="E70" s="237"/>
      <c r="F70" s="237"/>
      <c r="G70" s="240"/>
      <c r="H70" s="241"/>
      <c r="I70" s="75"/>
      <c r="J70" s="244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222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223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223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223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224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224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224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224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224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40" priority="102" operator="lessThanOrEqual">
      <formula>-5</formula>
    </cfRule>
    <cfRule type="cellIs" dxfId="239" priority="103" operator="greaterThanOrEqual">
      <formula>5</formula>
    </cfRule>
  </conditionalFormatting>
  <conditionalFormatting sqref="M2:M15">
    <cfRule type="expression" dxfId="238" priority="97">
      <formula>M2=""</formula>
    </cfRule>
    <cfRule type="expression" dxfId="237" priority="98">
      <formula>M2&lt;44.5</formula>
    </cfRule>
    <cfRule type="expression" dxfId="236" priority="99">
      <formula>M2&lt;60.5</formula>
    </cfRule>
    <cfRule type="expression" dxfId="235" priority="100">
      <formula>M2&lt;85.5</formula>
    </cfRule>
    <cfRule type="expression" dxfId="234" priority="101">
      <formula>M2&gt;85.5</formula>
    </cfRule>
  </conditionalFormatting>
  <conditionalFormatting sqref="O2:P15 M2:M15">
    <cfRule type="expression" dxfId="233" priority="92">
      <formula>M2=""</formula>
    </cfRule>
    <cfRule type="expression" dxfId="232" priority="93">
      <formula>M2&lt;44.5</formula>
    </cfRule>
    <cfRule type="expression" dxfId="231" priority="94">
      <formula>M2&lt;60.5</formula>
    </cfRule>
    <cfRule type="expression" dxfId="230" priority="95">
      <formula>M2&lt;85.5</formula>
    </cfRule>
    <cfRule type="expression" dxfId="229" priority="96">
      <formula>M2&gt;85.5</formula>
    </cfRule>
  </conditionalFormatting>
  <conditionalFormatting sqref="N2:N15">
    <cfRule type="expression" dxfId="228" priority="87">
      <formula>N2=""</formula>
    </cfRule>
    <cfRule type="expression" dxfId="227" priority="88">
      <formula>N2&lt;44.5</formula>
    </cfRule>
    <cfRule type="expression" dxfId="226" priority="89">
      <formula>N2&lt;60.5</formula>
    </cfRule>
    <cfRule type="expression" dxfId="225" priority="90">
      <formula>N2&lt;85.5</formula>
    </cfRule>
    <cfRule type="expression" dxfId="224" priority="91">
      <formula>N2&gt;85.5</formula>
    </cfRule>
  </conditionalFormatting>
  <conditionalFormatting sqref="N2:N15">
    <cfRule type="expression" dxfId="223" priority="82">
      <formula>N2=""</formula>
    </cfRule>
    <cfRule type="expression" dxfId="222" priority="83">
      <formula>N2&lt;44.5</formula>
    </cfRule>
    <cfRule type="expression" dxfId="221" priority="84">
      <formula>N2&lt;60.5</formula>
    </cfRule>
    <cfRule type="expression" dxfId="220" priority="85">
      <formula>N2&lt;85.5</formula>
    </cfRule>
    <cfRule type="expression" dxfId="219" priority="86">
      <formula>N2&gt;85.5</formula>
    </cfRule>
  </conditionalFormatting>
  <conditionalFormatting sqref="M17:M29">
    <cfRule type="expression" dxfId="218" priority="77">
      <formula>M17=""</formula>
    </cfRule>
    <cfRule type="expression" dxfId="217" priority="78">
      <formula>M17&lt;44.5</formula>
    </cfRule>
    <cfRule type="expression" dxfId="216" priority="79">
      <formula>M17&lt;60.5</formula>
    </cfRule>
    <cfRule type="expression" dxfId="215" priority="80">
      <formula>M17&lt;85.5</formula>
    </cfRule>
    <cfRule type="expression" dxfId="214" priority="81">
      <formula>M17&gt;85.5</formula>
    </cfRule>
  </conditionalFormatting>
  <conditionalFormatting sqref="O17:P29">
    <cfRule type="expression" dxfId="213" priority="72">
      <formula>O17=""</formula>
    </cfRule>
    <cfRule type="expression" dxfId="212" priority="73">
      <formula>O17&lt;44.5</formula>
    </cfRule>
    <cfRule type="expression" dxfId="211" priority="74">
      <formula>O17&lt;60.5</formula>
    </cfRule>
    <cfRule type="expression" dxfId="210" priority="75">
      <formula>O17&lt;85.5</formula>
    </cfRule>
    <cfRule type="expression" dxfId="209" priority="76">
      <formula>O17&gt;85.5</formula>
    </cfRule>
  </conditionalFormatting>
  <conditionalFormatting sqref="N17:N29">
    <cfRule type="expression" dxfId="208" priority="67">
      <formula>N17=""</formula>
    </cfRule>
    <cfRule type="expression" dxfId="207" priority="68">
      <formula>N17&lt;44.5</formula>
    </cfRule>
    <cfRule type="expression" dxfId="206" priority="69">
      <formula>N17&lt;60.5</formula>
    </cfRule>
    <cfRule type="expression" dxfId="205" priority="70">
      <formula>N17&lt;85.5</formula>
    </cfRule>
    <cfRule type="expression" dxfId="204" priority="71">
      <formula>N17&gt;85.5</formula>
    </cfRule>
  </conditionalFormatting>
  <conditionalFormatting sqref="M31:M42">
    <cfRule type="expression" dxfId="203" priority="62">
      <formula>M31=""</formula>
    </cfRule>
    <cfRule type="expression" dxfId="202" priority="63">
      <formula>M31&lt;44.5</formula>
    </cfRule>
    <cfRule type="expression" dxfId="201" priority="64">
      <formula>M31&lt;60.5</formula>
    </cfRule>
    <cfRule type="expression" dxfId="200" priority="65">
      <formula>M31&lt;85.5</formula>
    </cfRule>
    <cfRule type="expression" dxfId="199" priority="66">
      <formula>M31&gt;85.5</formula>
    </cfRule>
  </conditionalFormatting>
  <conditionalFormatting sqref="O31:P42">
    <cfRule type="expression" dxfId="198" priority="57">
      <formula>O31=""</formula>
    </cfRule>
    <cfRule type="expression" dxfId="197" priority="58">
      <formula>O31&lt;44.5</formula>
    </cfRule>
    <cfRule type="expression" dxfId="196" priority="59">
      <formula>O31&lt;60.5</formula>
    </cfRule>
    <cfRule type="expression" dxfId="195" priority="60">
      <formula>O31&lt;85.5</formula>
    </cfRule>
    <cfRule type="expression" dxfId="194" priority="61">
      <formula>O31&gt;85.5</formula>
    </cfRule>
  </conditionalFormatting>
  <conditionalFormatting sqref="N31:N42">
    <cfRule type="expression" dxfId="193" priority="52">
      <formula>N31=""</formula>
    </cfRule>
    <cfRule type="expression" dxfId="192" priority="53">
      <formula>N31&lt;44.5</formula>
    </cfRule>
    <cfRule type="expression" dxfId="191" priority="54">
      <formula>N31&lt;60.5</formula>
    </cfRule>
    <cfRule type="expression" dxfId="190" priority="55">
      <formula>N31&lt;85.5</formula>
    </cfRule>
    <cfRule type="expression" dxfId="189" priority="56">
      <formula>N31&gt;85.5</formula>
    </cfRule>
  </conditionalFormatting>
  <conditionalFormatting sqref="M44:M51">
    <cfRule type="expression" dxfId="188" priority="47">
      <formula>M44=""</formula>
    </cfRule>
    <cfRule type="expression" dxfId="187" priority="48">
      <formula>M44&lt;44.5</formula>
    </cfRule>
    <cfRule type="expression" dxfId="186" priority="49">
      <formula>M44&lt;60.5</formula>
    </cfRule>
    <cfRule type="expression" dxfId="185" priority="50">
      <formula>M44&lt;85.5</formula>
    </cfRule>
    <cfRule type="expression" dxfId="184" priority="51">
      <formula>M44&gt;85.5</formula>
    </cfRule>
  </conditionalFormatting>
  <conditionalFormatting sqref="O44:P51">
    <cfRule type="expression" dxfId="183" priority="42">
      <formula>O44=""</formula>
    </cfRule>
    <cfRule type="expression" dxfId="182" priority="43">
      <formula>O44&lt;44.5</formula>
    </cfRule>
    <cfRule type="expression" dxfId="181" priority="44">
      <formula>O44&lt;60.5</formula>
    </cfRule>
    <cfRule type="expression" dxfId="180" priority="45">
      <formula>O44&lt;85.5</formula>
    </cfRule>
    <cfRule type="expression" dxfId="179" priority="46">
      <formula>O44&gt;85.5</formula>
    </cfRule>
  </conditionalFormatting>
  <conditionalFormatting sqref="N44:N51">
    <cfRule type="expression" dxfId="178" priority="37">
      <formula>N44=""</formula>
    </cfRule>
    <cfRule type="expression" dxfId="177" priority="38">
      <formula>N44&lt;44.5</formula>
    </cfRule>
    <cfRule type="expression" dxfId="176" priority="39">
      <formula>N44&lt;60.5</formula>
    </cfRule>
    <cfRule type="expression" dxfId="175" priority="40">
      <formula>N44&lt;85.5</formula>
    </cfRule>
    <cfRule type="expression" dxfId="174" priority="41">
      <formula>N44&gt;85.5</formula>
    </cfRule>
  </conditionalFormatting>
  <conditionalFormatting sqref="M53:M62">
    <cfRule type="expression" dxfId="173" priority="32">
      <formula>M53=""</formula>
    </cfRule>
    <cfRule type="expression" dxfId="172" priority="33">
      <formula>M53&lt;44.5</formula>
    </cfRule>
    <cfRule type="expression" dxfId="171" priority="34">
      <formula>M53&lt;60.5</formula>
    </cfRule>
    <cfRule type="expression" dxfId="170" priority="35">
      <formula>M53&lt;85.5</formula>
    </cfRule>
    <cfRule type="expression" dxfId="169" priority="36">
      <formula>M53&gt;85.5</formula>
    </cfRule>
  </conditionalFormatting>
  <conditionalFormatting sqref="O53:P62">
    <cfRule type="expression" dxfId="168" priority="27">
      <formula>O53=""</formula>
    </cfRule>
    <cfRule type="expression" dxfId="167" priority="28">
      <formula>O53&lt;44.5</formula>
    </cfRule>
    <cfRule type="expression" dxfId="166" priority="29">
      <formula>O53&lt;60.5</formula>
    </cfRule>
    <cfRule type="expression" dxfId="165" priority="30">
      <formula>O53&lt;85.5</formula>
    </cfRule>
    <cfRule type="expression" dxfId="164" priority="31">
      <formula>O53&gt;85.5</formula>
    </cfRule>
  </conditionalFormatting>
  <conditionalFormatting sqref="N53:N62">
    <cfRule type="expression" dxfId="163" priority="22">
      <formula>N53=""</formula>
    </cfRule>
    <cfRule type="expression" dxfId="162" priority="23">
      <formula>N53&lt;44.5</formula>
    </cfRule>
    <cfRule type="expression" dxfId="161" priority="24">
      <formula>N53&lt;60.5</formula>
    </cfRule>
    <cfRule type="expression" dxfId="160" priority="25">
      <formula>N53&lt;85.5</formula>
    </cfRule>
    <cfRule type="expression" dxfId="159" priority="26">
      <formula>N53&gt;85.5</formula>
    </cfRule>
  </conditionalFormatting>
  <conditionalFormatting sqref="Q63:Q70">
    <cfRule type="cellIs" dxfId="158" priority="20" operator="lessThanOrEqual">
      <formula>-5</formula>
    </cfRule>
    <cfRule type="cellIs" dxfId="157" priority="21" operator="greaterThanOrEqual">
      <formula>5</formula>
    </cfRule>
  </conditionalFormatting>
  <conditionalFormatting sqref="M64:M70">
    <cfRule type="expression" dxfId="156" priority="15">
      <formula>M64=""</formula>
    </cfRule>
    <cfRule type="expression" dxfId="155" priority="16">
      <formula>M64&lt;44.5</formula>
    </cfRule>
    <cfRule type="expression" dxfId="154" priority="17">
      <formula>M64&lt;60.5</formula>
    </cfRule>
    <cfRule type="expression" dxfId="153" priority="18">
      <formula>M64&lt;85.5</formula>
    </cfRule>
    <cfRule type="expression" dxfId="152" priority="19">
      <formula>M64&gt;85.5</formula>
    </cfRule>
  </conditionalFormatting>
  <conditionalFormatting sqref="O64:P70">
    <cfRule type="expression" dxfId="151" priority="10">
      <formula>O64=""</formula>
    </cfRule>
    <cfRule type="expression" dxfId="150" priority="11">
      <formula>O64&lt;44.5</formula>
    </cfRule>
    <cfRule type="expression" dxfId="149" priority="12">
      <formula>O64&lt;60.5</formula>
    </cfRule>
    <cfRule type="expression" dxfId="148" priority="13">
      <formula>O64&lt;85.5</formula>
    </cfRule>
    <cfRule type="expression" dxfId="147" priority="14">
      <formula>O64&gt;85.5</formula>
    </cfRule>
  </conditionalFormatting>
  <conditionalFormatting sqref="N64:N68">
    <cfRule type="expression" dxfId="146" priority="5">
      <formula>N64=""</formula>
    </cfRule>
    <cfRule type="expression" dxfId="145" priority="6">
      <formula>N64&lt;44.5</formula>
    </cfRule>
    <cfRule type="expression" dxfId="144" priority="7">
      <formula>N64&lt;60.5</formula>
    </cfRule>
    <cfRule type="expression" dxfId="143" priority="8">
      <formula>N64&lt;85.5</formula>
    </cfRule>
    <cfRule type="expression" dxfId="142" priority="9">
      <formula>N64&gt;85.5</formula>
    </cfRule>
  </conditionalFormatting>
  <conditionalFormatting sqref="J86 H86">
    <cfRule type="expression" dxfId="141" priority="3">
      <formula>$C86="IMPARCIALIDAD"</formula>
    </cfRule>
  </conditionalFormatting>
  <conditionalFormatting sqref="J98:J107 H98:H107 J86:J96 H86:H96">
    <cfRule type="expression" dxfId="140" priority="4">
      <formula>$C86="RESPETO"</formula>
    </cfRule>
    <cfRule type="expression" dxfId="139" priority="104">
      <formula>$C86="CREDIBILIDAD"</formula>
    </cfRule>
  </conditionalFormatting>
  <conditionalFormatting sqref="I86">
    <cfRule type="expression" dxfId="138" priority="1">
      <formula>$C86="IMPARCIALIDAD"</formula>
    </cfRule>
  </conditionalFormatting>
  <conditionalFormatting sqref="I98:I107 I86:I96">
    <cfRule type="expression" dxfId="137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2:J23"/>
  <sheetViews>
    <sheetView topLeftCell="D1" workbookViewId="0">
      <selection activeCell="A16" sqref="A16:XFD16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9" t="s">
        <v>222</v>
      </c>
      <c r="C2" s="319"/>
      <c r="D2" s="319"/>
      <c r="E2" s="319"/>
      <c r="F2" s="319"/>
      <c r="G2" s="319"/>
      <c r="H2" s="319"/>
      <c r="I2" s="319"/>
      <c r="J2" s="319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1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1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2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1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2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1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1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1</v>
      </c>
      <c r="J22" s="29"/>
    </row>
    <row r="23" spans="2:10">
      <c r="B23" s="368" t="s">
        <v>158</v>
      </c>
      <c r="C23" s="368" t="s">
        <v>162</v>
      </c>
      <c r="D23" s="368" t="s">
        <v>198</v>
      </c>
      <c r="E23" s="368" t="s">
        <v>447</v>
      </c>
      <c r="F23" s="368" t="s">
        <v>448</v>
      </c>
      <c r="G23" s="368"/>
      <c r="H23" s="368"/>
      <c r="I23" s="368">
        <v>1</v>
      </c>
      <c r="J23" s="36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2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3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4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5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6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7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8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9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0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1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2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3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4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5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6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7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8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19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0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1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2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3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4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5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6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7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8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9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0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1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2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3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4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5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6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7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8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9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0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1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2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3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C89" sqref="C89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22" t="s">
        <v>183</v>
      </c>
      <c r="D5" s="330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20" t="s">
        <v>75</v>
      </c>
      <c r="D7" s="327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20" t="s">
        <v>27</v>
      </c>
      <c r="D12" s="327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31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28"/>
      <c r="C14" s="324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28"/>
      <c r="C15" s="324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29"/>
      <c r="C16" s="324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31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28"/>
      <c r="C18" s="325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28"/>
      <c r="C19" s="326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29"/>
      <c r="C20" s="326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31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28"/>
      <c r="C22" s="325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28"/>
      <c r="C23" s="326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29"/>
      <c r="C24" s="326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31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28"/>
      <c r="C26" s="324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28"/>
      <c r="C27" s="324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29"/>
      <c r="C28" s="324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31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28"/>
      <c r="C30" s="324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28"/>
      <c r="C31" s="324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29"/>
      <c r="C32" s="324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20" t="s">
        <v>77</v>
      </c>
      <c r="D33" s="327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20" t="s">
        <v>189</v>
      </c>
      <c r="D39" s="327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31" t="s">
        <v>126</v>
      </c>
      <c r="C40" s="325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28"/>
      <c r="C41" s="328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28"/>
      <c r="C42" s="328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28"/>
      <c r="C43" s="328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28"/>
      <c r="C44" s="328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28"/>
      <c r="C45" s="328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28"/>
      <c r="C46" s="328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28"/>
      <c r="C47" s="328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28"/>
      <c r="C48" s="328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28"/>
      <c r="C49" s="328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28"/>
      <c r="C50" s="328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28"/>
      <c r="C51" s="328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28"/>
      <c r="C52" s="328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28"/>
      <c r="C53" s="328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29"/>
      <c r="C54" s="329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31" t="s">
        <v>100</v>
      </c>
      <c r="C55" s="325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28"/>
      <c r="C56" s="328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28"/>
      <c r="C57" s="328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28"/>
      <c r="C58" s="328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28"/>
      <c r="C59" s="328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28"/>
      <c r="C60" s="328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28"/>
      <c r="C61" s="328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28"/>
      <c r="C62" s="328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28"/>
      <c r="C63" s="328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28"/>
      <c r="C64" s="328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28"/>
      <c r="C65" s="328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28"/>
      <c r="C66" s="328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28"/>
      <c r="C67" s="328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28"/>
      <c r="C68" s="328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28"/>
      <c r="C69" s="328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29"/>
      <c r="C70" s="329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20" t="s">
        <v>70</v>
      </c>
      <c r="D71" s="321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22" t="s">
        <v>11</v>
      </c>
      <c r="D73" s="323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7"/>
  <sheetViews>
    <sheetView tabSelected="1" topLeftCell="E88" workbookViewId="0">
      <selection activeCell="L110" sqref="L110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32" t="s">
        <v>451</v>
      </c>
      <c r="C2" s="333"/>
      <c r="D2" s="333"/>
      <c r="E2" s="334"/>
      <c r="F2" s="334"/>
    </row>
    <row r="3" spans="2:10" ht="20.100000000000001" customHeight="1">
      <c r="B3" s="153" t="s">
        <v>470</v>
      </c>
      <c r="C3" s="153" t="s">
        <v>458</v>
      </c>
      <c r="D3" s="153" t="s">
        <v>452</v>
      </c>
      <c r="E3" s="153" t="s">
        <v>453</v>
      </c>
      <c r="F3" s="153" t="s">
        <v>454</v>
      </c>
    </row>
    <row r="4" spans="2:10">
      <c r="B4" s="115">
        <v>1</v>
      </c>
      <c r="C4" s="115" t="s">
        <v>459</v>
      </c>
      <c r="D4" s="115" t="s">
        <v>469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455</v>
      </c>
      <c r="E5" s="115">
        <v>18</v>
      </c>
      <c r="F5" s="115"/>
    </row>
    <row r="6" spans="2:10" s="118" customFormat="1">
      <c r="B6" s="152">
        <v>3</v>
      </c>
      <c r="C6" s="152" t="s">
        <v>0</v>
      </c>
      <c r="D6" s="152" t="s">
        <v>463</v>
      </c>
      <c r="E6" s="152">
        <v>19</v>
      </c>
      <c r="F6" s="152"/>
      <c r="G6" s="117"/>
      <c r="H6" s="117"/>
      <c r="I6" s="117"/>
      <c r="J6" s="117"/>
    </row>
    <row r="7" spans="2:10" s="118" customFormat="1">
      <c r="B7" s="152">
        <v>4</v>
      </c>
      <c r="C7" s="152" t="s">
        <v>0</v>
      </c>
      <c r="D7" s="152" t="s">
        <v>471</v>
      </c>
      <c r="E7" s="152">
        <v>19</v>
      </c>
      <c r="F7" s="152"/>
      <c r="G7" s="117"/>
      <c r="H7" s="117"/>
      <c r="I7" s="117"/>
      <c r="J7" s="117"/>
    </row>
    <row r="8" spans="2:10" s="118" customFormat="1">
      <c r="B8" s="152">
        <v>5</v>
      </c>
      <c r="C8" s="152" t="s">
        <v>459</v>
      </c>
      <c r="D8" s="152" t="s">
        <v>456</v>
      </c>
      <c r="E8" s="152">
        <v>20</v>
      </c>
      <c r="F8" s="152"/>
      <c r="G8" s="117"/>
      <c r="H8" s="117"/>
      <c r="I8" s="117"/>
      <c r="J8" s="117"/>
    </row>
    <row r="9" spans="2:10" s="118" customFormat="1">
      <c r="B9" s="152">
        <v>6</v>
      </c>
      <c r="C9" s="152" t="s">
        <v>1</v>
      </c>
      <c r="D9" s="152" t="s">
        <v>460</v>
      </c>
      <c r="E9" s="152">
        <v>21</v>
      </c>
      <c r="F9" s="152">
        <v>24</v>
      </c>
      <c r="G9" s="117"/>
      <c r="H9" s="117"/>
      <c r="I9" s="117"/>
      <c r="J9" s="117"/>
    </row>
    <row r="10" spans="2:10" s="118" customFormat="1">
      <c r="B10" s="152">
        <v>7</v>
      </c>
      <c r="C10" s="152" t="s">
        <v>459</v>
      </c>
      <c r="D10" s="152" t="s">
        <v>457</v>
      </c>
      <c r="E10" s="152">
        <v>25</v>
      </c>
      <c r="F10" s="152">
        <v>27</v>
      </c>
      <c r="G10" s="117"/>
      <c r="H10" s="117"/>
      <c r="I10" s="117"/>
      <c r="J10" s="117"/>
    </row>
    <row r="11" spans="2:10" s="118" customFormat="1">
      <c r="B11" s="152">
        <v>8</v>
      </c>
      <c r="C11" s="152" t="s">
        <v>1</v>
      </c>
      <c r="D11" s="152" t="s">
        <v>464</v>
      </c>
      <c r="E11" s="152">
        <v>28</v>
      </c>
      <c r="F11" s="152">
        <v>37</v>
      </c>
      <c r="G11" s="117"/>
      <c r="H11" s="117"/>
      <c r="I11" s="117"/>
      <c r="J11" s="117"/>
    </row>
    <row r="12" spans="2:10" s="118" customFormat="1">
      <c r="B12" s="152">
        <v>9</v>
      </c>
      <c r="C12" s="152" t="s">
        <v>1</v>
      </c>
      <c r="D12" s="152" t="s">
        <v>465</v>
      </c>
      <c r="E12" s="152">
        <v>38</v>
      </c>
      <c r="F12" s="152">
        <v>39</v>
      </c>
      <c r="G12" s="117"/>
      <c r="H12" s="117"/>
      <c r="I12" s="117"/>
      <c r="J12" s="117"/>
    </row>
    <row r="13" spans="2:10" s="118" customFormat="1">
      <c r="B13" s="152">
        <v>10</v>
      </c>
      <c r="C13" s="152" t="s">
        <v>1</v>
      </c>
      <c r="D13" s="152" t="s">
        <v>476</v>
      </c>
      <c r="E13" s="152"/>
      <c r="F13" s="152"/>
      <c r="G13" s="117"/>
      <c r="H13" s="117"/>
      <c r="I13" s="117"/>
      <c r="J13" s="117"/>
    </row>
    <row r="14" spans="2:10" s="118" customFormat="1">
      <c r="B14" s="152">
        <v>11</v>
      </c>
      <c r="C14" s="152" t="s">
        <v>459</v>
      </c>
      <c r="D14" s="152" t="s">
        <v>329</v>
      </c>
      <c r="E14" s="152">
        <v>40</v>
      </c>
      <c r="F14" s="152"/>
      <c r="G14" s="117"/>
      <c r="H14" s="117"/>
      <c r="I14" s="117"/>
      <c r="J14" s="117"/>
    </row>
    <row r="15" spans="2:10" s="118" customFormat="1">
      <c r="B15" s="152">
        <v>12</v>
      </c>
      <c r="C15" s="152" t="s">
        <v>1</v>
      </c>
      <c r="D15" s="152" t="s">
        <v>461</v>
      </c>
      <c r="E15" s="152">
        <v>41</v>
      </c>
      <c r="F15" s="152">
        <v>42</v>
      </c>
      <c r="G15" s="117"/>
      <c r="H15" s="117"/>
      <c r="I15" s="117"/>
      <c r="J15" s="117"/>
    </row>
    <row r="16" spans="2:10" s="118" customFormat="1">
      <c r="B16" s="152">
        <v>13</v>
      </c>
      <c r="C16" s="152" t="s">
        <v>459</v>
      </c>
      <c r="D16" s="152" t="s">
        <v>466</v>
      </c>
      <c r="E16" s="152">
        <v>43</v>
      </c>
      <c r="F16" s="152"/>
      <c r="G16" s="117"/>
      <c r="H16" s="117"/>
      <c r="I16" s="117"/>
      <c r="J16" s="117"/>
    </row>
    <row r="17" spans="2:10" s="118" customFormat="1">
      <c r="B17" s="152">
        <v>14</v>
      </c>
      <c r="C17" s="152" t="s">
        <v>0</v>
      </c>
      <c r="D17" s="152" t="s">
        <v>467</v>
      </c>
      <c r="E17" s="152">
        <v>44</v>
      </c>
      <c r="F17" s="152"/>
      <c r="G17" s="117"/>
      <c r="H17" s="117"/>
      <c r="I17" s="117"/>
      <c r="J17" s="117"/>
    </row>
    <row r="18" spans="2:10" s="118" customFormat="1">
      <c r="B18" s="152">
        <v>15</v>
      </c>
      <c r="C18" s="152" t="s">
        <v>459</v>
      </c>
      <c r="D18" s="152" t="s">
        <v>468</v>
      </c>
      <c r="E18" s="152">
        <v>45</v>
      </c>
      <c r="F18" s="152">
        <v>56</v>
      </c>
      <c r="G18" s="117"/>
      <c r="H18" s="117"/>
      <c r="I18" s="117"/>
      <c r="J18" s="117"/>
    </row>
    <row r="19" spans="2:10" s="118" customFormat="1">
      <c r="B19" s="152">
        <v>16</v>
      </c>
      <c r="C19" s="152" t="s">
        <v>459</v>
      </c>
      <c r="D19" s="152" t="s">
        <v>462</v>
      </c>
      <c r="E19" s="152">
        <v>57</v>
      </c>
      <c r="F19" s="152">
        <v>60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35" t="s">
        <v>477</v>
      </c>
      <c r="C27" s="336"/>
      <c r="D27" s="336"/>
      <c r="E27" s="336"/>
      <c r="F27" s="336"/>
      <c r="G27" s="336"/>
      <c r="H27" s="336"/>
      <c r="I27" s="336"/>
      <c r="J27" s="336"/>
    </row>
    <row r="28" spans="2:10" ht="18.75">
      <c r="B28" s="154" t="s">
        <v>478</v>
      </c>
      <c r="C28" s="154" t="s">
        <v>479</v>
      </c>
      <c r="D28" s="154" t="s">
        <v>480</v>
      </c>
      <c r="E28" s="154" t="s">
        <v>481</v>
      </c>
      <c r="F28" s="154" t="s">
        <v>482</v>
      </c>
      <c r="G28" s="154" t="s">
        <v>483</v>
      </c>
      <c r="H28" s="154" t="s">
        <v>484</v>
      </c>
      <c r="I28" s="154" t="s">
        <v>485</v>
      </c>
      <c r="J28" s="154" t="s">
        <v>486</v>
      </c>
    </row>
    <row r="29" spans="2:10">
      <c r="B29" s="115">
        <v>1</v>
      </c>
      <c r="C29" s="115">
        <v>1</v>
      </c>
      <c r="D29" s="115"/>
      <c r="E29" s="115" t="s">
        <v>459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459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459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459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459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459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459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459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459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459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459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459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459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459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459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459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459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28</v>
      </c>
      <c r="E47" s="115" t="s">
        <v>0</v>
      </c>
      <c r="F47" s="115" t="s">
        <v>143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29</v>
      </c>
      <c r="E48" s="115" t="s">
        <v>0</v>
      </c>
      <c r="F48" s="115" t="s">
        <v>145</v>
      </c>
      <c r="G48" s="115">
        <v>95</v>
      </c>
      <c r="H48" s="115"/>
      <c r="I48" s="115"/>
      <c r="J48" s="115"/>
    </row>
    <row r="49" spans="2:10">
      <c r="B49" s="115">
        <v>21</v>
      </c>
      <c r="C49" s="115">
        <v>19</v>
      </c>
      <c r="D49" s="115" t="s">
        <v>159</v>
      </c>
      <c r="E49" s="115" t="s">
        <v>0</v>
      </c>
      <c r="F49" s="115" t="s">
        <v>147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388</v>
      </c>
      <c r="E50" s="115" t="s">
        <v>0</v>
      </c>
      <c r="F50" s="115" t="s">
        <v>149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160</v>
      </c>
      <c r="E51" s="115" t="s">
        <v>0</v>
      </c>
      <c r="F51" s="115" t="s">
        <v>150</v>
      </c>
      <c r="G51" s="115">
        <v>95</v>
      </c>
      <c r="H51" s="115"/>
      <c r="I51" s="115"/>
      <c r="J51" s="115"/>
    </row>
    <row r="52" spans="2:10">
      <c r="B52" s="115">
        <v>24</v>
      </c>
      <c r="C52" s="115">
        <v>19</v>
      </c>
      <c r="D52" s="115" t="s">
        <v>389</v>
      </c>
      <c r="E52" s="115" t="s">
        <v>0</v>
      </c>
      <c r="F52" s="115" t="s">
        <v>152</v>
      </c>
      <c r="G52" s="115">
        <v>95</v>
      </c>
      <c r="H52" s="115">
        <v>250</v>
      </c>
      <c r="I52" s="115"/>
      <c r="J52" s="115"/>
    </row>
    <row r="53" spans="2:10">
      <c r="B53" s="115">
        <v>25</v>
      </c>
      <c r="C53" s="115">
        <v>19</v>
      </c>
      <c r="D53" s="115" t="s">
        <v>161</v>
      </c>
      <c r="E53" s="115" t="s">
        <v>0</v>
      </c>
      <c r="F53" s="115" t="s">
        <v>153</v>
      </c>
      <c r="G53" s="115">
        <v>95</v>
      </c>
      <c r="H53" s="115"/>
      <c r="I53" s="115"/>
      <c r="J53" s="115"/>
    </row>
    <row r="54" spans="2:10">
      <c r="B54" s="115">
        <v>26</v>
      </c>
      <c r="C54" s="115">
        <v>19</v>
      </c>
      <c r="D54" s="115" t="s">
        <v>142</v>
      </c>
      <c r="E54" s="115" t="s">
        <v>0</v>
      </c>
      <c r="F54" s="115" t="s">
        <v>155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162</v>
      </c>
      <c r="E55" s="115" t="s">
        <v>0</v>
      </c>
      <c r="F55" s="115" t="s">
        <v>157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20</v>
      </c>
      <c r="D56" s="115"/>
      <c r="E56" s="115" t="s">
        <v>459</v>
      </c>
      <c r="F56" s="115"/>
      <c r="G56" s="115"/>
      <c r="H56" s="115"/>
      <c r="I56" s="115"/>
      <c r="J56" s="115"/>
    </row>
    <row r="57" spans="2:10">
      <c r="B57" s="115">
        <v>29</v>
      </c>
      <c r="C57" s="115">
        <v>21</v>
      </c>
      <c r="D57" s="115"/>
      <c r="E57" s="115" t="s">
        <v>1</v>
      </c>
      <c r="F57" s="115" t="s">
        <v>84</v>
      </c>
      <c r="G57" s="115">
        <v>95</v>
      </c>
      <c r="H57" s="115">
        <v>114</v>
      </c>
      <c r="I57" s="115"/>
      <c r="J57" s="115"/>
    </row>
    <row r="58" spans="2:10">
      <c r="B58" s="115">
        <v>30</v>
      </c>
      <c r="C58" s="115">
        <v>22</v>
      </c>
      <c r="D58" s="115"/>
      <c r="E58" s="115" t="s">
        <v>1</v>
      </c>
      <c r="F58" s="115" t="s">
        <v>98</v>
      </c>
      <c r="G58" s="115">
        <v>220</v>
      </c>
      <c r="H58" s="115"/>
      <c r="I58" s="115"/>
      <c r="J58" s="115"/>
    </row>
    <row r="59" spans="2:10">
      <c r="B59" s="115">
        <v>31</v>
      </c>
      <c r="C59" s="115">
        <v>23</v>
      </c>
      <c r="D59" s="115"/>
      <c r="E59" s="115" t="s">
        <v>1</v>
      </c>
      <c r="F59" s="115" t="s">
        <v>85</v>
      </c>
      <c r="G59" s="115">
        <v>125</v>
      </c>
      <c r="H59" s="115">
        <v>144</v>
      </c>
      <c r="I59" s="115">
        <v>360</v>
      </c>
      <c r="J59" s="115">
        <v>614</v>
      </c>
    </row>
    <row r="60" spans="2:10">
      <c r="B60" s="115">
        <v>32</v>
      </c>
      <c r="C60" s="115">
        <v>24</v>
      </c>
      <c r="D60" s="115"/>
      <c r="E60" s="115" t="s">
        <v>1</v>
      </c>
      <c r="F60" s="115" t="s">
        <v>99</v>
      </c>
      <c r="G60" s="115">
        <v>180</v>
      </c>
      <c r="H60" s="115"/>
      <c r="I60" s="115"/>
      <c r="J60" s="115"/>
    </row>
    <row r="61" spans="2:10">
      <c r="B61" s="115">
        <v>33</v>
      </c>
      <c r="C61" s="115">
        <v>25</v>
      </c>
      <c r="D61" s="115"/>
      <c r="E61" s="115" t="s">
        <v>459</v>
      </c>
      <c r="F61" s="115"/>
      <c r="G61" s="115"/>
      <c r="H61" s="115"/>
      <c r="I61" s="115"/>
      <c r="J61" s="115"/>
    </row>
    <row r="62" spans="2:10">
      <c r="B62" s="115">
        <v>34</v>
      </c>
      <c r="C62" s="115">
        <v>26</v>
      </c>
      <c r="D62" s="115"/>
      <c r="E62" s="115" t="s">
        <v>459</v>
      </c>
      <c r="F62" s="115"/>
      <c r="G62" s="115"/>
      <c r="H62" s="115"/>
      <c r="I62" s="115"/>
      <c r="J62" s="115"/>
    </row>
    <row r="63" spans="2:10">
      <c r="B63" s="115">
        <v>35</v>
      </c>
      <c r="C63" s="115">
        <v>27</v>
      </c>
      <c r="D63" s="115"/>
      <c r="E63" s="115" t="s">
        <v>459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28</v>
      </c>
      <c r="D64" s="115"/>
      <c r="E64" s="115" t="s">
        <v>1</v>
      </c>
      <c r="F64" s="115" t="s">
        <v>86</v>
      </c>
      <c r="G64" s="115">
        <v>210</v>
      </c>
      <c r="H64" s="115">
        <v>75</v>
      </c>
      <c r="I64" s="115"/>
      <c r="J64" s="115"/>
    </row>
    <row r="65" spans="2:10">
      <c r="B65" s="115">
        <v>37</v>
      </c>
      <c r="C65" s="115">
        <v>29</v>
      </c>
      <c r="D65" s="115"/>
      <c r="E65" s="115" t="s">
        <v>1</v>
      </c>
      <c r="F65" s="115" t="s">
        <v>91</v>
      </c>
      <c r="G65" s="115"/>
      <c r="H65" s="115">
        <v>1</v>
      </c>
      <c r="I65" s="115"/>
      <c r="J65" s="115">
        <v>955</v>
      </c>
    </row>
    <row r="66" spans="2:10">
      <c r="B66" s="115">
        <v>38</v>
      </c>
      <c r="C66" s="115">
        <v>30</v>
      </c>
      <c r="D66" s="115"/>
      <c r="E66" s="115" t="s">
        <v>1</v>
      </c>
      <c r="F66" s="115" t="s">
        <v>87</v>
      </c>
      <c r="G66" s="115">
        <v>210</v>
      </c>
      <c r="H66" s="115">
        <v>75</v>
      </c>
      <c r="I66" s="115"/>
      <c r="J66" s="115"/>
    </row>
    <row r="67" spans="2:10">
      <c r="B67" s="115">
        <v>39</v>
      </c>
      <c r="C67" s="115">
        <v>31</v>
      </c>
      <c r="D67" s="115"/>
      <c r="E67" s="115" t="s">
        <v>1</v>
      </c>
      <c r="F67" s="115" t="s">
        <v>92</v>
      </c>
      <c r="G67" s="115"/>
      <c r="H67" s="115">
        <v>1</v>
      </c>
      <c r="I67" s="115"/>
      <c r="J67" s="115">
        <v>955</v>
      </c>
    </row>
    <row r="68" spans="2:10">
      <c r="B68" s="115">
        <v>40</v>
      </c>
      <c r="C68" s="115">
        <v>32</v>
      </c>
      <c r="D68" s="115"/>
      <c r="E68" s="115" t="s">
        <v>1</v>
      </c>
      <c r="F68" s="115" t="s">
        <v>88</v>
      </c>
      <c r="G68" s="115">
        <v>210</v>
      </c>
      <c r="H68" s="115">
        <v>75</v>
      </c>
      <c r="I68" s="115"/>
      <c r="J68" s="115"/>
    </row>
    <row r="69" spans="2:10">
      <c r="B69" s="115">
        <v>41</v>
      </c>
      <c r="C69" s="115">
        <v>33</v>
      </c>
      <c r="D69" s="115"/>
      <c r="E69" s="115" t="s">
        <v>1</v>
      </c>
      <c r="F69" s="115" t="s">
        <v>95</v>
      </c>
      <c r="G69" s="115"/>
      <c r="H69" s="115">
        <v>1</v>
      </c>
      <c r="I69" s="115"/>
      <c r="J69" s="115">
        <v>955</v>
      </c>
    </row>
    <row r="70" spans="2:10">
      <c r="B70" s="115">
        <v>42</v>
      </c>
      <c r="C70" s="115">
        <v>34</v>
      </c>
      <c r="D70" s="115"/>
      <c r="E70" s="115" t="s">
        <v>1</v>
      </c>
      <c r="F70" s="115" t="s">
        <v>89</v>
      </c>
      <c r="G70" s="115">
        <v>210</v>
      </c>
      <c r="H70" s="115">
        <v>75</v>
      </c>
      <c r="I70" s="115"/>
      <c r="J70" s="115"/>
    </row>
    <row r="71" spans="2:10">
      <c r="B71" s="115">
        <v>43</v>
      </c>
      <c r="C71" s="115">
        <v>35</v>
      </c>
      <c r="D71" s="115"/>
      <c r="E71" s="115" t="s">
        <v>1</v>
      </c>
      <c r="F71" s="115" t="s">
        <v>93</v>
      </c>
      <c r="G71" s="115"/>
      <c r="H71" s="115">
        <v>1</v>
      </c>
      <c r="I71" s="115"/>
      <c r="J71" s="115">
        <v>955</v>
      </c>
    </row>
    <row r="72" spans="2:10">
      <c r="B72" s="115">
        <v>44</v>
      </c>
      <c r="C72" s="115">
        <v>36</v>
      </c>
      <c r="D72" s="115"/>
      <c r="E72" s="115" t="s">
        <v>1</v>
      </c>
      <c r="F72" s="115" t="s">
        <v>90</v>
      </c>
      <c r="G72" s="115">
        <v>210</v>
      </c>
      <c r="H72" s="115">
        <v>75</v>
      </c>
      <c r="I72" s="115"/>
      <c r="J72" s="115"/>
    </row>
    <row r="73" spans="2:10">
      <c r="B73" s="115">
        <v>45</v>
      </c>
      <c r="C73" s="115">
        <v>37</v>
      </c>
      <c r="D73" s="115"/>
      <c r="E73" s="115" t="s">
        <v>1</v>
      </c>
      <c r="F73" s="115" t="s">
        <v>94</v>
      </c>
      <c r="G73" s="115"/>
      <c r="H73" s="115">
        <v>1</v>
      </c>
      <c r="I73" s="115"/>
      <c r="J73" s="115">
        <v>955</v>
      </c>
    </row>
    <row r="74" spans="2:10">
      <c r="B74" s="115">
        <v>46</v>
      </c>
      <c r="C74" s="115">
        <v>38</v>
      </c>
      <c r="D74" s="115"/>
      <c r="E74" s="115" t="s">
        <v>1</v>
      </c>
      <c r="F74" s="115" t="s">
        <v>126</v>
      </c>
      <c r="G74" s="115">
        <v>95</v>
      </c>
      <c r="H74" s="115"/>
      <c r="I74" s="115"/>
      <c r="J74" s="115"/>
    </row>
    <row r="75" spans="2:10">
      <c r="B75" s="115">
        <v>47</v>
      </c>
      <c r="C75" s="115">
        <v>39</v>
      </c>
      <c r="D75" s="115"/>
      <c r="E75" s="115" t="s">
        <v>1</v>
      </c>
      <c r="F75" s="115" t="s">
        <v>100</v>
      </c>
      <c r="G75" s="115">
        <v>118</v>
      </c>
      <c r="H75" s="115">
        <v>1</v>
      </c>
      <c r="I75" s="115">
        <v>368</v>
      </c>
      <c r="J75" s="115">
        <v>847</v>
      </c>
    </row>
    <row r="76" spans="2:10">
      <c r="B76" s="115">
        <v>48</v>
      </c>
      <c r="C76" s="115">
        <v>40</v>
      </c>
      <c r="D76" s="115"/>
      <c r="E76" s="115" t="s">
        <v>459</v>
      </c>
      <c r="F76" s="115"/>
      <c r="G76" s="115"/>
      <c r="H76" s="115"/>
      <c r="I76" s="115"/>
      <c r="J76" s="115"/>
    </row>
    <row r="77" spans="2:10">
      <c r="B77" s="115">
        <v>49</v>
      </c>
      <c r="C77" s="115">
        <v>41</v>
      </c>
      <c r="D77" s="115"/>
      <c r="E77" s="115" t="s">
        <v>1</v>
      </c>
      <c r="F77" s="115" t="s">
        <v>96</v>
      </c>
      <c r="G77" s="115">
        <v>168</v>
      </c>
      <c r="H77" s="115">
        <v>25</v>
      </c>
      <c r="I77" s="115">
        <v>310</v>
      </c>
      <c r="J77" s="115">
        <v>770</v>
      </c>
    </row>
    <row r="78" spans="2:10">
      <c r="B78" s="115">
        <v>50</v>
      </c>
      <c r="C78" s="115">
        <v>42</v>
      </c>
      <c r="D78" s="115"/>
      <c r="E78" s="115" t="s">
        <v>1</v>
      </c>
      <c r="F78" s="115" t="s">
        <v>97</v>
      </c>
      <c r="G78" s="115">
        <v>168</v>
      </c>
      <c r="H78" s="115">
        <v>25</v>
      </c>
      <c r="I78" s="115">
        <v>310</v>
      </c>
      <c r="J78" s="115">
        <v>770</v>
      </c>
    </row>
    <row r="79" spans="2:10">
      <c r="B79" s="115">
        <v>51</v>
      </c>
      <c r="C79" s="115">
        <v>43</v>
      </c>
      <c r="D79" s="115"/>
      <c r="E79" s="115" t="s">
        <v>459</v>
      </c>
      <c r="F79" s="115"/>
      <c r="G79" s="115"/>
      <c r="H79" s="115"/>
      <c r="I79" s="115"/>
      <c r="J79" s="115"/>
    </row>
    <row r="80" spans="2:10">
      <c r="B80" s="115">
        <v>52</v>
      </c>
      <c r="C80" s="115">
        <v>44</v>
      </c>
      <c r="D80" s="115" t="s">
        <v>28</v>
      </c>
      <c r="E80" s="115" t="s">
        <v>0</v>
      </c>
      <c r="F80" s="115" t="s">
        <v>144</v>
      </c>
      <c r="G80" s="115">
        <v>145</v>
      </c>
      <c r="H80" s="115">
        <v>220</v>
      </c>
      <c r="I80" s="115"/>
      <c r="J80" s="115"/>
    </row>
    <row r="81" spans="2:10">
      <c r="B81" s="115">
        <v>52</v>
      </c>
      <c r="C81" s="115">
        <v>44</v>
      </c>
      <c r="D81" s="115" t="s">
        <v>28</v>
      </c>
      <c r="E81" s="115" t="s">
        <v>0</v>
      </c>
      <c r="F81" s="115" t="s">
        <v>170</v>
      </c>
      <c r="G81" s="115">
        <v>360</v>
      </c>
      <c r="H81" s="115">
        <v>33</v>
      </c>
      <c r="I81" s="115"/>
      <c r="J81" s="115"/>
    </row>
    <row r="82" spans="2:10">
      <c r="B82" s="115">
        <v>53</v>
      </c>
      <c r="C82" s="115">
        <v>44</v>
      </c>
      <c r="D82" s="115" t="s">
        <v>29</v>
      </c>
      <c r="E82" s="115" t="s">
        <v>0</v>
      </c>
      <c r="F82" s="115" t="s">
        <v>146</v>
      </c>
      <c r="G82" s="115">
        <v>145</v>
      </c>
      <c r="H82" s="115">
        <v>220</v>
      </c>
      <c r="I82" s="115"/>
      <c r="J82" s="115"/>
    </row>
    <row r="83" spans="2:10">
      <c r="B83" s="115">
        <v>53</v>
      </c>
      <c r="C83" s="115">
        <v>44</v>
      </c>
      <c r="D83" s="115" t="s">
        <v>29</v>
      </c>
      <c r="E83" s="115" t="s">
        <v>0</v>
      </c>
      <c r="F83" s="115" t="s">
        <v>169</v>
      </c>
      <c r="G83" s="115">
        <v>360</v>
      </c>
      <c r="H83" s="115">
        <v>33</v>
      </c>
      <c r="I83" s="115"/>
      <c r="J83" s="115"/>
    </row>
    <row r="84" spans="2:10">
      <c r="B84" s="115">
        <v>54</v>
      </c>
      <c r="C84" s="115">
        <v>44</v>
      </c>
      <c r="D84" s="115" t="s">
        <v>159</v>
      </c>
      <c r="E84" s="115" t="s">
        <v>0</v>
      </c>
      <c r="F84" s="115" t="s">
        <v>148</v>
      </c>
      <c r="G84" s="115">
        <v>145</v>
      </c>
      <c r="H84" s="115">
        <v>220</v>
      </c>
      <c r="I84" s="115"/>
      <c r="J84" s="115"/>
    </row>
    <row r="85" spans="2:10">
      <c r="B85" s="115">
        <v>54</v>
      </c>
      <c r="C85" s="115">
        <v>44</v>
      </c>
      <c r="D85" s="115" t="s">
        <v>159</v>
      </c>
      <c r="E85" s="115" t="s">
        <v>0</v>
      </c>
      <c r="F85" s="115" t="s">
        <v>168</v>
      </c>
      <c r="G85" s="115">
        <v>360</v>
      </c>
      <c r="H85" s="115">
        <v>33</v>
      </c>
      <c r="I85" s="115"/>
      <c r="J85" s="115"/>
    </row>
    <row r="86" spans="2:10">
      <c r="B86" s="115">
        <v>55</v>
      </c>
      <c r="C86" s="115">
        <v>44</v>
      </c>
      <c r="D86" s="115" t="s">
        <v>388</v>
      </c>
      <c r="E86" s="115" t="s">
        <v>0</v>
      </c>
      <c r="F86" s="115" t="s">
        <v>175</v>
      </c>
      <c r="G86" s="115">
        <v>145</v>
      </c>
      <c r="H86" s="115">
        <v>220</v>
      </c>
      <c r="I86" s="115"/>
      <c r="J86" s="115"/>
    </row>
    <row r="87" spans="2:10">
      <c r="B87" s="115">
        <v>55</v>
      </c>
      <c r="C87" s="115">
        <v>44</v>
      </c>
      <c r="D87" s="115" t="s">
        <v>388</v>
      </c>
      <c r="E87" s="115" t="s">
        <v>0</v>
      </c>
      <c r="F87" s="115" t="s">
        <v>472</v>
      </c>
      <c r="G87" s="115">
        <v>360</v>
      </c>
      <c r="H87" s="115">
        <v>33</v>
      </c>
      <c r="I87" s="115"/>
      <c r="J87" s="115"/>
    </row>
    <row r="88" spans="2:10">
      <c r="B88" s="115">
        <v>56</v>
      </c>
      <c r="C88" s="115">
        <v>44</v>
      </c>
      <c r="D88" s="115" t="s">
        <v>388</v>
      </c>
      <c r="E88" s="115" t="s">
        <v>0</v>
      </c>
      <c r="F88" s="115" t="s">
        <v>176</v>
      </c>
      <c r="G88" s="115">
        <v>145</v>
      </c>
      <c r="H88" s="115">
        <v>220</v>
      </c>
      <c r="I88" s="115"/>
      <c r="J88" s="115"/>
    </row>
    <row r="89" spans="2:10">
      <c r="B89" s="115">
        <v>56</v>
      </c>
      <c r="C89" s="115">
        <v>44</v>
      </c>
      <c r="D89" s="115" t="s">
        <v>388</v>
      </c>
      <c r="E89" s="115" t="s">
        <v>0</v>
      </c>
      <c r="F89" s="115" t="s">
        <v>473</v>
      </c>
      <c r="G89" s="115">
        <v>360</v>
      </c>
      <c r="H89" s="115">
        <v>33</v>
      </c>
      <c r="I89" s="115"/>
      <c r="J89" s="115"/>
    </row>
    <row r="90" spans="2:10">
      <c r="B90" s="115">
        <v>57</v>
      </c>
      <c r="C90" s="115">
        <v>44</v>
      </c>
      <c r="D90" s="115" t="s">
        <v>160</v>
      </c>
      <c r="E90" s="115" t="s">
        <v>0</v>
      </c>
      <c r="F90" s="115" t="s">
        <v>151</v>
      </c>
      <c r="G90" s="115">
        <v>145</v>
      </c>
      <c r="H90" s="115">
        <v>220</v>
      </c>
      <c r="I90" s="115"/>
      <c r="J90" s="115"/>
    </row>
    <row r="91" spans="2:10">
      <c r="B91" s="115">
        <v>57</v>
      </c>
      <c r="C91" s="115">
        <v>44</v>
      </c>
      <c r="D91" s="115" t="s">
        <v>160</v>
      </c>
      <c r="E91" s="115" t="s">
        <v>0</v>
      </c>
      <c r="F91" s="115" t="s">
        <v>171</v>
      </c>
      <c r="G91" s="115">
        <v>360</v>
      </c>
      <c r="H91" s="115">
        <v>33</v>
      </c>
      <c r="I91" s="115"/>
      <c r="J91" s="115"/>
    </row>
    <row r="92" spans="2:10">
      <c r="B92" s="115">
        <v>58</v>
      </c>
      <c r="C92" s="115">
        <v>44</v>
      </c>
      <c r="D92" s="115" t="s">
        <v>389</v>
      </c>
      <c r="E92" s="115" t="s">
        <v>0</v>
      </c>
      <c r="F92" s="115" t="s">
        <v>177</v>
      </c>
      <c r="G92" s="115">
        <v>145</v>
      </c>
      <c r="H92" s="115">
        <v>220</v>
      </c>
      <c r="I92" s="115"/>
      <c r="J92" s="115"/>
    </row>
    <row r="93" spans="2:10">
      <c r="B93" s="115">
        <v>58</v>
      </c>
      <c r="C93" s="115">
        <v>44</v>
      </c>
      <c r="D93" s="115" t="s">
        <v>389</v>
      </c>
      <c r="E93" s="115" t="s">
        <v>0</v>
      </c>
      <c r="F93" s="115" t="s">
        <v>474</v>
      </c>
      <c r="G93" s="115">
        <v>360</v>
      </c>
      <c r="H93" s="115">
        <v>33</v>
      </c>
      <c r="I93" s="115"/>
      <c r="J93" s="115"/>
    </row>
    <row r="94" spans="2:10">
      <c r="B94" s="115">
        <v>59</v>
      </c>
      <c r="C94" s="115">
        <v>44</v>
      </c>
      <c r="D94" s="115" t="s">
        <v>389</v>
      </c>
      <c r="E94" s="115" t="s">
        <v>0</v>
      </c>
      <c r="F94" s="115" t="s">
        <v>178</v>
      </c>
      <c r="G94" s="115">
        <v>145</v>
      </c>
      <c r="H94" s="115">
        <v>220</v>
      </c>
      <c r="I94" s="115"/>
      <c r="J94" s="115"/>
    </row>
    <row r="95" spans="2:10">
      <c r="B95" s="115">
        <v>59</v>
      </c>
      <c r="C95" s="115">
        <v>44</v>
      </c>
      <c r="D95" s="115" t="s">
        <v>389</v>
      </c>
      <c r="E95" s="115" t="s">
        <v>0</v>
      </c>
      <c r="F95" s="115" t="s">
        <v>475</v>
      </c>
      <c r="G95" s="115">
        <v>360</v>
      </c>
      <c r="H95" s="115">
        <v>33</v>
      </c>
      <c r="I95" s="115"/>
      <c r="J95" s="115"/>
    </row>
    <row r="96" spans="2:10">
      <c r="B96" s="115">
        <v>60</v>
      </c>
      <c r="C96" s="115">
        <v>44</v>
      </c>
      <c r="D96" s="115" t="s">
        <v>161</v>
      </c>
      <c r="E96" s="115" t="s">
        <v>0</v>
      </c>
      <c r="F96" s="115" t="s">
        <v>154</v>
      </c>
      <c r="G96" s="115">
        <v>145</v>
      </c>
      <c r="H96" s="115">
        <v>220</v>
      </c>
      <c r="I96" s="115"/>
      <c r="J96" s="115"/>
    </row>
    <row r="97" spans="2:10">
      <c r="B97" s="115">
        <v>60</v>
      </c>
      <c r="C97" s="115">
        <v>44</v>
      </c>
      <c r="D97" s="115" t="s">
        <v>161</v>
      </c>
      <c r="E97" s="115" t="s">
        <v>0</v>
      </c>
      <c r="F97" s="115" t="s">
        <v>172</v>
      </c>
      <c r="G97" s="115">
        <v>360</v>
      </c>
      <c r="H97" s="115">
        <v>33</v>
      </c>
      <c r="I97" s="115"/>
      <c r="J97" s="115"/>
    </row>
    <row r="98" spans="2:10">
      <c r="B98" s="115">
        <v>61</v>
      </c>
      <c r="C98" s="115">
        <v>44</v>
      </c>
      <c r="D98" s="115" t="s">
        <v>142</v>
      </c>
      <c r="E98" s="115" t="s">
        <v>0</v>
      </c>
      <c r="F98" s="115" t="s">
        <v>156</v>
      </c>
      <c r="G98" s="115">
        <v>145</v>
      </c>
      <c r="H98" s="115">
        <v>220</v>
      </c>
      <c r="I98" s="115"/>
      <c r="J98" s="115"/>
    </row>
    <row r="99" spans="2:10">
      <c r="B99" s="115">
        <v>61</v>
      </c>
      <c r="C99" s="115">
        <v>44</v>
      </c>
      <c r="D99" s="115" t="s">
        <v>142</v>
      </c>
      <c r="E99" s="115" t="s">
        <v>0</v>
      </c>
      <c r="F99" s="115" t="s">
        <v>173</v>
      </c>
      <c r="G99" s="115">
        <v>360</v>
      </c>
      <c r="H99" s="115">
        <v>33</v>
      </c>
      <c r="I99" s="115"/>
      <c r="J99" s="115"/>
    </row>
    <row r="100" spans="2:10">
      <c r="B100" s="115">
        <v>62</v>
      </c>
      <c r="C100" s="115">
        <v>44</v>
      </c>
      <c r="D100" s="115" t="s">
        <v>162</v>
      </c>
      <c r="E100" s="115" t="s">
        <v>0</v>
      </c>
      <c r="F100" s="115" t="s">
        <v>158</v>
      </c>
      <c r="G100" s="115">
        <v>145</v>
      </c>
      <c r="H100" s="115">
        <v>220</v>
      </c>
      <c r="I100" s="115"/>
      <c r="J100" s="115"/>
    </row>
    <row r="101" spans="2:10">
      <c r="B101" s="115">
        <v>62</v>
      </c>
      <c r="C101" s="115">
        <v>44</v>
      </c>
      <c r="D101" s="115" t="s">
        <v>162</v>
      </c>
      <c r="E101" s="115" t="s">
        <v>0</v>
      </c>
      <c r="F101" s="115" t="s">
        <v>174</v>
      </c>
      <c r="G101" s="115">
        <v>360</v>
      </c>
      <c r="H101" s="115">
        <v>33</v>
      </c>
      <c r="I101" s="115"/>
      <c r="J101" s="115"/>
    </row>
    <row r="102" spans="2:10">
      <c r="B102" s="115">
        <v>63</v>
      </c>
      <c r="C102" s="115">
        <v>45</v>
      </c>
      <c r="D102" s="115"/>
      <c r="E102" s="115" t="s">
        <v>459</v>
      </c>
      <c r="F102" s="115"/>
      <c r="G102" s="115"/>
      <c r="H102" s="115"/>
      <c r="I102" s="115"/>
      <c r="J102" s="115"/>
    </row>
    <row r="103" spans="2:10">
      <c r="B103" s="115">
        <v>64</v>
      </c>
      <c r="C103" s="115">
        <v>46</v>
      </c>
      <c r="D103" s="115"/>
      <c r="E103" s="115" t="s">
        <v>459</v>
      </c>
      <c r="F103" s="115"/>
      <c r="G103" s="115"/>
      <c r="H103" s="115"/>
      <c r="I103" s="115"/>
      <c r="J103" s="115"/>
    </row>
    <row r="104" spans="2:10">
      <c r="B104" s="115">
        <v>65</v>
      </c>
      <c r="C104" s="115">
        <v>47</v>
      </c>
      <c r="D104" s="115"/>
      <c r="E104" s="115" t="s">
        <v>459</v>
      </c>
      <c r="F104" s="115"/>
      <c r="G104" s="115"/>
      <c r="H104" s="115"/>
      <c r="I104" s="115"/>
      <c r="J104" s="115"/>
    </row>
    <row r="105" spans="2:10">
      <c r="B105" s="115">
        <v>66</v>
      </c>
      <c r="C105" s="115">
        <v>48</v>
      </c>
      <c r="D105" s="115"/>
      <c r="E105" s="115" t="s">
        <v>459</v>
      </c>
      <c r="F105" s="115"/>
      <c r="G105" s="115"/>
      <c r="H105" s="115"/>
      <c r="I105" s="115"/>
      <c r="J105" s="115"/>
    </row>
    <row r="106" spans="2:10">
      <c r="B106" s="115">
        <v>67</v>
      </c>
      <c r="C106" s="115">
        <v>49</v>
      </c>
      <c r="D106" s="115"/>
      <c r="E106" s="115" t="s">
        <v>459</v>
      </c>
      <c r="F106" s="115"/>
      <c r="G106" s="115"/>
      <c r="H106" s="115"/>
      <c r="I106" s="115"/>
      <c r="J106" s="115"/>
    </row>
    <row r="107" spans="2:10">
      <c r="B107" s="115">
        <v>68</v>
      </c>
      <c r="C107" s="115">
        <v>50</v>
      </c>
      <c r="D107" s="115"/>
      <c r="E107" s="115" t="s">
        <v>459</v>
      </c>
      <c r="F107" s="115"/>
      <c r="G107" s="115"/>
      <c r="H107" s="115"/>
      <c r="I107" s="115"/>
      <c r="J107" s="115"/>
    </row>
    <row r="108" spans="2:10">
      <c r="B108" s="115">
        <v>69</v>
      </c>
      <c r="C108" s="115">
        <v>51</v>
      </c>
      <c r="D108" s="115"/>
      <c r="E108" s="115" t="s">
        <v>459</v>
      </c>
      <c r="F108" s="115"/>
      <c r="G108" s="115"/>
      <c r="H108" s="115"/>
      <c r="I108" s="115"/>
      <c r="J108" s="115"/>
    </row>
    <row r="109" spans="2:10">
      <c r="B109" s="115">
        <v>70</v>
      </c>
      <c r="C109" s="115">
        <v>52</v>
      </c>
      <c r="D109" s="115"/>
      <c r="E109" s="115" t="s">
        <v>459</v>
      </c>
      <c r="F109" s="115"/>
      <c r="G109" s="115"/>
      <c r="H109" s="115"/>
      <c r="I109" s="115"/>
      <c r="J109" s="115"/>
    </row>
    <row r="110" spans="2:10">
      <c r="B110" s="115">
        <v>71</v>
      </c>
      <c r="C110" s="115">
        <v>53</v>
      </c>
      <c r="D110" s="115"/>
      <c r="E110" s="115" t="s">
        <v>459</v>
      </c>
      <c r="F110" s="115"/>
      <c r="G110" s="115"/>
      <c r="H110" s="115"/>
      <c r="I110" s="115"/>
      <c r="J110" s="115"/>
    </row>
    <row r="111" spans="2:10">
      <c r="B111" s="115">
        <v>72</v>
      </c>
      <c r="C111" s="115">
        <v>54</v>
      </c>
      <c r="D111" s="115"/>
      <c r="E111" s="115" t="s">
        <v>459</v>
      </c>
      <c r="F111" s="115"/>
      <c r="G111" s="115"/>
      <c r="H111" s="115"/>
      <c r="I111" s="115"/>
      <c r="J111" s="115"/>
    </row>
    <row r="112" spans="2:10">
      <c r="B112" s="115">
        <v>73</v>
      </c>
      <c r="C112" s="115">
        <v>55</v>
      </c>
      <c r="D112" s="115"/>
      <c r="E112" s="115" t="s">
        <v>459</v>
      </c>
      <c r="F112" s="115"/>
      <c r="G112" s="115"/>
      <c r="H112" s="115"/>
      <c r="I112" s="115"/>
      <c r="J112" s="115"/>
    </row>
    <row r="113" spans="2:10">
      <c r="B113" s="115">
        <v>74</v>
      </c>
      <c r="C113" s="115">
        <v>56</v>
      </c>
      <c r="D113" s="115"/>
      <c r="E113" s="115" t="s">
        <v>459</v>
      </c>
      <c r="F113" s="115"/>
      <c r="G113" s="115"/>
      <c r="H113" s="115"/>
      <c r="I113" s="115"/>
      <c r="J113" s="115"/>
    </row>
    <row r="114" spans="2:10">
      <c r="B114" s="115">
        <v>75</v>
      </c>
      <c r="C114" s="115">
        <v>57</v>
      </c>
      <c r="D114" s="115"/>
      <c r="E114" s="115" t="s">
        <v>459</v>
      </c>
      <c r="F114" s="115"/>
      <c r="G114" s="115"/>
      <c r="H114" s="115"/>
      <c r="I114" s="115"/>
      <c r="J114" s="115"/>
    </row>
    <row r="115" spans="2:10">
      <c r="B115" s="115">
        <v>76</v>
      </c>
      <c r="C115" s="115">
        <v>58</v>
      </c>
      <c r="D115" s="115"/>
      <c r="E115" s="115" t="s">
        <v>459</v>
      </c>
      <c r="F115" s="115"/>
      <c r="G115" s="115"/>
      <c r="H115" s="115"/>
      <c r="I115" s="115"/>
      <c r="J115" s="115"/>
    </row>
    <row r="116" spans="2:10">
      <c r="B116" s="115">
        <v>77</v>
      </c>
      <c r="C116" s="115">
        <v>59</v>
      </c>
      <c r="D116" s="115"/>
      <c r="E116" s="115" t="s">
        <v>459</v>
      </c>
      <c r="F116" s="115"/>
      <c r="G116" s="115"/>
      <c r="H116" s="115"/>
      <c r="I116" s="115"/>
      <c r="J116" s="115"/>
    </row>
    <row r="117" spans="2:10">
      <c r="B117" s="115">
        <v>78</v>
      </c>
      <c r="C117" s="115">
        <v>60</v>
      </c>
      <c r="D117" s="115"/>
      <c r="E117" s="115" t="s">
        <v>459</v>
      </c>
      <c r="F117" s="115"/>
      <c r="G117" s="115"/>
      <c r="H117" s="115"/>
      <c r="I117" s="115"/>
      <c r="J117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3" r:id="rId5" name="Button 3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118</xdr:row>
                    <xdr:rowOff>0</xdr:rowOff>
                  </from>
                  <to>
                    <xdr:col>10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17"/>
  <sheetViews>
    <sheetView workbookViewId="0">
      <selection activeCell="C805" sqref="C805:G810"/>
    </sheetView>
  </sheetViews>
  <sheetFormatPr baseColWidth="10" defaultRowHeight="15"/>
  <cols>
    <col min="1" max="1" width="22.7109375" bestFit="1" customWidth="1"/>
    <col min="3" max="3" width="35.7109375" customWidth="1"/>
    <col min="4" max="10" width="18.28515625" customWidth="1"/>
  </cols>
  <sheetData>
    <row r="1" spans="1:1">
      <c r="A1" t="s">
        <v>143</v>
      </c>
    </row>
    <row r="61" spans="1:1">
      <c r="A61" t="s">
        <v>144</v>
      </c>
    </row>
    <row r="75" spans="1:8" ht="25.5">
      <c r="A75" t="s">
        <v>170</v>
      </c>
      <c r="D75" s="160" t="s">
        <v>200</v>
      </c>
      <c r="E75" s="160" t="s">
        <v>201</v>
      </c>
      <c r="F75" s="160" t="s">
        <v>202</v>
      </c>
      <c r="G75" s="160" t="s">
        <v>203</v>
      </c>
      <c r="H75" s="160" t="s">
        <v>204</v>
      </c>
    </row>
    <row r="76" spans="1:8" ht="21">
      <c r="C76" s="184" t="s">
        <v>181</v>
      </c>
      <c r="D76" s="189">
        <v>90.45</v>
      </c>
      <c r="E76" s="189">
        <v>86.08</v>
      </c>
      <c r="F76" s="189">
        <v>84.35</v>
      </c>
      <c r="G76" s="189">
        <v>87.74</v>
      </c>
      <c r="H76" s="189">
        <v>90.43</v>
      </c>
    </row>
    <row r="77" spans="1:8" ht="21">
      <c r="C77" s="185" t="s">
        <v>182</v>
      </c>
      <c r="D77" s="189">
        <v>84.9</v>
      </c>
      <c r="E77" s="189">
        <v>80.59</v>
      </c>
      <c r="F77" s="189">
        <v>81</v>
      </c>
      <c r="G77" s="189">
        <v>84.36</v>
      </c>
      <c r="H77" s="189">
        <v>87.34</v>
      </c>
    </row>
    <row r="78" spans="1:8" ht="21">
      <c r="C78" s="186" t="s">
        <v>180</v>
      </c>
      <c r="D78" s="189">
        <v>85.2</v>
      </c>
      <c r="E78" s="189">
        <v>77.400000000000006</v>
      </c>
      <c r="F78" s="189">
        <v>75.959999999999994</v>
      </c>
      <c r="G78" s="189">
        <v>79.81</v>
      </c>
      <c r="H78" s="189">
        <v>83.12</v>
      </c>
    </row>
    <row r="79" spans="1:8" ht="21">
      <c r="C79" s="187" t="s">
        <v>196</v>
      </c>
      <c r="D79" s="189">
        <v>83.54</v>
      </c>
      <c r="E79" s="189">
        <v>81.03</v>
      </c>
      <c r="F79" s="189">
        <v>83.26</v>
      </c>
      <c r="G79" s="189">
        <v>88.56</v>
      </c>
      <c r="H79" s="189">
        <v>91.07</v>
      </c>
    </row>
    <row r="80" spans="1:8" ht="21">
      <c r="C80" s="188" t="s">
        <v>487</v>
      </c>
      <c r="D80" s="190">
        <v>90.58</v>
      </c>
      <c r="E80" s="190">
        <v>85.89</v>
      </c>
      <c r="F80" s="190">
        <v>85.08</v>
      </c>
      <c r="G80" s="190">
        <v>88.42</v>
      </c>
      <c r="H80" s="190">
        <v>90.24</v>
      </c>
    </row>
    <row r="81" spans="1:8">
      <c r="C81" t="s">
        <v>488</v>
      </c>
      <c r="D81" s="155">
        <v>87.13</v>
      </c>
      <c r="E81" s="155">
        <v>82.26</v>
      </c>
      <c r="F81" s="155">
        <v>81.83</v>
      </c>
      <c r="G81" s="155">
        <v>85.57</v>
      </c>
      <c r="H81" s="155">
        <v>88.33</v>
      </c>
    </row>
    <row r="82" spans="1:8">
      <c r="C82" t="s">
        <v>489</v>
      </c>
      <c r="D82" s="156">
        <v>292</v>
      </c>
      <c r="E82" s="156">
        <v>1996</v>
      </c>
      <c r="F82" s="156">
        <v>1426</v>
      </c>
      <c r="G82" s="156">
        <v>736</v>
      </c>
      <c r="H82" s="156">
        <v>248</v>
      </c>
    </row>
    <row r="83" spans="1:8">
      <c r="C83" t="s">
        <v>490</v>
      </c>
      <c r="D83" s="157">
        <v>82.41</v>
      </c>
      <c r="E83" s="157">
        <v>77.44</v>
      </c>
      <c r="F83" s="157">
        <v>78.069999999999993</v>
      </c>
      <c r="G83" s="157">
        <v>82.57</v>
      </c>
      <c r="H83" s="157">
        <v>86.36</v>
      </c>
    </row>
    <row r="84" spans="1:8">
      <c r="C84" t="s">
        <v>491</v>
      </c>
      <c r="D84" s="158">
        <v>249</v>
      </c>
      <c r="E84" s="158">
        <v>1965</v>
      </c>
      <c r="F84" s="158">
        <v>1426</v>
      </c>
      <c r="G84" s="158">
        <v>733</v>
      </c>
      <c r="H84" s="158">
        <v>256</v>
      </c>
    </row>
    <row r="85" spans="1:8" ht="22.5">
      <c r="C85" t="s">
        <v>179</v>
      </c>
      <c r="D85" s="159" t="s">
        <v>200</v>
      </c>
      <c r="E85" s="159" t="s">
        <v>201</v>
      </c>
      <c r="F85" s="159" t="s">
        <v>202</v>
      </c>
      <c r="G85" s="159" t="s">
        <v>203</v>
      </c>
      <c r="H85" s="159" t="s">
        <v>204</v>
      </c>
    </row>
    <row r="86" spans="1:8">
      <c r="C86" t="s">
        <v>492</v>
      </c>
      <c r="D86" s="155">
        <v>82.91</v>
      </c>
      <c r="E86" s="155">
        <v>82.91</v>
      </c>
      <c r="F86" s="155">
        <v>82.91</v>
      </c>
      <c r="G86" s="155">
        <v>82.91</v>
      </c>
      <c r="H86" s="155">
        <v>82.91</v>
      </c>
    </row>
    <row r="87" spans="1:8">
      <c r="C87" t="s">
        <v>493</v>
      </c>
      <c r="D87" s="161">
        <v>87.33</v>
      </c>
      <c r="E87" s="161">
        <v>82.4</v>
      </c>
      <c r="F87" s="161">
        <v>83.7</v>
      </c>
      <c r="G87" s="161">
        <v>87.89</v>
      </c>
      <c r="H87" s="161">
        <v>93.55</v>
      </c>
    </row>
    <row r="92" spans="1:8">
      <c r="A92" t="s">
        <v>145</v>
      </c>
    </row>
    <row r="152" spans="1:1">
      <c r="A152" t="s">
        <v>146</v>
      </c>
    </row>
    <row r="166" spans="1:5">
      <c r="A166" t="s">
        <v>169</v>
      </c>
      <c r="D166" s="160" t="s">
        <v>205</v>
      </c>
      <c r="E166" s="160" t="s">
        <v>206</v>
      </c>
    </row>
    <row r="167" spans="1:5" ht="21">
      <c r="C167" s="184" t="s">
        <v>181</v>
      </c>
      <c r="D167" s="189">
        <v>86.53</v>
      </c>
      <c r="E167" s="189">
        <v>86.24</v>
      </c>
    </row>
    <row r="168" spans="1:5" ht="21">
      <c r="C168" s="185" t="s">
        <v>182</v>
      </c>
      <c r="D168" s="189">
        <v>82.52</v>
      </c>
      <c r="E168" s="189">
        <v>81.34</v>
      </c>
    </row>
    <row r="169" spans="1:5" ht="21">
      <c r="C169" s="186" t="s">
        <v>180</v>
      </c>
      <c r="D169" s="189">
        <v>78.27</v>
      </c>
      <c r="E169" s="189">
        <v>78.02</v>
      </c>
    </row>
    <row r="170" spans="1:5" ht="21">
      <c r="C170" s="187" t="s">
        <v>196</v>
      </c>
      <c r="D170" s="189">
        <v>83.68</v>
      </c>
      <c r="E170" s="189">
        <v>83.52</v>
      </c>
    </row>
    <row r="171" spans="1:5" ht="21">
      <c r="C171" s="188" t="s">
        <v>487</v>
      </c>
      <c r="D171" s="190">
        <v>86.39</v>
      </c>
      <c r="E171" s="190">
        <v>86.83</v>
      </c>
    </row>
    <row r="172" spans="1:5">
      <c r="C172" t="s">
        <v>488</v>
      </c>
      <c r="D172" s="155">
        <v>83.48</v>
      </c>
      <c r="E172" s="155">
        <v>83.12</v>
      </c>
    </row>
    <row r="173" spans="1:5">
      <c r="C173" t="s">
        <v>489</v>
      </c>
      <c r="D173" s="156">
        <v>2476</v>
      </c>
      <c r="E173" s="156">
        <v>2191</v>
      </c>
    </row>
    <row r="174" spans="1:5">
      <c r="C174" t="s">
        <v>490</v>
      </c>
      <c r="D174" s="157">
        <v>79.62</v>
      </c>
      <c r="E174" s="157">
        <v>78.790000000000006</v>
      </c>
    </row>
    <row r="175" spans="1:5">
      <c r="C175" t="s">
        <v>491</v>
      </c>
      <c r="D175" s="158">
        <v>2382</v>
      </c>
      <c r="E175" s="158">
        <v>2218</v>
      </c>
    </row>
    <row r="176" spans="1:5">
      <c r="C176" t="s">
        <v>179</v>
      </c>
      <c r="D176" s="159" t="s">
        <v>205</v>
      </c>
      <c r="E176" s="159" t="s">
        <v>206</v>
      </c>
    </row>
    <row r="177" spans="1:5">
      <c r="C177" t="s">
        <v>492</v>
      </c>
      <c r="D177" s="155">
        <v>82.91</v>
      </c>
      <c r="E177" s="155">
        <v>82.91</v>
      </c>
    </row>
    <row r="178" spans="1:5">
      <c r="C178" t="s">
        <v>493</v>
      </c>
      <c r="D178" s="161">
        <v>85.32</v>
      </c>
      <c r="E178" s="161">
        <v>83.78</v>
      </c>
    </row>
    <row r="183" spans="1:5">
      <c r="A183" t="s">
        <v>147</v>
      </c>
    </row>
    <row r="243" spans="1:1">
      <c r="A243" t="s">
        <v>148</v>
      </c>
    </row>
    <row r="257" spans="1:8" ht="63.75">
      <c r="A257" t="s">
        <v>168</v>
      </c>
      <c r="D257" s="160" t="s">
        <v>396</v>
      </c>
      <c r="E257" s="160" t="s">
        <v>332</v>
      </c>
      <c r="F257" s="160" t="s">
        <v>333</v>
      </c>
      <c r="G257" s="160" t="s">
        <v>334</v>
      </c>
      <c r="H257" s="160" t="s">
        <v>335</v>
      </c>
    </row>
    <row r="258" spans="1:8" ht="21">
      <c r="C258" s="184" t="s">
        <v>181</v>
      </c>
      <c r="D258" s="189">
        <v>76.19</v>
      </c>
      <c r="E258" s="189">
        <v>87.14</v>
      </c>
      <c r="F258" s="189">
        <v>86.86</v>
      </c>
      <c r="G258" s="189">
        <v>85.18</v>
      </c>
      <c r="H258" s="189">
        <v>87.05</v>
      </c>
    </row>
    <row r="259" spans="1:8" ht="21">
      <c r="C259" s="185" t="s">
        <v>182</v>
      </c>
      <c r="D259" s="189">
        <v>78.209999999999994</v>
      </c>
      <c r="E259" s="189">
        <v>80.63</v>
      </c>
      <c r="F259" s="189">
        <v>81.92</v>
      </c>
      <c r="G259" s="189">
        <v>81.260000000000005</v>
      </c>
      <c r="H259" s="189">
        <v>85.26</v>
      </c>
    </row>
    <row r="260" spans="1:8" ht="21">
      <c r="C260" s="186" t="s">
        <v>180</v>
      </c>
      <c r="D260" s="189">
        <v>80.489999999999995</v>
      </c>
      <c r="E260" s="189">
        <v>78.47</v>
      </c>
      <c r="F260" s="189">
        <v>78.739999999999995</v>
      </c>
      <c r="G260" s="189">
        <v>76.790000000000006</v>
      </c>
      <c r="H260" s="189">
        <v>79.03</v>
      </c>
    </row>
    <row r="261" spans="1:8" ht="21">
      <c r="C261" s="187" t="s">
        <v>196</v>
      </c>
      <c r="D261" s="189">
        <v>84.38</v>
      </c>
      <c r="E261" s="189">
        <v>84.66</v>
      </c>
      <c r="F261" s="189">
        <v>83.78</v>
      </c>
      <c r="G261" s="189">
        <v>82.02</v>
      </c>
      <c r="H261" s="189">
        <v>86.82</v>
      </c>
    </row>
    <row r="262" spans="1:8" ht="21">
      <c r="C262" s="188" t="s">
        <v>487</v>
      </c>
      <c r="D262" s="190">
        <v>78.33</v>
      </c>
      <c r="E262" s="190">
        <v>85.6</v>
      </c>
      <c r="F262" s="190">
        <v>86.75</v>
      </c>
      <c r="G262" s="190">
        <v>85.69</v>
      </c>
      <c r="H262" s="190">
        <v>89.35</v>
      </c>
    </row>
    <row r="263" spans="1:8">
      <c r="C263" t="s">
        <v>488</v>
      </c>
      <c r="D263" s="155">
        <v>79.010000000000005</v>
      </c>
      <c r="E263" s="155">
        <v>83.26</v>
      </c>
      <c r="F263" s="155">
        <v>83.59</v>
      </c>
      <c r="G263" s="155">
        <v>82.17</v>
      </c>
      <c r="H263" s="155">
        <v>85.4</v>
      </c>
    </row>
    <row r="264" spans="1:8">
      <c r="C264" t="s">
        <v>489</v>
      </c>
      <c r="D264" s="156">
        <v>12</v>
      </c>
      <c r="E264" s="156">
        <v>360</v>
      </c>
      <c r="F264" s="156">
        <v>2276</v>
      </c>
      <c r="G264" s="156">
        <v>1542</v>
      </c>
      <c r="H264" s="156">
        <v>500</v>
      </c>
    </row>
    <row r="265" spans="1:8">
      <c r="C265" t="s">
        <v>490</v>
      </c>
      <c r="D265" s="157">
        <v>68.069999999999993</v>
      </c>
      <c r="E265" s="157">
        <v>79.69</v>
      </c>
      <c r="F265" s="157">
        <v>79.13</v>
      </c>
      <c r="G265" s="157">
        <v>78.17</v>
      </c>
      <c r="H265" s="157">
        <v>82.9</v>
      </c>
    </row>
    <row r="266" spans="1:8">
      <c r="C266" t="s">
        <v>491</v>
      </c>
      <c r="D266" s="158">
        <v>14</v>
      </c>
      <c r="E266" s="158">
        <v>413</v>
      </c>
      <c r="F266" s="158">
        <v>2318</v>
      </c>
      <c r="G266" s="158">
        <v>1467</v>
      </c>
      <c r="H266" s="158">
        <v>425</v>
      </c>
    </row>
    <row r="267" spans="1:8" ht="45">
      <c r="C267" t="s">
        <v>179</v>
      </c>
      <c r="D267" s="159" t="s">
        <v>396</v>
      </c>
      <c r="E267" s="159" t="s">
        <v>332</v>
      </c>
      <c r="F267" s="159" t="s">
        <v>333</v>
      </c>
      <c r="G267" s="159" t="s">
        <v>334</v>
      </c>
      <c r="H267" s="159" t="s">
        <v>335</v>
      </c>
    </row>
    <row r="268" spans="1:8">
      <c r="C268" t="s">
        <v>492</v>
      </c>
      <c r="D268" s="155">
        <v>82.91</v>
      </c>
      <c r="E268" s="155">
        <v>82.91</v>
      </c>
      <c r="F268" s="155">
        <v>82.91</v>
      </c>
      <c r="G268" s="155">
        <v>82.91</v>
      </c>
      <c r="H268" s="155">
        <v>82.91</v>
      </c>
    </row>
    <row r="269" spans="1:8">
      <c r="C269" t="s">
        <v>493</v>
      </c>
      <c r="D269" s="161">
        <v>75</v>
      </c>
      <c r="E269" s="161">
        <v>86.11</v>
      </c>
      <c r="F269" s="161">
        <v>84.66</v>
      </c>
      <c r="G269" s="161">
        <v>82.38</v>
      </c>
      <c r="H269" s="161">
        <v>89.58</v>
      </c>
    </row>
    <row r="274" spans="1:1">
      <c r="A274" t="s">
        <v>149</v>
      </c>
    </row>
    <row r="304" spans="1:1">
      <c r="A304" t="s">
        <v>175</v>
      </c>
    </row>
    <row r="318" spans="1:8" ht="140.25">
      <c r="A318" t="s">
        <v>472</v>
      </c>
      <c r="D318" s="163" t="s">
        <v>397</v>
      </c>
      <c r="E318" s="163" t="s">
        <v>398</v>
      </c>
      <c r="F318" s="163" t="s">
        <v>399</v>
      </c>
      <c r="G318" s="163" t="s">
        <v>400</v>
      </c>
      <c r="H318" s="163" t="s">
        <v>401</v>
      </c>
    </row>
    <row r="319" spans="1:8" ht="21">
      <c r="C319" s="184" t="s">
        <v>181</v>
      </c>
      <c r="D319" s="189">
        <v>93.53</v>
      </c>
      <c r="E319" s="189">
        <v>91.83</v>
      </c>
      <c r="F319" s="189">
        <v>88.97</v>
      </c>
      <c r="G319" s="189">
        <v>83.86</v>
      </c>
      <c r="H319" s="189">
        <v>84.1</v>
      </c>
    </row>
    <row r="320" spans="1:8" ht="21">
      <c r="C320" s="185" t="s">
        <v>182</v>
      </c>
      <c r="D320" s="189">
        <v>93.66</v>
      </c>
      <c r="E320" s="189">
        <v>89.43</v>
      </c>
      <c r="F320" s="189">
        <v>85.92</v>
      </c>
      <c r="G320" s="189">
        <v>81.99</v>
      </c>
      <c r="H320" s="189">
        <v>79.41</v>
      </c>
    </row>
    <row r="321" spans="1:8" ht="21">
      <c r="C321" s="186" t="s">
        <v>180</v>
      </c>
      <c r="D321" s="189">
        <v>87.16</v>
      </c>
      <c r="E321" s="189">
        <v>83.33</v>
      </c>
      <c r="F321" s="189">
        <v>81.790000000000006</v>
      </c>
      <c r="G321" s="189">
        <v>75.37</v>
      </c>
      <c r="H321" s="189">
        <v>74.319999999999993</v>
      </c>
    </row>
    <row r="322" spans="1:8" ht="21">
      <c r="C322" s="187" t="s">
        <v>196</v>
      </c>
      <c r="D322" s="189">
        <v>94.93</v>
      </c>
      <c r="E322" s="189">
        <v>92.27</v>
      </c>
      <c r="F322" s="189">
        <v>89.09</v>
      </c>
      <c r="G322" s="189">
        <v>82.97</v>
      </c>
      <c r="H322" s="189">
        <v>81.58</v>
      </c>
    </row>
    <row r="323" spans="1:8" ht="21">
      <c r="C323" s="188" t="s">
        <v>487</v>
      </c>
      <c r="D323" s="190">
        <v>94.86</v>
      </c>
      <c r="E323" s="190">
        <v>92.88</v>
      </c>
      <c r="F323" s="190">
        <v>90.23</v>
      </c>
      <c r="G323" s="190">
        <v>86.42</v>
      </c>
      <c r="H323" s="190">
        <v>83.34</v>
      </c>
    </row>
    <row r="324" spans="1:8">
      <c r="C324" t="s">
        <v>488</v>
      </c>
      <c r="D324" s="155">
        <v>92.75</v>
      </c>
      <c r="E324" s="155">
        <v>89.82</v>
      </c>
      <c r="F324" s="155">
        <v>87.04</v>
      </c>
      <c r="G324" s="155">
        <v>82.03</v>
      </c>
      <c r="H324" s="155">
        <v>80.510000000000005</v>
      </c>
    </row>
    <row r="325" spans="1:8">
      <c r="C325" t="s">
        <v>489</v>
      </c>
      <c r="D325" s="156">
        <v>74</v>
      </c>
      <c r="E325" s="156">
        <v>139</v>
      </c>
      <c r="F325" s="156">
        <v>979</v>
      </c>
      <c r="G325" s="156">
        <v>794</v>
      </c>
      <c r="H325" s="156">
        <v>386</v>
      </c>
    </row>
    <row r="326" spans="1:8">
      <c r="C326" t="s">
        <v>490</v>
      </c>
      <c r="D326" s="157">
        <v>91.91</v>
      </c>
      <c r="E326" s="157">
        <v>88.05</v>
      </c>
      <c r="F326" s="157">
        <v>86.33</v>
      </c>
      <c r="G326" s="157">
        <v>77.510000000000005</v>
      </c>
      <c r="H326" s="157">
        <v>73.2</v>
      </c>
    </row>
    <row r="327" spans="1:8">
      <c r="C327" t="s">
        <v>491</v>
      </c>
      <c r="D327" s="158">
        <v>65</v>
      </c>
      <c r="E327" s="158">
        <v>121</v>
      </c>
      <c r="F327" s="158">
        <v>895</v>
      </c>
      <c r="G327" s="158">
        <v>768</v>
      </c>
      <c r="H327" s="158">
        <v>265</v>
      </c>
    </row>
    <row r="328" spans="1:8" ht="112.5">
      <c r="C328" t="s">
        <v>179</v>
      </c>
      <c r="D328" s="162" t="s">
        <v>397</v>
      </c>
      <c r="E328" s="162" t="s">
        <v>398</v>
      </c>
      <c r="F328" s="162" t="s">
        <v>399</v>
      </c>
      <c r="G328" s="162" t="s">
        <v>400</v>
      </c>
      <c r="H328" s="162" t="s">
        <v>401</v>
      </c>
    </row>
    <row r="329" spans="1:8">
      <c r="C329" t="s">
        <v>492</v>
      </c>
      <c r="D329" s="155">
        <v>82.91</v>
      </c>
      <c r="E329" s="155">
        <v>82.91</v>
      </c>
      <c r="F329" s="155">
        <v>82.91</v>
      </c>
      <c r="G329" s="155">
        <v>82.91</v>
      </c>
      <c r="H329" s="155">
        <v>82.91</v>
      </c>
    </row>
    <row r="330" spans="1:8">
      <c r="C330" t="s">
        <v>493</v>
      </c>
      <c r="D330" s="161">
        <v>98.65</v>
      </c>
      <c r="E330" s="161">
        <v>94.24</v>
      </c>
      <c r="F330" s="161">
        <v>89.27</v>
      </c>
      <c r="G330" s="161">
        <v>85.34</v>
      </c>
      <c r="H330" s="161">
        <v>81.61</v>
      </c>
    </row>
    <row r="335" spans="1:8">
      <c r="A335" t="s">
        <v>176</v>
      </c>
    </row>
    <row r="349" spans="1:8" ht="127.5">
      <c r="A349" t="s">
        <v>473</v>
      </c>
      <c r="D349" s="163" t="s">
        <v>402</v>
      </c>
      <c r="E349" s="163" t="s">
        <v>403</v>
      </c>
      <c r="F349" s="163" t="s">
        <v>404</v>
      </c>
      <c r="G349" s="163" t="s">
        <v>405</v>
      </c>
      <c r="H349" s="163" t="s">
        <v>406</v>
      </c>
    </row>
    <row r="350" spans="1:8" ht="21">
      <c r="C350" s="184" t="s">
        <v>181</v>
      </c>
      <c r="D350" s="189">
        <v>78.73</v>
      </c>
      <c r="E350" s="189">
        <v>86.35</v>
      </c>
      <c r="F350" s="189">
        <v>87.52</v>
      </c>
      <c r="G350" s="189">
        <v>90.4</v>
      </c>
      <c r="H350" s="189">
        <v>79.88</v>
      </c>
    </row>
    <row r="351" spans="1:8" ht="21">
      <c r="C351" s="185" t="s">
        <v>182</v>
      </c>
      <c r="D351" s="189">
        <v>74.709999999999994</v>
      </c>
      <c r="E351" s="189">
        <v>79.209999999999994</v>
      </c>
      <c r="F351" s="189">
        <v>81.94</v>
      </c>
      <c r="G351" s="189">
        <v>82.09</v>
      </c>
      <c r="H351" s="189">
        <v>80.540000000000006</v>
      </c>
    </row>
    <row r="352" spans="1:8" ht="21">
      <c r="C352" s="186" t="s">
        <v>180</v>
      </c>
      <c r="D352" s="189">
        <v>69.97</v>
      </c>
      <c r="E352" s="189">
        <v>77.64</v>
      </c>
      <c r="F352" s="189">
        <v>79.180000000000007</v>
      </c>
      <c r="G352" s="189">
        <v>83.27</v>
      </c>
      <c r="H352" s="189">
        <v>72.260000000000005</v>
      </c>
    </row>
    <row r="353" spans="1:8" ht="21">
      <c r="C353" s="187" t="s">
        <v>196</v>
      </c>
      <c r="D353" s="189">
        <v>76.73</v>
      </c>
      <c r="E353" s="189">
        <v>80.61</v>
      </c>
      <c r="F353" s="189">
        <v>83.49</v>
      </c>
      <c r="G353" s="189">
        <v>80.66</v>
      </c>
      <c r="H353" s="189">
        <v>76.23</v>
      </c>
    </row>
    <row r="354" spans="1:8" ht="21">
      <c r="C354" s="188" t="s">
        <v>487</v>
      </c>
      <c r="D354" s="190">
        <v>79.400000000000006</v>
      </c>
      <c r="E354" s="190">
        <v>84.13</v>
      </c>
      <c r="F354" s="190">
        <v>86.8</v>
      </c>
      <c r="G354" s="190">
        <v>89.26</v>
      </c>
      <c r="H354" s="190">
        <v>80.28</v>
      </c>
    </row>
    <row r="355" spans="1:8">
      <c r="C355" t="s">
        <v>488</v>
      </c>
      <c r="D355" s="155">
        <v>75.88</v>
      </c>
      <c r="E355" s="155">
        <v>81.69</v>
      </c>
      <c r="F355" s="155">
        <v>83.78</v>
      </c>
      <c r="G355" s="155">
        <v>85.39</v>
      </c>
      <c r="H355" s="155">
        <v>77.95</v>
      </c>
    </row>
    <row r="356" spans="1:8">
      <c r="C356" t="s">
        <v>489</v>
      </c>
      <c r="D356" s="156">
        <v>426</v>
      </c>
      <c r="E356" s="156">
        <v>536</v>
      </c>
      <c r="F356" s="156">
        <v>877</v>
      </c>
      <c r="G356" s="156">
        <v>396</v>
      </c>
      <c r="H356" s="156">
        <v>42</v>
      </c>
    </row>
    <row r="357" spans="1:8">
      <c r="C357" t="s">
        <v>490</v>
      </c>
      <c r="D357" s="157">
        <v>71.02</v>
      </c>
      <c r="E357" s="157">
        <v>74.760000000000005</v>
      </c>
      <c r="F357" s="157">
        <v>80.2</v>
      </c>
      <c r="G357" s="157">
        <v>80.39</v>
      </c>
      <c r="H357" s="157" t="s">
        <v>215</v>
      </c>
    </row>
    <row r="358" spans="1:8">
      <c r="C358" t="s">
        <v>491</v>
      </c>
      <c r="D358" s="158">
        <v>519</v>
      </c>
      <c r="E358" s="158">
        <v>572</v>
      </c>
      <c r="F358" s="158">
        <v>937</v>
      </c>
      <c r="G358" s="158">
        <v>444</v>
      </c>
      <c r="H358" s="158" t="s">
        <v>213</v>
      </c>
    </row>
    <row r="359" spans="1:8" ht="90">
      <c r="C359" t="s">
        <v>179</v>
      </c>
      <c r="D359" s="162" t="s">
        <v>402</v>
      </c>
      <c r="E359" s="162" t="s">
        <v>403</v>
      </c>
      <c r="F359" s="162" t="s">
        <v>404</v>
      </c>
      <c r="G359" s="162" t="s">
        <v>405</v>
      </c>
      <c r="H359" s="162" t="s">
        <v>406</v>
      </c>
    </row>
    <row r="360" spans="1:8">
      <c r="C360" t="s">
        <v>492</v>
      </c>
      <c r="D360" s="155">
        <v>82.91</v>
      </c>
      <c r="E360" s="155">
        <v>82.91</v>
      </c>
      <c r="F360" s="155">
        <v>82.91</v>
      </c>
      <c r="G360" s="155">
        <v>82.91</v>
      </c>
      <c r="H360" s="155">
        <v>82.91</v>
      </c>
    </row>
    <row r="361" spans="1:8">
      <c r="C361" t="s">
        <v>493</v>
      </c>
      <c r="D361" s="161">
        <v>80</v>
      </c>
      <c r="E361" s="161">
        <v>81.459999999999994</v>
      </c>
      <c r="F361" s="161">
        <v>82.78</v>
      </c>
      <c r="G361" s="161">
        <v>82.83</v>
      </c>
      <c r="H361" s="161">
        <v>76.19</v>
      </c>
    </row>
    <row r="366" spans="1:8">
      <c r="A366" t="s">
        <v>150</v>
      </c>
    </row>
    <row r="426" spans="1:1">
      <c r="A426" t="s">
        <v>151</v>
      </c>
    </row>
    <row r="440" spans="1:9" ht="25.5">
      <c r="A440" t="s">
        <v>171</v>
      </c>
      <c r="D440" s="160" t="s">
        <v>336</v>
      </c>
      <c r="E440" s="160" t="s">
        <v>337</v>
      </c>
      <c r="F440" s="160" t="s">
        <v>338</v>
      </c>
      <c r="G440" s="160" t="s">
        <v>339</v>
      </c>
      <c r="H440" s="160" t="s">
        <v>340</v>
      </c>
      <c r="I440" s="160" t="s">
        <v>341</v>
      </c>
    </row>
    <row r="441" spans="1:9" ht="21">
      <c r="C441" s="184" t="s">
        <v>181</v>
      </c>
      <c r="D441" s="189">
        <v>91.75</v>
      </c>
      <c r="E441" s="189">
        <v>87.14</v>
      </c>
      <c r="F441" s="189">
        <v>84.41</v>
      </c>
      <c r="G441" s="189">
        <v>79.94</v>
      </c>
      <c r="H441" s="189">
        <v>87.42</v>
      </c>
      <c r="I441" s="189">
        <v>88.24</v>
      </c>
    </row>
    <row r="442" spans="1:9" ht="21">
      <c r="C442" s="185" t="s">
        <v>182</v>
      </c>
      <c r="D442" s="189">
        <v>87.01</v>
      </c>
      <c r="E442" s="189">
        <v>82.15</v>
      </c>
      <c r="F442" s="189">
        <v>78.97</v>
      </c>
      <c r="G442" s="189">
        <v>76.930000000000007</v>
      </c>
      <c r="H442" s="189">
        <v>83.93</v>
      </c>
      <c r="I442" s="189">
        <v>84.79</v>
      </c>
    </row>
    <row r="443" spans="1:9" ht="21">
      <c r="C443" s="186" t="s">
        <v>180</v>
      </c>
      <c r="D443" s="189">
        <v>87.17</v>
      </c>
      <c r="E443" s="189">
        <v>79.760000000000005</v>
      </c>
      <c r="F443" s="189">
        <v>74.66</v>
      </c>
      <c r="G443" s="189">
        <v>72.42</v>
      </c>
      <c r="H443" s="189">
        <v>77.63</v>
      </c>
      <c r="I443" s="189">
        <v>80.38</v>
      </c>
    </row>
    <row r="444" spans="1:9" ht="21">
      <c r="C444" s="187" t="s">
        <v>196</v>
      </c>
      <c r="D444" s="189">
        <v>86.67</v>
      </c>
      <c r="E444" s="189">
        <v>82.73</v>
      </c>
      <c r="F444" s="189">
        <v>79.88</v>
      </c>
      <c r="G444" s="189">
        <v>80.069999999999993</v>
      </c>
      <c r="H444" s="189">
        <v>86.61</v>
      </c>
      <c r="I444" s="189">
        <v>88.62</v>
      </c>
    </row>
    <row r="445" spans="1:9" ht="21">
      <c r="C445" s="188" t="s">
        <v>487</v>
      </c>
      <c r="D445" s="190">
        <v>91.77</v>
      </c>
      <c r="E445" s="190">
        <v>87.67</v>
      </c>
      <c r="F445" s="190">
        <v>83.75</v>
      </c>
      <c r="G445" s="190">
        <v>81.36</v>
      </c>
      <c r="H445" s="190">
        <v>88.32</v>
      </c>
      <c r="I445" s="190">
        <v>88.26</v>
      </c>
    </row>
    <row r="446" spans="1:9">
      <c r="C446" t="s">
        <v>488</v>
      </c>
      <c r="D446" s="155">
        <v>89.02</v>
      </c>
      <c r="E446" s="155">
        <v>83.93</v>
      </c>
      <c r="F446" s="155">
        <v>80.37</v>
      </c>
      <c r="G446" s="155">
        <v>77.959999999999994</v>
      </c>
      <c r="H446" s="155">
        <v>84.65</v>
      </c>
      <c r="I446" s="155">
        <v>85.91</v>
      </c>
    </row>
    <row r="447" spans="1:9">
      <c r="C447" t="s">
        <v>489</v>
      </c>
      <c r="D447" s="156">
        <v>425</v>
      </c>
      <c r="E447" s="156">
        <v>1125</v>
      </c>
      <c r="F447" s="156">
        <v>1198</v>
      </c>
      <c r="G447" s="156">
        <v>412</v>
      </c>
      <c r="H447" s="156">
        <v>791</v>
      </c>
      <c r="I447" s="156">
        <v>719</v>
      </c>
    </row>
    <row r="448" spans="1:9">
      <c r="C448" t="s">
        <v>490</v>
      </c>
      <c r="D448" s="157">
        <v>83.99</v>
      </c>
      <c r="E448" s="157">
        <v>78.19</v>
      </c>
      <c r="F448" s="157">
        <v>76.42</v>
      </c>
      <c r="G448" s="157">
        <v>76.36</v>
      </c>
      <c r="H448" s="157">
        <v>80.75</v>
      </c>
      <c r="I448" s="157">
        <v>84.02</v>
      </c>
    </row>
    <row r="449" spans="1:9">
      <c r="C449" t="s">
        <v>491</v>
      </c>
      <c r="D449" s="158">
        <v>305</v>
      </c>
      <c r="E449" s="158">
        <v>1135</v>
      </c>
      <c r="F449" s="158">
        <v>1202</v>
      </c>
      <c r="G449" s="158">
        <v>481</v>
      </c>
      <c r="H449" s="158">
        <v>715</v>
      </c>
      <c r="I449" s="158">
        <v>773</v>
      </c>
    </row>
    <row r="450" spans="1:9" ht="22.5">
      <c r="C450" t="s">
        <v>179</v>
      </c>
      <c r="D450" s="159" t="s">
        <v>336</v>
      </c>
      <c r="E450" s="159" t="s">
        <v>337</v>
      </c>
      <c r="F450" s="159" t="s">
        <v>338</v>
      </c>
      <c r="G450" s="159" t="s">
        <v>339</v>
      </c>
      <c r="H450" s="159" t="s">
        <v>340</v>
      </c>
      <c r="I450" s="159" t="s">
        <v>341</v>
      </c>
    </row>
    <row r="451" spans="1:9">
      <c r="C451" t="s">
        <v>492</v>
      </c>
      <c r="D451" s="155">
        <v>82.91</v>
      </c>
      <c r="E451" s="155">
        <v>82.91</v>
      </c>
      <c r="F451" s="155">
        <v>82.91</v>
      </c>
      <c r="G451" s="155">
        <v>82.91</v>
      </c>
      <c r="H451" s="155">
        <v>82.91</v>
      </c>
      <c r="I451" s="155">
        <v>82.91</v>
      </c>
    </row>
    <row r="452" spans="1:9">
      <c r="C452" t="s">
        <v>493</v>
      </c>
      <c r="D452" s="161">
        <v>90.59</v>
      </c>
      <c r="E452" s="161">
        <v>84.53</v>
      </c>
      <c r="F452" s="161">
        <v>80.75</v>
      </c>
      <c r="G452" s="161">
        <v>79.08</v>
      </c>
      <c r="H452" s="161">
        <v>86.71</v>
      </c>
      <c r="I452" s="161">
        <v>89.28</v>
      </c>
    </row>
    <row r="457" spans="1:9">
      <c r="A457" t="s">
        <v>152</v>
      </c>
    </row>
    <row r="487" spans="1:1">
      <c r="A487" t="s">
        <v>177</v>
      </c>
    </row>
    <row r="501" spans="1:10" ht="38.25">
      <c r="A501" t="s">
        <v>474</v>
      </c>
      <c r="D501" s="160" t="s">
        <v>407</v>
      </c>
      <c r="E501" s="160" t="s">
        <v>408</v>
      </c>
      <c r="F501" s="160" t="s">
        <v>409</v>
      </c>
      <c r="G501" s="160" t="s">
        <v>410</v>
      </c>
      <c r="H501" s="160" t="s">
        <v>411</v>
      </c>
      <c r="I501" s="160" t="s">
        <v>412</v>
      </c>
      <c r="J501" s="160" t="s">
        <v>413</v>
      </c>
    </row>
    <row r="502" spans="1:10" ht="21">
      <c r="C502" s="184" t="s">
        <v>181</v>
      </c>
      <c r="D502" s="189">
        <v>70.28</v>
      </c>
      <c r="E502" s="189">
        <v>93.52</v>
      </c>
      <c r="F502" s="189">
        <v>81.7</v>
      </c>
      <c r="G502" s="189">
        <v>85.8</v>
      </c>
      <c r="H502" s="189">
        <v>86.78</v>
      </c>
      <c r="I502" s="189">
        <v>83.81</v>
      </c>
      <c r="J502" s="189">
        <v>96.24</v>
      </c>
    </row>
    <row r="503" spans="1:10" ht="21">
      <c r="C503" s="185" t="s">
        <v>182</v>
      </c>
      <c r="D503" s="189">
        <v>62.23</v>
      </c>
      <c r="E503" s="189">
        <v>94.29</v>
      </c>
      <c r="F503" s="189">
        <v>80.44</v>
      </c>
      <c r="G503" s="189">
        <v>83.68</v>
      </c>
      <c r="H503" s="189">
        <v>81.459999999999994</v>
      </c>
      <c r="I503" s="189">
        <v>84.28</v>
      </c>
      <c r="J503" s="189">
        <v>91.48</v>
      </c>
    </row>
    <row r="504" spans="1:10" ht="21">
      <c r="C504" s="186" t="s">
        <v>180</v>
      </c>
      <c r="D504" s="189">
        <v>67.959999999999994</v>
      </c>
      <c r="E504" s="189">
        <v>91.07</v>
      </c>
      <c r="F504" s="189">
        <v>74.040000000000006</v>
      </c>
      <c r="G504" s="189">
        <v>74.45</v>
      </c>
      <c r="H504" s="189">
        <v>78.72</v>
      </c>
      <c r="I504" s="189">
        <v>76.58</v>
      </c>
      <c r="J504" s="189">
        <v>81.349999999999994</v>
      </c>
    </row>
    <row r="505" spans="1:10" ht="21">
      <c r="C505" s="187" t="s">
        <v>196</v>
      </c>
      <c r="D505" s="189">
        <v>72.989999999999995</v>
      </c>
      <c r="E505" s="189">
        <v>99.04</v>
      </c>
      <c r="F505" s="189">
        <v>80</v>
      </c>
      <c r="G505" s="189">
        <v>84.75</v>
      </c>
      <c r="H505" s="189">
        <v>83.95</v>
      </c>
      <c r="I505" s="189">
        <v>89.61</v>
      </c>
      <c r="J505" s="189">
        <v>93.45</v>
      </c>
    </row>
    <row r="506" spans="1:10" ht="21">
      <c r="C506" s="188" t="s">
        <v>487</v>
      </c>
      <c r="D506" s="190">
        <v>60.71</v>
      </c>
      <c r="E506" s="190">
        <v>98.57</v>
      </c>
      <c r="F506" s="190">
        <v>79.77</v>
      </c>
      <c r="G506" s="190">
        <v>87.66</v>
      </c>
      <c r="H506" s="190">
        <v>86.3</v>
      </c>
      <c r="I506" s="190">
        <v>90.11</v>
      </c>
      <c r="J506" s="190">
        <v>93.76</v>
      </c>
    </row>
    <row r="507" spans="1:10">
      <c r="C507" t="s">
        <v>488</v>
      </c>
      <c r="D507" s="155">
        <v>66.8</v>
      </c>
      <c r="E507" s="155">
        <v>94.93</v>
      </c>
      <c r="F507" s="155">
        <v>79.16</v>
      </c>
      <c r="G507" s="155">
        <v>83.16</v>
      </c>
      <c r="H507" s="155">
        <v>83.39</v>
      </c>
      <c r="I507" s="155">
        <v>84.44</v>
      </c>
      <c r="J507" s="155">
        <v>91.35</v>
      </c>
    </row>
    <row r="508" spans="1:10">
      <c r="C508" t="s">
        <v>489</v>
      </c>
      <c r="D508" s="156">
        <v>8</v>
      </c>
      <c r="E508" s="156">
        <v>14</v>
      </c>
      <c r="F508" s="156">
        <v>41</v>
      </c>
      <c r="G508" s="156">
        <v>199</v>
      </c>
      <c r="H508" s="156">
        <v>2612</v>
      </c>
      <c r="I508" s="156">
        <v>95</v>
      </c>
      <c r="J508" s="156">
        <v>21</v>
      </c>
    </row>
    <row r="509" spans="1:10">
      <c r="C509" t="s">
        <v>490</v>
      </c>
      <c r="D509" s="157">
        <v>71.709999999999994</v>
      </c>
      <c r="E509" s="157">
        <v>94.66</v>
      </c>
      <c r="F509" s="157">
        <v>78.58</v>
      </c>
      <c r="G509" s="157">
        <v>74.38</v>
      </c>
      <c r="H509" s="157">
        <v>80.41</v>
      </c>
      <c r="I509" s="157">
        <v>84.16</v>
      </c>
      <c r="J509" s="157" t="s">
        <v>215</v>
      </c>
    </row>
    <row r="510" spans="1:10">
      <c r="C510" t="s">
        <v>491</v>
      </c>
      <c r="D510" s="158">
        <v>22</v>
      </c>
      <c r="E510" s="158">
        <v>10</v>
      </c>
      <c r="F510" s="158">
        <v>47</v>
      </c>
      <c r="G510" s="158">
        <v>187</v>
      </c>
      <c r="H510" s="158">
        <v>2535</v>
      </c>
      <c r="I510" s="158">
        <v>89</v>
      </c>
      <c r="J510" s="158" t="s">
        <v>213</v>
      </c>
    </row>
    <row r="511" spans="1:10" ht="33.75">
      <c r="C511" t="s">
        <v>179</v>
      </c>
      <c r="D511" s="159" t="s">
        <v>407</v>
      </c>
      <c r="E511" s="159" t="s">
        <v>408</v>
      </c>
      <c r="F511" s="159" t="s">
        <v>409</v>
      </c>
      <c r="G511" s="159" t="s">
        <v>410</v>
      </c>
      <c r="H511" s="159" t="s">
        <v>411</v>
      </c>
      <c r="I511" s="159" t="s">
        <v>412</v>
      </c>
      <c r="J511" s="159" t="s">
        <v>413</v>
      </c>
    </row>
    <row r="512" spans="1:10">
      <c r="C512" t="s">
        <v>492</v>
      </c>
      <c r="D512" s="155">
        <v>82.91</v>
      </c>
      <c r="E512" s="155">
        <v>82.91</v>
      </c>
      <c r="F512" s="155">
        <v>82.91</v>
      </c>
      <c r="G512" s="155">
        <v>82.91</v>
      </c>
      <c r="H512" s="155">
        <v>82.91</v>
      </c>
      <c r="I512" s="155">
        <v>82.91</v>
      </c>
      <c r="J512" s="155">
        <v>82.91</v>
      </c>
    </row>
    <row r="513" spans="1:10">
      <c r="C513" t="s">
        <v>493</v>
      </c>
      <c r="D513" s="161">
        <v>75</v>
      </c>
      <c r="E513" s="161">
        <v>100</v>
      </c>
      <c r="F513" s="161">
        <v>75.61</v>
      </c>
      <c r="G513" s="161">
        <v>86.36</v>
      </c>
      <c r="H513" s="161">
        <v>83.41</v>
      </c>
      <c r="I513" s="161">
        <v>91.58</v>
      </c>
      <c r="J513" s="161">
        <v>100</v>
      </c>
    </row>
    <row r="518" spans="1:10">
      <c r="A518" t="s">
        <v>178</v>
      </c>
    </row>
    <row r="532" spans="1:10" ht="51">
      <c r="A532" t="s">
        <v>475</v>
      </c>
      <c r="D532" s="160" t="s">
        <v>342</v>
      </c>
      <c r="E532" s="160" t="s">
        <v>414</v>
      </c>
      <c r="F532" s="160" t="s">
        <v>415</v>
      </c>
      <c r="G532" s="160" t="s">
        <v>416</v>
      </c>
      <c r="H532" s="160" t="s">
        <v>417</v>
      </c>
      <c r="I532" s="160" t="s">
        <v>343</v>
      </c>
      <c r="J532" s="160" t="s">
        <v>418</v>
      </c>
    </row>
    <row r="533" spans="1:10" ht="21">
      <c r="C533" s="184" t="s">
        <v>181</v>
      </c>
      <c r="D533" s="189">
        <v>90.49</v>
      </c>
      <c r="E533" s="189">
        <v>78.42</v>
      </c>
      <c r="F533" s="189">
        <v>89.17</v>
      </c>
      <c r="G533" s="189">
        <v>84.63</v>
      </c>
      <c r="H533" s="189">
        <v>81.78</v>
      </c>
      <c r="I533" s="189" t="s">
        <v>215</v>
      </c>
      <c r="J533" s="189">
        <v>97.14</v>
      </c>
    </row>
    <row r="534" spans="1:10" ht="21">
      <c r="C534" s="185" t="s">
        <v>182</v>
      </c>
      <c r="D534" s="189">
        <v>90.16</v>
      </c>
      <c r="E534" s="189">
        <v>79.81</v>
      </c>
      <c r="F534" s="189">
        <v>87.3</v>
      </c>
      <c r="G534" s="189">
        <v>79.87</v>
      </c>
      <c r="H534" s="189">
        <v>83.85</v>
      </c>
      <c r="I534" s="189" t="s">
        <v>215</v>
      </c>
      <c r="J534" s="189">
        <v>95.38</v>
      </c>
    </row>
    <row r="535" spans="1:10" ht="21">
      <c r="C535" s="186" t="s">
        <v>180</v>
      </c>
      <c r="D535" s="189">
        <v>80.63</v>
      </c>
      <c r="E535" s="189">
        <v>70.56</v>
      </c>
      <c r="F535" s="189">
        <v>81.760000000000005</v>
      </c>
      <c r="G535" s="189">
        <v>76.849999999999994</v>
      </c>
      <c r="H535" s="189">
        <v>73.540000000000006</v>
      </c>
      <c r="I535" s="189" t="s">
        <v>215</v>
      </c>
      <c r="J535" s="189">
        <v>85</v>
      </c>
    </row>
    <row r="536" spans="1:10" ht="21">
      <c r="C536" s="187" t="s">
        <v>196</v>
      </c>
      <c r="D536" s="189">
        <v>88.73</v>
      </c>
      <c r="E536" s="189">
        <v>76.319999999999993</v>
      </c>
      <c r="F536" s="189">
        <v>90.11</v>
      </c>
      <c r="G536" s="189">
        <v>80.97</v>
      </c>
      <c r="H536" s="189">
        <v>81.84</v>
      </c>
      <c r="I536" s="189" t="s">
        <v>215</v>
      </c>
      <c r="J536" s="189">
        <v>96.25</v>
      </c>
    </row>
    <row r="537" spans="1:10" ht="21">
      <c r="C537" s="188" t="s">
        <v>487</v>
      </c>
      <c r="D537" s="190">
        <v>92.57</v>
      </c>
      <c r="E537" s="190">
        <v>79.37</v>
      </c>
      <c r="F537" s="190">
        <v>91.39</v>
      </c>
      <c r="G537" s="190">
        <v>85.14</v>
      </c>
      <c r="H537" s="190">
        <v>86.85</v>
      </c>
      <c r="I537" s="190" t="s">
        <v>215</v>
      </c>
      <c r="J537" s="190">
        <v>91</v>
      </c>
    </row>
    <row r="538" spans="1:10">
      <c r="C538" t="s">
        <v>488</v>
      </c>
      <c r="D538" s="155">
        <v>88.51</v>
      </c>
      <c r="E538" s="155">
        <v>77.03</v>
      </c>
      <c r="F538" s="155">
        <v>87.77</v>
      </c>
      <c r="G538" s="155">
        <v>81.510000000000005</v>
      </c>
      <c r="H538" s="155">
        <v>81.52</v>
      </c>
      <c r="I538" s="155" t="s">
        <v>215</v>
      </c>
      <c r="J538" s="155">
        <v>93.1</v>
      </c>
    </row>
    <row r="539" spans="1:10">
      <c r="C539" t="s">
        <v>489</v>
      </c>
      <c r="D539" s="156">
        <v>170</v>
      </c>
      <c r="E539" s="156">
        <v>102</v>
      </c>
      <c r="F539" s="156">
        <v>60</v>
      </c>
      <c r="G539" s="156">
        <v>1478</v>
      </c>
      <c r="H539" s="156">
        <v>73</v>
      </c>
      <c r="I539" s="156">
        <v>3</v>
      </c>
      <c r="J539" s="156">
        <v>10</v>
      </c>
    </row>
    <row r="540" spans="1:10">
      <c r="C540" t="s">
        <v>490</v>
      </c>
      <c r="D540" s="157">
        <v>87.49</v>
      </c>
      <c r="E540" s="157">
        <v>80.099999999999994</v>
      </c>
      <c r="F540" s="157">
        <v>77.22</v>
      </c>
      <c r="G540" s="157">
        <v>75.45</v>
      </c>
      <c r="H540" s="157">
        <v>82.2</v>
      </c>
      <c r="I540" s="157" t="s">
        <v>215</v>
      </c>
      <c r="J540" s="157">
        <v>91.82</v>
      </c>
    </row>
    <row r="541" spans="1:10">
      <c r="C541" t="s">
        <v>491</v>
      </c>
      <c r="D541" s="158">
        <v>159</v>
      </c>
      <c r="E541" s="158">
        <v>99</v>
      </c>
      <c r="F541" s="158">
        <v>55</v>
      </c>
      <c r="G541" s="158">
        <v>1432</v>
      </c>
      <c r="H541" s="158">
        <v>77</v>
      </c>
      <c r="I541" s="158">
        <v>5</v>
      </c>
      <c r="J541" s="158">
        <v>11</v>
      </c>
    </row>
    <row r="542" spans="1:10" ht="33.75">
      <c r="C542" t="s">
        <v>179</v>
      </c>
      <c r="D542" s="159" t="s">
        <v>342</v>
      </c>
      <c r="E542" s="159" t="s">
        <v>414</v>
      </c>
      <c r="F542" s="159" t="s">
        <v>415</v>
      </c>
      <c r="G542" s="159" t="s">
        <v>416</v>
      </c>
      <c r="H542" s="159" t="s">
        <v>417</v>
      </c>
      <c r="I542" s="159" t="s">
        <v>343</v>
      </c>
      <c r="J542" s="159" t="s">
        <v>418</v>
      </c>
    </row>
    <row r="543" spans="1:10">
      <c r="C543" t="s">
        <v>492</v>
      </c>
      <c r="D543" s="155">
        <v>82.91</v>
      </c>
      <c r="E543" s="155">
        <v>82.91</v>
      </c>
      <c r="F543" s="155">
        <v>82.91</v>
      </c>
      <c r="G543" s="155">
        <v>82.91</v>
      </c>
      <c r="H543" s="155">
        <v>82.91</v>
      </c>
      <c r="I543" s="155">
        <v>82.91</v>
      </c>
      <c r="J543" s="155">
        <v>82.91</v>
      </c>
    </row>
    <row r="544" spans="1:10">
      <c r="C544" t="s">
        <v>493</v>
      </c>
      <c r="D544" s="161">
        <v>91.12</v>
      </c>
      <c r="E544" s="161">
        <v>81.37</v>
      </c>
      <c r="F544" s="161">
        <v>91.53</v>
      </c>
      <c r="G544" s="161">
        <v>83.23</v>
      </c>
      <c r="H544" s="161">
        <v>87.67</v>
      </c>
      <c r="I544" s="161" t="s">
        <v>215</v>
      </c>
      <c r="J544" s="161">
        <v>100</v>
      </c>
    </row>
    <row r="549" spans="1:1">
      <c r="A549" t="s">
        <v>153</v>
      </c>
    </row>
    <row r="609" spans="1:7">
      <c r="A609" t="s">
        <v>154</v>
      </c>
    </row>
    <row r="623" spans="1:7">
      <c r="A623" t="s">
        <v>172</v>
      </c>
      <c r="D623" s="160" t="s">
        <v>419</v>
      </c>
      <c r="E623" s="160" t="s">
        <v>420</v>
      </c>
      <c r="F623" s="160" t="s">
        <v>421</v>
      </c>
      <c r="G623" s="160" t="s">
        <v>422</v>
      </c>
    </row>
    <row r="624" spans="1:7" ht="21">
      <c r="C624" s="184" t="s">
        <v>181</v>
      </c>
      <c r="D624" s="189">
        <v>92.06</v>
      </c>
      <c r="E624" s="189">
        <v>82.99</v>
      </c>
      <c r="F624" s="189">
        <v>73.010000000000005</v>
      </c>
      <c r="G624" s="189">
        <v>58.22</v>
      </c>
    </row>
    <row r="625" spans="1:7" ht="21">
      <c r="C625" s="185" t="s">
        <v>182</v>
      </c>
      <c r="D625" s="189">
        <v>87.65</v>
      </c>
      <c r="E625" s="189">
        <v>78.34</v>
      </c>
      <c r="F625" s="189">
        <v>69.09</v>
      </c>
      <c r="G625" s="189">
        <v>54.71</v>
      </c>
    </row>
    <row r="626" spans="1:7" ht="21">
      <c r="C626" s="186" t="s">
        <v>180</v>
      </c>
      <c r="D626" s="189">
        <v>83.2</v>
      </c>
      <c r="E626" s="189">
        <v>74.31</v>
      </c>
      <c r="F626" s="189">
        <v>66.7</v>
      </c>
      <c r="G626" s="189">
        <v>56.94</v>
      </c>
    </row>
    <row r="627" spans="1:7" ht="21">
      <c r="C627" s="187" t="s">
        <v>196</v>
      </c>
      <c r="D627" s="189">
        <v>87.6</v>
      </c>
      <c r="E627" s="189">
        <v>81.8</v>
      </c>
      <c r="F627" s="189">
        <v>71.7</v>
      </c>
      <c r="G627" s="189">
        <v>66.19</v>
      </c>
    </row>
    <row r="628" spans="1:7" ht="21">
      <c r="C628" s="188" t="s">
        <v>487</v>
      </c>
      <c r="D628" s="190">
        <v>90.98</v>
      </c>
      <c r="E628" s="190">
        <v>84.03</v>
      </c>
      <c r="F628" s="190">
        <v>75.88</v>
      </c>
      <c r="G628" s="190">
        <v>65.92</v>
      </c>
    </row>
    <row r="629" spans="1:7">
      <c r="C629" t="s">
        <v>488</v>
      </c>
      <c r="D629" s="155">
        <v>88.39</v>
      </c>
      <c r="E629" s="155">
        <v>80.150000000000006</v>
      </c>
      <c r="F629" s="155">
        <v>71.099999999999994</v>
      </c>
      <c r="G629" s="155">
        <v>59.77</v>
      </c>
    </row>
    <row r="630" spans="1:7">
      <c r="C630" t="s">
        <v>489</v>
      </c>
      <c r="D630" s="156">
        <v>2444</v>
      </c>
      <c r="E630" s="156">
        <v>1088</v>
      </c>
      <c r="F630" s="156">
        <v>501</v>
      </c>
      <c r="G630" s="156">
        <v>116</v>
      </c>
    </row>
    <row r="631" spans="1:7">
      <c r="C631" t="s">
        <v>490</v>
      </c>
      <c r="D631" s="157">
        <v>84.86</v>
      </c>
      <c r="E631" s="157">
        <v>74.510000000000005</v>
      </c>
      <c r="F631" s="157">
        <v>66.599999999999994</v>
      </c>
      <c r="G631" s="157">
        <v>55.18</v>
      </c>
    </row>
    <row r="632" spans="1:7">
      <c r="C632" t="s">
        <v>491</v>
      </c>
      <c r="D632" s="158">
        <v>2773</v>
      </c>
      <c r="E632" s="158">
        <v>1087</v>
      </c>
      <c r="F632" s="158">
        <v>595</v>
      </c>
      <c r="G632" s="158">
        <v>110</v>
      </c>
    </row>
    <row r="633" spans="1:7">
      <c r="C633" t="s">
        <v>179</v>
      </c>
      <c r="D633" s="159" t="s">
        <v>419</v>
      </c>
      <c r="E633" s="159" t="s">
        <v>420</v>
      </c>
      <c r="F633" s="159" t="s">
        <v>421</v>
      </c>
      <c r="G633" s="159" t="s">
        <v>422</v>
      </c>
    </row>
    <row r="634" spans="1:7">
      <c r="C634" t="s">
        <v>492</v>
      </c>
      <c r="D634" s="155">
        <v>82.91</v>
      </c>
      <c r="E634" s="155">
        <v>82.91</v>
      </c>
      <c r="F634" s="155">
        <v>82.91</v>
      </c>
      <c r="G634" s="155">
        <v>82.91</v>
      </c>
    </row>
    <row r="635" spans="1:7">
      <c r="C635" t="s">
        <v>493</v>
      </c>
      <c r="D635" s="161">
        <v>89.51</v>
      </c>
      <c r="E635" s="161">
        <v>82.26</v>
      </c>
      <c r="F635" s="161">
        <v>70.599999999999994</v>
      </c>
      <c r="G635" s="161">
        <v>68.099999999999994</v>
      </c>
    </row>
    <row r="640" spans="1:7">
      <c r="A640" t="s">
        <v>155</v>
      </c>
    </row>
    <row r="700" spans="1:1">
      <c r="A700" t="s">
        <v>156</v>
      </c>
    </row>
    <row r="714" spans="1:8" ht="102">
      <c r="A714" t="s">
        <v>173</v>
      </c>
      <c r="D714" s="160" t="s">
        <v>207</v>
      </c>
      <c r="E714" s="160" t="s">
        <v>208</v>
      </c>
      <c r="F714" s="160" t="s">
        <v>209</v>
      </c>
      <c r="G714" s="160" t="s">
        <v>210</v>
      </c>
      <c r="H714" s="160" t="s">
        <v>211</v>
      </c>
    </row>
    <row r="715" spans="1:8" ht="21">
      <c r="C715" s="184" t="s">
        <v>181</v>
      </c>
      <c r="D715" s="189">
        <v>88.46</v>
      </c>
      <c r="E715" s="189">
        <v>81.81</v>
      </c>
      <c r="F715" s="189">
        <v>69.47</v>
      </c>
      <c r="G715" s="189">
        <v>90.75</v>
      </c>
      <c r="H715" s="189">
        <v>71.900000000000006</v>
      </c>
    </row>
    <row r="716" spans="1:8" ht="21">
      <c r="C716" s="185" t="s">
        <v>182</v>
      </c>
      <c r="D716" s="189">
        <v>84.45</v>
      </c>
      <c r="E716" s="189">
        <v>75.67</v>
      </c>
      <c r="F716" s="189">
        <v>62.34</v>
      </c>
      <c r="G716" s="189">
        <v>87.24</v>
      </c>
      <c r="H716" s="189">
        <v>66.099999999999994</v>
      </c>
    </row>
    <row r="717" spans="1:8" ht="21">
      <c r="C717" s="186" t="s">
        <v>180</v>
      </c>
      <c r="D717" s="189">
        <v>79.25</v>
      </c>
      <c r="E717" s="189">
        <v>73.47</v>
      </c>
      <c r="F717" s="189">
        <v>59.43</v>
      </c>
      <c r="G717" s="189">
        <v>82.97</v>
      </c>
      <c r="H717" s="189">
        <v>62.41</v>
      </c>
    </row>
    <row r="718" spans="1:8" ht="21">
      <c r="C718" s="187" t="s">
        <v>196</v>
      </c>
      <c r="D718" s="189">
        <v>84.85</v>
      </c>
      <c r="E718" s="189">
        <v>75.930000000000007</v>
      </c>
      <c r="F718" s="189">
        <v>67.13</v>
      </c>
      <c r="G718" s="189">
        <v>89.76</v>
      </c>
      <c r="H718" s="189">
        <v>66.989999999999995</v>
      </c>
    </row>
    <row r="719" spans="1:8" ht="21">
      <c r="C719" s="188" t="s">
        <v>487</v>
      </c>
      <c r="D719" s="190">
        <v>88.44</v>
      </c>
      <c r="E719" s="190">
        <v>81.05</v>
      </c>
      <c r="F719" s="190">
        <v>68.94</v>
      </c>
      <c r="G719" s="190">
        <v>91.63</v>
      </c>
      <c r="H719" s="190">
        <v>70.739999999999995</v>
      </c>
    </row>
    <row r="720" spans="1:8">
      <c r="C720" t="s">
        <v>488</v>
      </c>
      <c r="D720" s="155">
        <v>85.13</v>
      </c>
      <c r="E720" s="155">
        <v>77.69</v>
      </c>
      <c r="F720" s="155">
        <v>65.31</v>
      </c>
      <c r="G720" s="155">
        <v>88.38</v>
      </c>
      <c r="H720" s="155">
        <v>67.58</v>
      </c>
    </row>
    <row r="721" spans="1:8">
      <c r="C721" t="s">
        <v>489</v>
      </c>
      <c r="D721" s="156">
        <v>680</v>
      </c>
      <c r="E721" s="156">
        <v>940</v>
      </c>
      <c r="F721" s="156">
        <v>101</v>
      </c>
      <c r="G721" s="156">
        <v>1993</v>
      </c>
      <c r="H721" s="156">
        <v>218</v>
      </c>
    </row>
    <row r="722" spans="1:8">
      <c r="C722" t="s">
        <v>490</v>
      </c>
      <c r="D722" s="157">
        <v>80.739999999999995</v>
      </c>
      <c r="E722" s="157">
        <v>74.11</v>
      </c>
      <c r="F722" s="157">
        <v>60.51</v>
      </c>
      <c r="G722" s="157">
        <v>85.59</v>
      </c>
      <c r="H722" s="157">
        <v>59.82</v>
      </c>
    </row>
    <row r="723" spans="1:8">
      <c r="C723" t="s">
        <v>491</v>
      </c>
      <c r="D723" s="158">
        <v>764</v>
      </c>
      <c r="E723" s="158">
        <v>1235</v>
      </c>
      <c r="F723" s="158">
        <v>132</v>
      </c>
      <c r="G723" s="158">
        <v>2149</v>
      </c>
      <c r="H723" s="158">
        <v>297</v>
      </c>
    </row>
    <row r="724" spans="1:8" ht="67.5">
      <c r="C724" t="s">
        <v>179</v>
      </c>
      <c r="D724" s="159" t="s">
        <v>207</v>
      </c>
      <c r="E724" s="159" t="s">
        <v>208</v>
      </c>
      <c r="F724" s="159" t="s">
        <v>209</v>
      </c>
      <c r="G724" s="159" t="s">
        <v>210</v>
      </c>
      <c r="H724" s="159" t="s">
        <v>211</v>
      </c>
    </row>
    <row r="725" spans="1:8">
      <c r="C725" t="s">
        <v>492</v>
      </c>
      <c r="D725" s="155">
        <v>82.91</v>
      </c>
      <c r="E725" s="155">
        <v>82.91</v>
      </c>
      <c r="F725" s="155">
        <v>82.91</v>
      </c>
      <c r="G725" s="155">
        <v>82.91</v>
      </c>
      <c r="H725" s="155">
        <v>82.91</v>
      </c>
    </row>
    <row r="726" spans="1:8">
      <c r="C726" t="s">
        <v>493</v>
      </c>
      <c r="D726" s="161">
        <v>87.3</v>
      </c>
      <c r="E726" s="161">
        <v>77.290000000000006</v>
      </c>
      <c r="F726" s="161">
        <v>65.349999999999994</v>
      </c>
      <c r="G726" s="161">
        <v>91.62</v>
      </c>
      <c r="H726" s="161">
        <v>61.47</v>
      </c>
    </row>
    <row r="731" spans="1:8">
      <c r="A731" t="s">
        <v>157</v>
      </c>
    </row>
    <row r="791" spans="1:1">
      <c r="A791" t="s">
        <v>158</v>
      </c>
    </row>
    <row r="805" spans="1:7">
      <c r="A805" t="s">
        <v>174</v>
      </c>
      <c r="D805" s="160" t="s">
        <v>423</v>
      </c>
      <c r="E805" s="160" t="s">
        <v>420</v>
      </c>
      <c r="F805" s="160" t="s">
        <v>421</v>
      </c>
      <c r="G805" s="160" t="s">
        <v>422</v>
      </c>
    </row>
    <row r="806" spans="1:7" ht="21">
      <c r="C806" s="184" t="s">
        <v>181</v>
      </c>
      <c r="D806" s="189">
        <v>93.66</v>
      </c>
      <c r="E806" s="189">
        <v>88.03</v>
      </c>
      <c r="F806" s="189">
        <v>82.62</v>
      </c>
      <c r="G806" s="189">
        <v>65.010000000000005</v>
      </c>
    </row>
    <row r="807" spans="1:7" ht="21">
      <c r="C807" s="185" t="s">
        <v>182</v>
      </c>
      <c r="D807" s="189">
        <v>89.83</v>
      </c>
      <c r="E807" s="189">
        <v>83.54</v>
      </c>
      <c r="F807" s="189">
        <v>77.73</v>
      </c>
      <c r="G807" s="189">
        <v>61.02</v>
      </c>
    </row>
    <row r="808" spans="1:7" ht="21">
      <c r="C808" s="186" t="s">
        <v>180</v>
      </c>
      <c r="D808" s="189">
        <v>85.29</v>
      </c>
      <c r="E808" s="189">
        <v>79.36</v>
      </c>
      <c r="F808" s="189">
        <v>73.209999999999994</v>
      </c>
      <c r="G808" s="189">
        <v>61.49</v>
      </c>
    </row>
    <row r="809" spans="1:7" ht="21">
      <c r="C809" s="187" t="s">
        <v>196</v>
      </c>
      <c r="D809" s="189">
        <v>89.45</v>
      </c>
      <c r="E809" s="189">
        <v>84.49</v>
      </c>
      <c r="F809" s="189">
        <v>80.319999999999993</v>
      </c>
      <c r="G809" s="189">
        <v>67.36</v>
      </c>
    </row>
    <row r="810" spans="1:7" ht="21">
      <c r="C810" s="188" t="s">
        <v>487</v>
      </c>
      <c r="D810" s="190">
        <v>93.27</v>
      </c>
      <c r="E810" s="190">
        <v>88.22</v>
      </c>
      <c r="F810" s="190">
        <v>84</v>
      </c>
      <c r="G810" s="190">
        <v>70.72</v>
      </c>
    </row>
    <row r="811" spans="1:7">
      <c r="C811" t="s">
        <v>488</v>
      </c>
      <c r="D811" s="155">
        <v>90.42</v>
      </c>
      <c r="E811" s="155">
        <v>84.77</v>
      </c>
      <c r="F811" s="155">
        <v>79.48</v>
      </c>
      <c r="G811" s="155">
        <v>64.67</v>
      </c>
    </row>
    <row r="812" spans="1:7">
      <c r="C812" t="s">
        <v>489</v>
      </c>
      <c r="D812" s="156">
        <v>789</v>
      </c>
      <c r="E812" s="156">
        <v>283</v>
      </c>
      <c r="F812" s="156">
        <v>450</v>
      </c>
      <c r="G812" s="156">
        <v>317</v>
      </c>
    </row>
    <row r="813" spans="1:7">
      <c r="C813" t="s">
        <v>490</v>
      </c>
      <c r="D813" s="157" t="s">
        <v>215</v>
      </c>
      <c r="E813" s="157" t="s">
        <v>215</v>
      </c>
      <c r="F813" s="157" t="s">
        <v>215</v>
      </c>
      <c r="G813" s="157" t="s">
        <v>215</v>
      </c>
    </row>
    <row r="814" spans="1:7">
      <c r="C814" t="s">
        <v>491</v>
      </c>
      <c r="D814" s="158" t="s">
        <v>213</v>
      </c>
      <c r="E814" s="158" t="s">
        <v>213</v>
      </c>
      <c r="F814" s="158" t="s">
        <v>213</v>
      </c>
      <c r="G814" s="158" t="s">
        <v>213</v>
      </c>
    </row>
    <row r="815" spans="1:7">
      <c r="C815" t="s">
        <v>179</v>
      </c>
      <c r="D815" s="159" t="s">
        <v>423</v>
      </c>
      <c r="E815" s="159" t="s">
        <v>420</v>
      </c>
      <c r="F815" s="159" t="s">
        <v>421</v>
      </c>
      <c r="G815" s="159" t="s">
        <v>422</v>
      </c>
    </row>
    <row r="816" spans="1:7">
      <c r="C816" t="s">
        <v>492</v>
      </c>
      <c r="D816" s="155">
        <v>82.91</v>
      </c>
      <c r="E816" s="155">
        <v>82.91</v>
      </c>
      <c r="F816" s="155">
        <v>82.91</v>
      </c>
      <c r="G816" s="155">
        <v>82.91</v>
      </c>
    </row>
    <row r="817" spans="3:7">
      <c r="C817" t="s">
        <v>493</v>
      </c>
      <c r="D817" s="161">
        <v>93.54</v>
      </c>
      <c r="E817" s="161">
        <v>87.99</v>
      </c>
      <c r="F817" s="161">
        <v>81.739999999999995</v>
      </c>
      <c r="G817" s="161">
        <v>63.29</v>
      </c>
    </row>
  </sheetData>
  <conditionalFormatting sqref="D76:H80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7:D171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7:E171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58:D262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58:H262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19:H323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50:H354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41:I445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02:J506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33:H537 J533:J537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24:G628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15:H71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06:G810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64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494</v>
      </c>
    </row>
    <row r="160" spans="1:1">
      <c r="A160" t="s">
        <v>495</v>
      </c>
    </row>
    <row r="187" spans="1:1">
      <c r="A187" t="s">
        <v>496</v>
      </c>
    </row>
    <row r="213" spans="1:1">
      <c r="A213" t="s">
        <v>497</v>
      </c>
    </row>
    <row r="240" spans="1:1">
      <c r="A240" t="s">
        <v>498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69" t="s">
        <v>12</v>
      </c>
      <c r="E268" s="267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69"/>
      <c r="E269" s="268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69"/>
      <c r="E270" s="267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70"/>
      <c r="E271" s="268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69" t="s">
        <v>13</v>
      </c>
      <c r="E272" s="267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69"/>
      <c r="E273" s="267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69"/>
      <c r="E274" s="268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69"/>
      <c r="E275" s="267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69"/>
      <c r="E276" s="268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70"/>
      <c r="E277" s="182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69" t="s">
        <v>14</v>
      </c>
      <c r="E278" s="267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69"/>
      <c r="E279" s="267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69"/>
      <c r="E280" s="268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70"/>
      <c r="E281" s="182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57" t="s">
        <v>15</v>
      </c>
      <c r="E294" s="271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58"/>
      <c r="E295" s="256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58"/>
      <c r="E296" s="255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59"/>
      <c r="E297" s="256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57" t="s">
        <v>16</v>
      </c>
      <c r="E298" s="255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59"/>
      <c r="E299" s="256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57" t="s">
        <v>17</v>
      </c>
      <c r="E300" s="255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58"/>
      <c r="E301" s="255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58"/>
      <c r="E302" s="256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58"/>
      <c r="E303" s="255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58"/>
      <c r="E304" s="255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58"/>
      <c r="E305" s="255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59"/>
      <c r="E306" s="256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60" t="s">
        <v>18</v>
      </c>
      <c r="E321" s="262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60"/>
      <c r="E322" s="247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60"/>
      <c r="E323" s="246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61"/>
      <c r="E324" s="263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264" t="s">
        <v>19</v>
      </c>
      <c r="E325" s="264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265"/>
      <c r="E326" s="265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266"/>
      <c r="E327" s="266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72" t="s">
        <v>20</v>
      </c>
      <c r="E328" s="246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60"/>
      <c r="E329" s="247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60"/>
      <c r="E330" s="247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60"/>
      <c r="E331" s="247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61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248" t="s">
        <v>21</v>
      </c>
      <c r="E348" s="249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250"/>
      <c r="E349" s="251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248" t="s">
        <v>22</v>
      </c>
      <c r="E350" s="249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250"/>
      <c r="E351" s="251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248" t="s">
        <v>23</v>
      </c>
      <c r="E352" s="249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253"/>
      <c r="E353" s="254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253"/>
      <c r="E354" s="254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250"/>
      <c r="E355" s="251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232" t="s">
        <v>24</v>
      </c>
      <c r="E374" s="232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232"/>
      <c r="E375" s="232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233"/>
      <c r="E376" s="233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73" t="s">
        <v>25</v>
      </c>
      <c r="E377" s="225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74"/>
      <c r="E378" s="226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74"/>
      <c r="E379" s="225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75"/>
      <c r="E380" s="227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231" t="s">
        <v>26</v>
      </c>
      <c r="E381" s="231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232"/>
      <c r="E382" s="232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233"/>
      <c r="E383" s="233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67" t="s">
        <v>179</v>
      </c>
      <c r="N400" s="367"/>
      <c r="O400" s="183" t="s">
        <v>242</v>
      </c>
      <c r="P400" s="168">
        <v>2016</v>
      </c>
      <c r="Q400" s="168">
        <v>2015</v>
      </c>
      <c r="R400" s="168" t="s">
        <v>360</v>
      </c>
      <c r="S400" s="168" t="s">
        <v>243</v>
      </c>
      <c r="T400" s="168" t="s">
        <v>244</v>
      </c>
      <c r="U400" s="168" t="s">
        <v>361</v>
      </c>
    </row>
    <row r="401" spans="1:21" ht="20.100000000000001" customHeight="1">
      <c r="A401" t="s">
        <v>100</v>
      </c>
      <c r="M401" s="352" t="s">
        <v>34</v>
      </c>
      <c r="N401" s="349">
        <v>86</v>
      </c>
      <c r="O401" s="172" t="s">
        <v>12</v>
      </c>
      <c r="P401" s="164">
        <v>87</v>
      </c>
      <c r="Q401" s="164">
        <v>84</v>
      </c>
      <c r="R401" s="164">
        <v>89</v>
      </c>
      <c r="S401" s="164">
        <v>78</v>
      </c>
      <c r="T401" s="164">
        <v>-2</v>
      </c>
      <c r="U401" s="164">
        <v>9</v>
      </c>
    </row>
    <row r="402" spans="1:21" ht="20.100000000000001" customHeight="1">
      <c r="M402" s="353"/>
      <c r="N402" s="350"/>
      <c r="O402" s="172" t="s">
        <v>13</v>
      </c>
      <c r="P402" s="164">
        <v>86</v>
      </c>
      <c r="Q402" s="164">
        <v>82</v>
      </c>
      <c r="R402" s="164">
        <v>89</v>
      </c>
      <c r="S402" s="164">
        <v>80</v>
      </c>
      <c r="T402" s="164">
        <v>-3</v>
      </c>
      <c r="U402" s="164">
        <v>6</v>
      </c>
    </row>
    <row r="403" spans="1:21" ht="20.100000000000001" customHeight="1" thickBot="1">
      <c r="M403" s="354"/>
      <c r="N403" s="351"/>
      <c r="O403" s="173" t="s">
        <v>14</v>
      </c>
      <c r="P403" s="165">
        <v>86</v>
      </c>
      <c r="Q403" s="165">
        <v>82</v>
      </c>
      <c r="R403" s="165">
        <v>90</v>
      </c>
      <c r="S403" s="165">
        <v>79</v>
      </c>
      <c r="T403" s="165">
        <v>-4</v>
      </c>
      <c r="U403" s="165">
        <v>7</v>
      </c>
    </row>
    <row r="404" spans="1:21" ht="20.100000000000001" customHeight="1">
      <c r="M404" s="358" t="s">
        <v>41</v>
      </c>
      <c r="N404" s="355">
        <v>82</v>
      </c>
      <c r="O404" s="174" t="s">
        <v>15</v>
      </c>
      <c r="P404" s="169">
        <v>82</v>
      </c>
      <c r="Q404" s="169">
        <v>79</v>
      </c>
      <c r="R404" s="169">
        <v>89</v>
      </c>
      <c r="S404" s="169">
        <v>77</v>
      </c>
      <c r="T404" s="169">
        <v>-7</v>
      </c>
      <c r="U404" s="169">
        <v>5</v>
      </c>
    </row>
    <row r="405" spans="1:21" ht="20.100000000000001" customHeight="1">
      <c r="M405" s="359"/>
      <c r="N405" s="356"/>
      <c r="O405" s="174" t="s">
        <v>16</v>
      </c>
      <c r="P405" s="169">
        <v>81</v>
      </c>
      <c r="Q405" s="169">
        <v>77</v>
      </c>
      <c r="R405" s="169">
        <v>87</v>
      </c>
      <c r="S405" s="169">
        <v>73</v>
      </c>
      <c r="T405" s="169">
        <v>-6</v>
      </c>
      <c r="U405" s="169">
        <v>8</v>
      </c>
    </row>
    <row r="406" spans="1:21" ht="20.100000000000001" customHeight="1" thickBot="1">
      <c r="M406" s="360"/>
      <c r="N406" s="357"/>
      <c r="O406" s="175" t="s">
        <v>17</v>
      </c>
      <c r="P406" s="170">
        <v>81</v>
      </c>
      <c r="Q406" s="170">
        <v>77</v>
      </c>
      <c r="R406" s="170">
        <v>89</v>
      </c>
      <c r="S406" s="170">
        <v>78</v>
      </c>
      <c r="T406" s="170">
        <v>-8</v>
      </c>
      <c r="U406" s="170">
        <v>3</v>
      </c>
    </row>
    <row r="407" spans="1:21" ht="20.100000000000001" customHeight="1">
      <c r="M407" s="364" t="s">
        <v>48</v>
      </c>
      <c r="N407" s="361">
        <v>78</v>
      </c>
      <c r="O407" s="176" t="s">
        <v>18</v>
      </c>
      <c r="P407" s="164">
        <v>69</v>
      </c>
      <c r="Q407" s="164">
        <v>63</v>
      </c>
      <c r="R407" s="164">
        <v>77</v>
      </c>
      <c r="S407" s="164">
        <v>65</v>
      </c>
      <c r="T407" s="164">
        <v>-8</v>
      </c>
      <c r="U407" s="164">
        <v>4</v>
      </c>
    </row>
    <row r="408" spans="1:21" ht="20.100000000000001" customHeight="1">
      <c r="M408" s="365"/>
      <c r="N408" s="362"/>
      <c r="O408" s="176" t="s">
        <v>19</v>
      </c>
      <c r="P408" s="164">
        <v>68</v>
      </c>
      <c r="Q408" s="164">
        <v>62</v>
      </c>
      <c r="R408" s="164">
        <v>78</v>
      </c>
      <c r="S408" s="164">
        <v>64</v>
      </c>
      <c r="T408" s="164">
        <v>-10</v>
      </c>
      <c r="U408" s="164">
        <v>4</v>
      </c>
    </row>
    <row r="409" spans="1:21" ht="20.100000000000001" customHeight="1" thickBot="1">
      <c r="M409" s="366"/>
      <c r="N409" s="363"/>
      <c r="O409" s="177" t="s">
        <v>20</v>
      </c>
      <c r="P409" s="166">
        <v>91</v>
      </c>
      <c r="Q409" s="166">
        <v>89</v>
      </c>
      <c r="R409" s="166">
        <v>96</v>
      </c>
      <c r="S409" s="166">
        <v>91</v>
      </c>
      <c r="T409" s="166">
        <v>-5</v>
      </c>
      <c r="U409" s="166">
        <v>0</v>
      </c>
    </row>
    <row r="410" spans="1:21" ht="20.100000000000001" customHeight="1">
      <c r="M410" s="340" t="s">
        <v>55</v>
      </c>
      <c r="N410" s="337">
        <v>83</v>
      </c>
      <c r="O410" s="178" t="s">
        <v>21</v>
      </c>
      <c r="P410" s="169">
        <v>81</v>
      </c>
      <c r="Q410" s="169">
        <v>76</v>
      </c>
      <c r="R410" s="169">
        <v>88</v>
      </c>
      <c r="S410" s="169">
        <v>77</v>
      </c>
      <c r="T410" s="169">
        <v>-7</v>
      </c>
      <c r="U410" s="169">
        <v>4</v>
      </c>
    </row>
    <row r="411" spans="1:21" ht="20.100000000000001" customHeight="1">
      <c r="M411" s="341"/>
      <c r="N411" s="338"/>
      <c r="O411" s="178" t="s">
        <v>22</v>
      </c>
      <c r="P411" s="169">
        <v>84</v>
      </c>
      <c r="Q411" s="169">
        <v>79</v>
      </c>
      <c r="R411" s="169">
        <v>91</v>
      </c>
      <c r="S411" s="169">
        <v>80</v>
      </c>
      <c r="T411" s="169">
        <v>-7</v>
      </c>
      <c r="U411" s="169">
        <v>4</v>
      </c>
    </row>
    <row r="412" spans="1:21" ht="20.100000000000001" customHeight="1" thickBot="1">
      <c r="M412" s="342"/>
      <c r="N412" s="339"/>
      <c r="O412" s="179" t="s">
        <v>23</v>
      </c>
      <c r="P412" s="171">
        <v>84</v>
      </c>
      <c r="Q412" s="171">
        <v>79</v>
      </c>
      <c r="R412" s="171">
        <v>91</v>
      </c>
      <c r="S412" s="171">
        <v>82</v>
      </c>
      <c r="T412" s="171">
        <v>-7</v>
      </c>
      <c r="U412" s="171">
        <v>2</v>
      </c>
    </row>
    <row r="413" spans="1:21" ht="20.100000000000001" customHeight="1">
      <c r="M413" s="346" t="s">
        <v>192</v>
      </c>
      <c r="N413" s="343">
        <v>86</v>
      </c>
      <c r="O413" s="180" t="s">
        <v>24</v>
      </c>
      <c r="P413" s="164">
        <v>87</v>
      </c>
      <c r="Q413" s="164">
        <v>83</v>
      </c>
      <c r="R413" s="164">
        <v>93</v>
      </c>
      <c r="S413" s="164">
        <v>84</v>
      </c>
      <c r="T413" s="164">
        <v>-6</v>
      </c>
      <c r="U413" s="164">
        <v>3</v>
      </c>
    </row>
    <row r="414" spans="1:21" ht="20.100000000000001" customHeight="1">
      <c r="M414" s="347"/>
      <c r="N414" s="344"/>
      <c r="O414" s="180" t="s">
        <v>25</v>
      </c>
      <c r="P414" s="164">
        <v>88</v>
      </c>
      <c r="Q414" s="164">
        <v>84</v>
      </c>
      <c r="R414" s="164">
        <v>94</v>
      </c>
      <c r="S414" s="164">
        <v>86</v>
      </c>
      <c r="T414" s="164">
        <v>-6</v>
      </c>
      <c r="U414" s="164">
        <v>2</v>
      </c>
    </row>
    <row r="415" spans="1:21" ht="20.100000000000001" customHeight="1" thickBot="1">
      <c r="M415" s="348"/>
      <c r="N415" s="345"/>
      <c r="O415" s="181" t="s">
        <v>26</v>
      </c>
      <c r="P415" s="167">
        <v>82</v>
      </c>
      <c r="Q415" s="167">
        <v>78</v>
      </c>
      <c r="R415" s="167">
        <v>90</v>
      </c>
      <c r="S415" s="167">
        <v>78</v>
      </c>
      <c r="T415" s="167">
        <v>-8</v>
      </c>
      <c r="U415" s="167">
        <v>4</v>
      </c>
    </row>
    <row r="442" spans="1:9">
      <c r="A442" t="s">
        <v>499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D374:E376"/>
    <mergeCell ref="D377:D380"/>
    <mergeCell ref="E377:E378"/>
    <mergeCell ref="E379:E380"/>
    <mergeCell ref="D381:E383"/>
    <mergeCell ref="M400:N400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2017-07-10T02:43:56Z</dcterms:modified>
</cp:coreProperties>
</file>