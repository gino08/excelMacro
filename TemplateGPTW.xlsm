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drawings/drawing2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drawings/drawing3.xml" ContentType="application/vnd.openxmlformats-officedocument.drawing+xml"/>
  <Override PartName="/xl/ctrlProps/ctrlProp48.xml" ContentType="application/vnd.ms-excel.controlproperties+xml"/>
  <Override PartName="/xl/ctrlProps/ctrlProp49.xml" ContentType="application/vnd.ms-excel.controlproperties+xml"/>
  <Override PartName="/xl/comments1.xml" ContentType="application/vnd.openxmlformats-officedocument.spreadsheetml.comments+xml"/>
  <Override PartName="/xl/drawings/drawing4.xml" ContentType="application/vnd.openxmlformats-officedocument.drawing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drawings/drawing5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6.xml" ContentType="application/vnd.openxmlformats-officedocument.drawingml.chartshapes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7.xml" ContentType="application/vnd.openxmlformats-officedocument.drawingml.chartshapes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8.xml" ContentType="application/vnd.openxmlformats-officedocument.drawingml.chartshapes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9.xml" ContentType="application/vnd.openxmlformats-officedocument.drawingml.chartshapes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10.xml" ContentType="application/vnd.openxmlformats-officedocument.drawingml.chartshapes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11.xml" ContentType="application/vnd.openxmlformats-officedocument.drawingml.chartshapes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drawings/drawing12.xml" ContentType="application/vnd.openxmlformats-officedocument.drawingml.chartshapes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drawings/drawing13.xml" ContentType="application/vnd.openxmlformats-officedocument.drawingml.chartshapes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14.xml" ContentType="application/vnd.openxmlformats-officedocument.drawingml.chartshapes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drawings/drawing15.xml" ContentType="application/vnd.openxmlformats-officedocument.drawingml.chartshapes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drawings/drawing16.xml" ContentType="application/vnd.openxmlformats-officedocument.drawingml.chartshapes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drawings/drawing17.xml" ContentType="application/vnd.openxmlformats-officedocument.drawingml.chartshapes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18.xml" ContentType="application/vnd.openxmlformats-officedocument.drawingml.chartshapes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drawings/drawing19.xml" ContentType="application/vnd.openxmlformats-officedocument.drawingml.chartshapes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drawings/drawing20.xml" ContentType="application/vnd.openxmlformats-officedocument.drawingml.chartshapes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drawings/drawing21.xml" ContentType="application/vnd.openxmlformats-officedocument.drawingml.chartshapes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drawings/drawing22.xml" ContentType="application/vnd.openxmlformats-officedocument.drawingml.chartshapes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drawings/drawing23.xml" ContentType="application/vnd.openxmlformats-officedocument.drawingml.chartshapes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drawings/drawing24.xml" ContentType="application/vnd.openxmlformats-officedocument.drawingml.chartshapes+xml"/>
  <Override PartName="/xl/drawings/drawing25.xml" ContentType="application/vnd.openxmlformats-officedocument.drawing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drawings/drawing26.xml" ContentType="application/vnd.openxmlformats-officedocument.drawingml.chartshapes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drawings/drawing27.xml" ContentType="application/vnd.openxmlformats-officedocument.drawingml.chartshapes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drawings/drawing28.xml" ContentType="application/vnd.openxmlformats-officedocument.drawingml.chartshapes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drawings/drawing29.xml" ContentType="application/vnd.openxmlformats-officedocument.drawingml.chartshapes+xml"/>
  <Override PartName="/xl/charts/chart36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drawings/drawing30.xml" ContentType="application/vnd.openxmlformats-officedocument.drawingml.chartshapes+xml"/>
  <Override PartName="/xl/charts/chart37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drawings/drawing31.xml" ContentType="application/vnd.openxmlformats-officedocument.drawingml.chartshapes+xml"/>
  <Override PartName="/xl/charts/chart38.xml" ContentType="application/vnd.openxmlformats-officedocument.drawingml.chart+xml"/>
  <Override PartName="/xl/charts/style38.xml" ContentType="application/vnd.ms-office.chartstyle+xml"/>
  <Override PartName="/xl/charts/colors38.xml" ContentType="application/vnd.ms-office.chartcolorstyle+xml"/>
  <Override PartName="/xl/drawings/drawing32.xml" ContentType="application/vnd.openxmlformats-officedocument.drawingml.chartshapes+xml"/>
  <Override PartName="/xl/charts/chart39.xml" ContentType="application/vnd.openxmlformats-officedocument.drawingml.chart+xml"/>
  <Override PartName="/xl/charts/style39.xml" ContentType="application/vnd.ms-office.chartstyle+xml"/>
  <Override PartName="/xl/charts/colors39.xml" ContentType="application/vnd.ms-office.chartcolorstyle+xml"/>
  <Override PartName="/xl/drawings/drawing33.xml" ContentType="application/vnd.openxmlformats-officedocument.drawingml.chartshapes+xml"/>
  <Override PartName="/xl/charts/chart40.xml" ContentType="application/vnd.openxmlformats-officedocument.drawingml.chart+xml"/>
  <Override PartName="/xl/charts/style40.xml" ContentType="application/vnd.ms-office.chartstyle+xml"/>
  <Override PartName="/xl/charts/colors40.xml" ContentType="application/vnd.ms-office.chartcolorstyle+xml"/>
  <Override PartName="/xl/drawings/drawing34.xml" ContentType="application/vnd.openxmlformats-officedocument.drawingml.chartshapes+xml"/>
  <Override PartName="/xl/charts/chart41.xml" ContentType="application/vnd.openxmlformats-officedocument.drawingml.chart+xml"/>
  <Override PartName="/xl/charts/style41.xml" ContentType="application/vnd.ms-office.chartstyle+xml"/>
  <Override PartName="/xl/charts/colors41.xml" ContentType="application/vnd.ms-office.chartcolorstyle+xml"/>
  <Override PartName="/xl/drawings/drawing35.xml" ContentType="application/vnd.openxmlformats-officedocument.drawingml.chartshapes+xml"/>
  <Override PartName="/xl/charts/chart42.xml" ContentType="application/vnd.openxmlformats-officedocument.drawingml.chart+xml"/>
  <Override PartName="/xl/charts/style42.xml" ContentType="application/vnd.ms-office.chartstyle+xml"/>
  <Override PartName="/xl/charts/colors42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filterPrivacy="1" codeName="ThisWorkbook" defaultThemeVersion="124226"/>
  <workbookProtection workbookAlgorithmName="SHA-512" workbookHashValue="qDY3mTanB1zRs26z2zcvWRbNR2GMUdsxNliEKygBrkrU5eHJEl8INYBEyxZMggM2TTFlvlBwQdBQ4zjgyjx18Q==" workbookSaltValue="DVlalcfIEoBP9m/MZQIijw==" workbookSpinCount="100000" lockStructure="1"/>
  <bookViews>
    <workbookView xWindow="0" yWindow="0" windowWidth="20490" windowHeight="7755" tabRatio="760" firstSheet="4" activeTab="5"/>
  </bookViews>
  <sheets>
    <sheet name="Referencia Datos" sheetId="1" r:id="rId1"/>
    <sheet name="Demografía" sheetId="2" r:id="rId2"/>
    <sheet name="Indicadores" sheetId="3" r:id="rId3"/>
    <sheet name="Cuadro de Mando Demografías" sheetId="2191" r:id="rId4"/>
    <sheet name="Cuadro de Mando Indicadores" sheetId="329" r:id="rId5"/>
    <sheet name="Cuadro de Mando PPT" sheetId="1123" r:id="rId6"/>
    <sheet name="Gráficos Demografías" sheetId="2481" r:id="rId7"/>
    <sheet name="Gráficos Indicadores" sheetId="2487" r:id="rId8"/>
  </sheets>
  <functionGroups builtInGroupCount="18"/>
  <definedNames>
    <definedName name="Camaraderia">#REF!</definedName>
    <definedName name="Comunicación">#REF!</definedName>
    <definedName name="Confianza1">'Gráficos Indicadores'!$AP$468:$AV$478</definedName>
    <definedName name="Confianza2">'Gráficos Indicadores'!$AP$495:$AV$505</definedName>
    <definedName name="Credibilidad">#REF!</definedName>
    <definedName name="Equidad">#REF!</definedName>
    <definedName name="FichaTecnica">'Gráficos Indicadores'!$BA$1:$BJ$7</definedName>
    <definedName name="GrafDemo_Bis1_datos">#REF!</definedName>
    <definedName name="GrafDemo_Bis1_datos_0">#REF!</definedName>
    <definedName name="GrafDemo_Bis1_datos_1">#REF!</definedName>
    <definedName name="GrafDemo_Bis10_datos">'Gráficos Demografías'!$C$805:$G$810</definedName>
    <definedName name="GrafDemo_Bis11_datos">#REF!</definedName>
    <definedName name="GrafDemo_Bis11_datos_0">#REF!</definedName>
    <definedName name="GrafDemo_Bis11_datos_1">#REF!</definedName>
    <definedName name="GrafDemo_Bis11_datos_2">#REF!</definedName>
    <definedName name="GrafDemo_Bis11_datos_3">#REF!</definedName>
    <definedName name="GrafDemo_Bis11_datos_4">#REF!</definedName>
    <definedName name="GrafDemo_Bis11_datos_5">#REF!</definedName>
    <definedName name="GrafDemo_Bis12_datos">#REF!</definedName>
    <definedName name="GrafDemo_Bis12_datos_0">#REF!</definedName>
    <definedName name="GrafDemo_Bis12_datos_1">#REF!</definedName>
    <definedName name="GrafDemo_Bis12_datos_10">#REF!</definedName>
    <definedName name="GrafDemo_Bis12_datos_11">#REF!</definedName>
    <definedName name="GrafDemo_Bis12_datos_12">#REF!</definedName>
    <definedName name="GrafDemo_Bis12_datos_13">#REF!</definedName>
    <definedName name="GrafDemo_Bis12_datos_14">#REF!</definedName>
    <definedName name="GrafDemo_Bis12_datos_15">#REF!</definedName>
    <definedName name="GrafDemo_Bis12_datos_16">#REF!</definedName>
    <definedName name="GrafDemo_Bis12_datos_17">#REF!</definedName>
    <definedName name="GrafDemo_Bis12_datos_18">#REF!</definedName>
    <definedName name="GrafDemo_Bis12_datos_19">#REF!</definedName>
    <definedName name="GrafDemo_Bis12_datos_2">#REF!</definedName>
    <definedName name="GrafDemo_Bis12_datos_20">#REF!</definedName>
    <definedName name="GrafDemo_Bis12_datos_21">#REF!</definedName>
    <definedName name="GrafDemo_Bis12_datos_22">#REF!</definedName>
    <definedName name="GrafDemo_Bis12_datos_23">#REF!</definedName>
    <definedName name="GrafDemo_Bis12_datos_24">#REF!</definedName>
    <definedName name="GrafDemo_Bis12_datos_3">#REF!</definedName>
    <definedName name="GrafDemo_Bis12_datos_4">#REF!</definedName>
    <definedName name="GrafDemo_Bis12_datos_5">#REF!</definedName>
    <definedName name="GrafDemo_Bis12_datos_6">#REF!</definedName>
    <definedName name="GrafDemo_Bis12_datos_7">#REF!</definedName>
    <definedName name="GrafDemo_Bis12_datos_8">#REF!</definedName>
    <definedName name="GrafDemo_Bis12_datos_9">#REF!</definedName>
    <definedName name="GrafDemo_Bis13_datos">#REF!</definedName>
    <definedName name="GrafDemo_Bis13_datos_0">#REF!</definedName>
    <definedName name="GrafDemo_Bis13_datos_1">#REF!</definedName>
    <definedName name="GrafDemo_Bis13_datos_10">#REF!</definedName>
    <definedName name="GrafDemo_Bis13_datos_11">#REF!</definedName>
    <definedName name="GrafDemo_Bis13_datos_12">#REF!</definedName>
    <definedName name="GrafDemo_Bis13_datos_13">#REF!</definedName>
    <definedName name="GrafDemo_Bis13_datos_14">#REF!</definedName>
    <definedName name="GrafDemo_Bis13_datos_15">#REF!</definedName>
    <definedName name="GrafDemo_Bis13_datos_16">#REF!</definedName>
    <definedName name="GrafDemo_Bis13_datos_17">#REF!</definedName>
    <definedName name="GrafDemo_Bis13_datos_18">#REF!</definedName>
    <definedName name="GrafDemo_Bis13_datos_19">#REF!</definedName>
    <definedName name="GrafDemo_Bis13_datos_2">#REF!</definedName>
    <definedName name="GrafDemo_Bis13_datos_20">#REF!</definedName>
    <definedName name="GrafDemo_Bis13_datos_21">#REF!</definedName>
    <definedName name="GrafDemo_Bis13_datos_22">#REF!</definedName>
    <definedName name="GrafDemo_Bis13_datos_23">#REF!</definedName>
    <definedName name="GrafDemo_Bis13_datos_24">#REF!</definedName>
    <definedName name="GrafDemo_Bis13_datos_25">#REF!</definedName>
    <definedName name="GrafDemo_Bis13_datos_26">#REF!</definedName>
    <definedName name="GrafDemo_Bis13_datos_27">#REF!</definedName>
    <definedName name="GrafDemo_Bis13_datos_28">#REF!</definedName>
    <definedName name="GrafDemo_Bis13_datos_29">#REF!</definedName>
    <definedName name="GrafDemo_Bis13_datos_3">#REF!</definedName>
    <definedName name="GrafDemo_Bis13_datos_30">#REF!</definedName>
    <definedName name="GrafDemo_Bis13_datos_31">#REF!</definedName>
    <definedName name="GrafDemo_Bis13_datos_32">#REF!</definedName>
    <definedName name="GrafDemo_Bis13_datos_33">#REF!</definedName>
    <definedName name="GrafDemo_Bis13_datos_34">#REF!</definedName>
    <definedName name="GrafDemo_Bis13_datos_35">#REF!</definedName>
    <definedName name="GrafDemo_Bis13_datos_36">#REF!</definedName>
    <definedName name="GrafDemo_Bis13_datos_37">#REF!</definedName>
    <definedName name="GrafDemo_Bis13_datos_38">#REF!</definedName>
    <definedName name="GrafDemo_Bis13_datos_39">#REF!</definedName>
    <definedName name="GrafDemo_Bis13_datos_4">#REF!</definedName>
    <definedName name="GrafDemo_Bis13_datos_40">#REF!</definedName>
    <definedName name="GrafDemo_Bis13_datos_41">#REF!</definedName>
    <definedName name="GrafDemo_Bis13_datos_42">#REF!</definedName>
    <definedName name="GrafDemo_Bis13_datos_43">#REF!</definedName>
    <definedName name="GrafDemo_Bis13_datos_44">#REF!</definedName>
    <definedName name="GrafDemo_Bis13_datos_45">#REF!</definedName>
    <definedName name="GrafDemo_Bis13_datos_46">#REF!</definedName>
    <definedName name="GrafDemo_Bis13_datos_47">#REF!</definedName>
    <definedName name="GrafDemo_Bis13_datos_48">#REF!</definedName>
    <definedName name="GrafDemo_Bis13_datos_49">#REF!</definedName>
    <definedName name="GrafDemo_Bis13_datos_5">#REF!</definedName>
    <definedName name="GrafDemo_Bis13_datos_50">#REF!</definedName>
    <definedName name="GrafDemo_Bis13_datos_51">#REF!</definedName>
    <definedName name="GrafDemo_Bis13_datos_52">#REF!</definedName>
    <definedName name="GrafDemo_Bis13_datos_53">#REF!</definedName>
    <definedName name="GrafDemo_Bis13_datos_54">#REF!</definedName>
    <definedName name="GrafDemo_Bis13_datos_55">#REF!</definedName>
    <definedName name="GrafDemo_Bis13_datos_56">#REF!</definedName>
    <definedName name="GrafDemo_Bis13_datos_57">#REF!</definedName>
    <definedName name="GrafDemo_Bis13_datos_58">#REF!</definedName>
    <definedName name="GrafDemo_Bis13_datos_59">#REF!</definedName>
    <definedName name="GrafDemo_Bis13_datos_6">#REF!</definedName>
    <definedName name="GrafDemo_Bis13_datos_60">#REF!</definedName>
    <definedName name="GrafDemo_Bis13_datos_61">#REF!</definedName>
    <definedName name="GrafDemo_Bis13_datos_62">#REF!</definedName>
    <definedName name="GrafDemo_Bis13_datos_63">#REF!</definedName>
    <definedName name="GrafDemo_Bis13_datos_64">#REF!</definedName>
    <definedName name="GrafDemo_Bis13_datos_65">#REF!</definedName>
    <definedName name="GrafDemo_Bis13_datos_66">#REF!</definedName>
    <definedName name="GrafDemo_Bis13_datos_67">#REF!</definedName>
    <definedName name="GrafDemo_Bis13_datos_68">#REF!</definedName>
    <definedName name="GrafDemo_Bis13_datos_69">#REF!</definedName>
    <definedName name="GrafDemo_Bis13_datos_7">#REF!</definedName>
    <definedName name="GrafDemo_Bis13_datos_70">#REF!</definedName>
    <definedName name="GrafDemo_Bis13_datos_71">#REF!</definedName>
    <definedName name="GrafDemo_Bis13_datos_72">#REF!</definedName>
    <definedName name="GrafDemo_Bis13_datos_73">#REF!</definedName>
    <definedName name="GrafDemo_Bis13_datos_74">#REF!</definedName>
    <definedName name="GrafDemo_Bis13_datos_8">#REF!</definedName>
    <definedName name="GrafDemo_Bis13_datos_9">#REF!</definedName>
    <definedName name="GrafDemo_Bis14_datos">#REF!</definedName>
    <definedName name="GrafDemo_Bis15_datos">#REF!</definedName>
    <definedName name="GrafDemo_Bis16_datos">#REF!</definedName>
    <definedName name="GrafDemo_Bis17_datos">#REF!</definedName>
    <definedName name="GrafDemo_Bis18_datos">#REF!</definedName>
    <definedName name="GrafDemo_Bis19_datos">#REF!</definedName>
    <definedName name="GrafDemo_Bis2_datos">'Gráficos Demografías'!$C$75:$H$80</definedName>
    <definedName name="GrafDemo_Bis20_datos">#REF!</definedName>
    <definedName name="GrafDemo_Bis21_datos">#REF!</definedName>
    <definedName name="GrafDemo_Bis22_datos">#REF!</definedName>
    <definedName name="GrafDemo_Bis23_datos">#REF!</definedName>
    <definedName name="GrafDemo_Bis24_datos">#REF!</definedName>
    <definedName name="GrafDemo_Bis25_datos">#REF!</definedName>
    <definedName name="GrafDemo_Bis26_datos">#REF!</definedName>
    <definedName name="GrafDemo_Bis27_datos">#REF!</definedName>
    <definedName name="GrafDemo_Bis28_datos">#REF!</definedName>
    <definedName name="GrafDemo_Bis29_datos">#REF!</definedName>
    <definedName name="GrafDemo_Bis3_datos">'Gráficos Demografías'!$C$166:$E$171</definedName>
    <definedName name="GrafDemo_Bis30_datos">#REF!</definedName>
    <definedName name="GrafDemo_Bis31_datos">#REF!</definedName>
    <definedName name="GrafDemo_Bis32_datos">#REF!</definedName>
    <definedName name="GrafDemo_Bis33_datos">#REF!</definedName>
    <definedName name="GrafDemo_Bis34_datos">#REF!</definedName>
    <definedName name="GrafDemo_Bis4_datos">'Gráficos Demografías'!$C$257:$H$262</definedName>
    <definedName name="GrafDemo_Bis5_0_datos">'Gráficos Demografías'!$C$318:$H$323</definedName>
    <definedName name="GrafDemo_Bis5_1_datos">'Gráficos Demografías'!$C$349:$H$354</definedName>
    <definedName name="GrafDemo_Bis5_datos">#REF!</definedName>
    <definedName name="GrafDemo_Bis5_datos_0">#REF!</definedName>
    <definedName name="GrafDemo_Bis5_datos_1">#REF!</definedName>
    <definedName name="GrafDemo_Bis6_datos">'Gráficos Demografías'!$C$440:$I$445</definedName>
    <definedName name="GrafDemo_Bis7_0_datos">'Gráficos Demografías'!$C$501:$J$506</definedName>
    <definedName name="GrafDemo_Bis7_1_datos">'Gráficos Demografías'!$C$532:$J$537</definedName>
    <definedName name="GrafDemo_Bis7_datos">#REF!</definedName>
    <definedName name="GrafDemo_Bis7_datos_0">#REF!</definedName>
    <definedName name="GrafDemo_Bis7_datos_1">#REF!</definedName>
    <definedName name="GrafDemo_Bis8_datos">'Gráficos Demografías'!$C$623:$G$628</definedName>
    <definedName name="GrafDemo_Bis9_datos">'Gráficos Demografías'!$C$714:$H$719</definedName>
    <definedName name="GrafDemo_Uni1">#REF!</definedName>
    <definedName name="Imparcialidad">#REF!</definedName>
    <definedName name="Orgullo">#REF!</definedName>
    <definedName name="Relaciones_Interpersonales">#REF!</definedName>
    <definedName name="Respaldo">#REF!</definedName>
    <definedName name="Respeto">#REF!</definedName>
    <definedName name="ResultadoSentencia1">'Gráficos Indicadores'!$AA$267:$AH$281</definedName>
    <definedName name="ResultadoSentencia2">'Gráficos Indicadores'!$AA$293:$AH$306</definedName>
    <definedName name="ResultadoSentencia3">'Gráficos Indicadores'!$AA$320:$AH$332</definedName>
    <definedName name="ResultadoSentencia4">'Gráficos Indicadores'!$AA$347:$AH$355</definedName>
    <definedName name="ResultadoSentencia5">'Gráficos Indicadores'!$AA$373:$AH$383</definedName>
    <definedName name="SentenciasAdicionales1">'Gráficos Indicadores'!$AK$442:$AN$449</definedName>
    <definedName name="TablaSintesis1">'Gráficos Indicadores'!$R$400:$Z$415</definedName>
    <definedName name="Trabajo_Personal">#REF!</definedName>
  </definedNames>
  <calcPr calcId="152511"/>
</workbook>
</file>

<file path=xl/calcChain.xml><?xml version="1.0" encoding="utf-8"?>
<calcChain xmlns="http://schemas.openxmlformats.org/spreadsheetml/2006/main">
  <c r="BV17" i="2" l="1"/>
  <c r="BU17" i="2"/>
  <c r="BT17" i="2"/>
  <c r="BS17" i="2"/>
  <c r="BQ20" i="2"/>
  <c r="BP20" i="2"/>
  <c r="BO20" i="2"/>
  <c r="BN20" i="2"/>
  <c r="BM20" i="2"/>
  <c r="BQ17" i="2"/>
  <c r="BP17" i="2"/>
  <c r="BO17" i="2"/>
  <c r="BN17" i="2"/>
  <c r="BM17" i="2"/>
  <c r="BK17" i="2"/>
  <c r="BJ17" i="2"/>
  <c r="BI17" i="2"/>
  <c r="BH17" i="2"/>
  <c r="BF17" i="2"/>
  <c r="BE17" i="2"/>
  <c r="BD17" i="2"/>
  <c r="BC17" i="2"/>
  <c r="BB17" i="2"/>
  <c r="BA17" i="2"/>
  <c r="AZ17" i="2"/>
  <c r="AY17" i="2"/>
  <c r="AX17" i="2"/>
  <c r="AW17" i="2"/>
  <c r="AV17" i="2"/>
  <c r="AU17" i="2"/>
  <c r="AT17" i="2"/>
  <c r="AS17" i="2"/>
  <c r="AQ17" i="2"/>
  <c r="AP17" i="2"/>
  <c r="AO17" i="2"/>
  <c r="AN17" i="2"/>
  <c r="AM17" i="2"/>
  <c r="AL17" i="2"/>
  <c r="AJ17" i="2"/>
  <c r="AI17" i="2"/>
  <c r="AH17" i="2"/>
  <c r="AG17" i="2"/>
  <c r="AF17" i="2"/>
  <c r="AE17" i="2"/>
  <c r="AD17" i="2"/>
  <c r="AC17" i="2"/>
  <c r="AB17" i="2"/>
  <c r="AA17" i="2"/>
  <c r="Y17" i="2"/>
  <c r="X17" i="2"/>
  <c r="W17" i="2"/>
  <c r="V17" i="2"/>
  <c r="U17" i="2"/>
  <c r="S17" i="2"/>
  <c r="R17" i="2"/>
  <c r="P17" i="2"/>
  <c r="O17" i="2"/>
  <c r="N17" i="2"/>
  <c r="M17" i="2"/>
  <c r="L17" i="2"/>
  <c r="BF18" i="2" l="1"/>
  <c r="BE18" i="2"/>
  <c r="BD18" i="2"/>
  <c r="BC18" i="2"/>
  <c r="BB18" i="2"/>
  <c r="BA18" i="2"/>
  <c r="AZ18" i="2"/>
  <c r="AY18" i="2"/>
  <c r="AX18" i="2"/>
  <c r="AW18" i="2"/>
  <c r="AV18" i="2"/>
  <c r="AU18" i="2"/>
  <c r="AT18" i="2"/>
  <c r="AS18" i="2"/>
  <c r="BM19" i="2" l="1"/>
  <c r="BS16" i="2"/>
  <c r="BM16" i="2"/>
  <c r="BH16" i="2"/>
  <c r="AS16" i="2"/>
  <c r="AL16" i="2"/>
  <c r="AA16" i="2"/>
  <c r="U16" i="2"/>
  <c r="R16" i="2"/>
  <c r="L16" i="2"/>
</calcChain>
</file>

<file path=xl/comments1.xml><?xml version="1.0" encoding="utf-8"?>
<comments xmlns="http://schemas.openxmlformats.org/spreadsheetml/2006/main">
  <authors>
    <author>Autor</author>
  </authors>
  <commentList>
    <comment ref="B2" authorId="0" shapeId="0">
      <text>
        <r>
          <rPr>
            <b/>
            <sz val="9"/>
            <color indexed="81"/>
            <rFont val="Tahoma"/>
            <family val="2"/>
          </rPr>
          <t xml:space="preserve">Representa la cantidad de años que se tienen de mediciones por ejemplo 2015 y 2016
</t>
        </r>
      </text>
    </comment>
    <comment ref="B3" authorId="0" shapeId="0">
      <text>
        <r>
          <rPr>
            <b/>
            <sz val="9"/>
            <color indexed="81"/>
            <rFont val="Tahoma"/>
            <family val="2"/>
          </rPr>
          <t>Representa la cantidad de valores comparativos que hay. Por ejemplo Top BMK y BMK Mejores</t>
        </r>
      </text>
    </comment>
  </commentList>
</comments>
</file>

<file path=xl/sharedStrings.xml><?xml version="1.0" encoding="utf-8"?>
<sst xmlns="http://schemas.openxmlformats.org/spreadsheetml/2006/main" count="1605" uniqueCount="505">
  <si>
    <t>DEMOGRAFIAS</t>
  </si>
  <si>
    <t>INDICADORES</t>
  </si>
  <si>
    <t>Hoja</t>
  </si>
  <si>
    <t>Celda Inicial</t>
  </si>
  <si>
    <t>Celda Final</t>
  </si>
  <si>
    <t>ReporteDemografías</t>
  </si>
  <si>
    <t>Origen</t>
  </si>
  <si>
    <t>Destino</t>
  </si>
  <si>
    <t>A1</t>
  </si>
  <si>
    <t>Indicadores</t>
  </si>
  <si>
    <t>Confianza</t>
  </si>
  <si>
    <t>Comunicación</t>
  </si>
  <si>
    <t>Competencia</t>
  </si>
  <si>
    <t>Integridad</t>
  </si>
  <si>
    <t>Respaldo</t>
  </si>
  <si>
    <t>Participación</t>
  </si>
  <si>
    <t>Cuidado de las Personas</t>
  </si>
  <si>
    <t>Equidad</t>
  </si>
  <si>
    <t>Ausencia de Favoritismo</t>
  </si>
  <si>
    <t>Justicia</t>
  </si>
  <si>
    <t>Trabajo Personal</t>
  </si>
  <si>
    <t>Equipo</t>
  </si>
  <si>
    <t>Empresa</t>
  </si>
  <si>
    <t>Relaciones Interpersonales</t>
  </si>
  <si>
    <t>Hospitalidad</t>
  </si>
  <si>
    <t>Sentido de Pertenencia</t>
  </si>
  <si>
    <t>Resultados por Dimensiones</t>
  </si>
  <si>
    <t>Edad</t>
  </si>
  <si>
    <t>Género</t>
  </si>
  <si>
    <t>Identificador</t>
  </si>
  <si>
    <t>#Años</t>
  </si>
  <si>
    <t>Inicio</t>
  </si>
  <si>
    <t>Fin</t>
  </si>
  <si>
    <t>Credibilidad</t>
  </si>
  <si>
    <t>B2</t>
  </si>
  <si>
    <t>H2</t>
  </si>
  <si>
    <t>B6</t>
  </si>
  <si>
    <t>H6</t>
  </si>
  <si>
    <t>B12</t>
  </si>
  <si>
    <t>H12</t>
  </si>
  <si>
    <t>Respeto</t>
  </si>
  <si>
    <t>B17</t>
  </si>
  <si>
    <t>H17</t>
  </si>
  <si>
    <t>B21</t>
  </si>
  <si>
    <t>H21</t>
  </si>
  <si>
    <t>B23</t>
  </si>
  <si>
    <t>H23</t>
  </si>
  <si>
    <t>Imparcialidad</t>
  </si>
  <si>
    <t>B31</t>
  </si>
  <si>
    <t>H31</t>
  </si>
  <si>
    <t>B35</t>
  </si>
  <si>
    <t>H35</t>
  </si>
  <si>
    <t>B38</t>
  </si>
  <si>
    <t>H38</t>
  </si>
  <si>
    <t>Orgullo</t>
  </si>
  <si>
    <t>B44</t>
  </si>
  <si>
    <t>H44</t>
  </si>
  <si>
    <t>B46</t>
  </si>
  <si>
    <t>H46</t>
  </si>
  <si>
    <t>B48</t>
  </si>
  <si>
    <t>H48</t>
  </si>
  <si>
    <t>B53</t>
  </si>
  <si>
    <t>H53</t>
  </si>
  <si>
    <t>B56</t>
  </si>
  <si>
    <t>H56</t>
  </si>
  <si>
    <t>B60</t>
  </si>
  <si>
    <t>H60</t>
  </si>
  <si>
    <t>Sentencias Adicionales</t>
  </si>
  <si>
    <t>Fortalezas</t>
  </si>
  <si>
    <t>Oportunidades de Mejora</t>
  </si>
  <si>
    <t>Resultados Generales</t>
  </si>
  <si>
    <t>Indicadores Globales - Ambiente de Trabajo</t>
  </si>
  <si>
    <t>Resultados por Sentencia</t>
  </si>
  <si>
    <t>Tabla</t>
  </si>
  <si>
    <t>ResultadoGeneral1</t>
  </si>
  <si>
    <t>ResultadoGeneral2</t>
  </si>
  <si>
    <t>ResultadoDimension1</t>
  </si>
  <si>
    <t>ResultadoDimension2</t>
  </si>
  <si>
    <t>ResultadoDimension3</t>
  </si>
  <si>
    <t>ResultadoDimension4</t>
  </si>
  <si>
    <t>ResultadoDimension5</t>
  </si>
  <si>
    <t>ResultadoSentencia1</t>
  </si>
  <si>
    <t>ResultadoSentencia2</t>
  </si>
  <si>
    <t>ResultadoSentencia4</t>
  </si>
  <si>
    <t>ResultadoSentencia5</t>
  </si>
  <si>
    <t>ResultadoSentencia3</t>
  </si>
  <si>
    <t>Confianza1</t>
  </si>
  <si>
    <t>Confianza2</t>
  </si>
  <si>
    <t>ResultadoHistorico1</t>
  </si>
  <si>
    <t>ResultadoHistorico2</t>
  </si>
  <si>
    <t>TablaSintesis1</t>
  </si>
  <si>
    <t>SentenciasAdicionales1</t>
  </si>
  <si>
    <t>C2</t>
  </si>
  <si>
    <t>C6</t>
  </si>
  <si>
    <t>C12</t>
  </si>
  <si>
    <t>C17</t>
  </si>
  <si>
    <t>C21</t>
  </si>
  <si>
    <t>C23</t>
  </si>
  <si>
    <t>C31</t>
  </si>
  <si>
    <t>C35</t>
  </si>
  <si>
    <t>C38</t>
  </si>
  <si>
    <t>C44</t>
  </si>
  <si>
    <t>C46</t>
  </si>
  <si>
    <t>C48</t>
  </si>
  <si>
    <t>C53</t>
  </si>
  <si>
    <t>C56</t>
  </si>
  <si>
    <t>C60</t>
  </si>
  <si>
    <t>GraficoSintesis1</t>
  </si>
  <si>
    <t>#BMKs</t>
  </si>
  <si>
    <t>Titulo</t>
  </si>
  <si>
    <t>B1</t>
  </si>
  <si>
    <t>H1</t>
  </si>
  <si>
    <t>AN107</t>
  </si>
  <si>
    <t>El principal motivo por el que permanezco en esta empresa es</t>
  </si>
  <si>
    <t>GrafDemo2</t>
  </si>
  <si>
    <t>GrafDemo_Bis2</t>
  </si>
  <si>
    <t>GrafDemo3</t>
  </si>
  <si>
    <t>GrafDemo_Bis3</t>
  </si>
  <si>
    <t>GrafDemo4</t>
  </si>
  <si>
    <t>GrafDemo_Bis4</t>
  </si>
  <si>
    <t>GrafDemo5</t>
  </si>
  <si>
    <t>GrafDemo6</t>
  </si>
  <si>
    <t>GrafDemo_Bis6</t>
  </si>
  <si>
    <t>GrafDemo7</t>
  </si>
  <si>
    <t>GrafDemo8</t>
  </si>
  <si>
    <t>GrafDemo_Bis8</t>
  </si>
  <si>
    <t>GrafDemo9</t>
  </si>
  <si>
    <t>GrafDemo_Bis9</t>
  </si>
  <si>
    <t>GrafDemo10</t>
  </si>
  <si>
    <t>GrafDemo_Bis10</t>
  </si>
  <si>
    <t>Nivel de Estudios</t>
  </si>
  <si>
    <t>Antigüedad</t>
  </si>
  <si>
    <t>Cantidad de reuniones que ha tenido con su jefe para conversar sobre su desempeño durante los últimos 12 meses</t>
  </si>
  <si>
    <t>Cantidad de veces que ha recibido reconocimiento de su líder en los últimos 3 meses.</t>
  </si>
  <si>
    <t>FichaTecnica</t>
  </si>
  <si>
    <t>AN7</t>
  </si>
  <si>
    <t>GrafDemo_Bis4_datos</t>
  </si>
  <si>
    <t>GrafDemo_Bis3_datos</t>
  </si>
  <si>
    <t>GrafDemo_Bis2_datos</t>
  </si>
  <si>
    <t>GrafDemo_Bis6_datos</t>
  </si>
  <si>
    <t>GrafDemo_Bis8_datos</t>
  </si>
  <si>
    <t>GrafDemo_Bis9_datos</t>
  </si>
  <si>
    <t>GrafDemo_Bis10_datos</t>
  </si>
  <si>
    <t>GrafDemo_Bis5_0</t>
  </si>
  <si>
    <t>GrafDemo_Bis5_1</t>
  </si>
  <si>
    <t>GrafDemo_Bis7_0</t>
  </si>
  <si>
    <t>GrafDemo_Bis7_1</t>
  </si>
  <si>
    <t>Dimensión</t>
  </si>
  <si>
    <t>IMPARCIALIDAD</t>
  </si>
  <si>
    <t>CREDIBILIDAD</t>
  </si>
  <si>
    <t>RESPETO</t>
  </si>
  <si>
    <t>Ficha Técnica</t>
  </si>
  <si>
    <t>Síntesis de Dimensiones y Subdimensiones</t>
  </si>
  <si>
    <t>Indicadores Globales - Evolución</t>
  </si>
  <si>
    <t>Resultados por Dimensiones - Evolucion</t>
  </si>
  <si>
    <t>Camaradería</t>
  </si>
  <si>
    <t>Evolución Año Anterior</t>
  </si>
  <si>
    <t>Categorías Inicio</t>
  </si>
  <si>
    <t>Categorías Fin</t>
  </si>
  <si>
    <t>ORGULLO</t>
  </si>
  <si>
    <t>Demografía</t>
  </si>
  <si>
    <t>Promedios</t>
  </si>
  <si>
    <t>Cantidad de Respuestas</t>
  </si>
  <si>
    <t>-</t>
  </si>
  <si>
    <t>Promedio CREDIBILIDAD</t>
  </si>
  <si>
    <t>**</t>
  </si>
  <si>
    <t>Promedio RESPETO</t>
  </si>
  <si>
    <t>Promedio IMPARCIALIDAD</t>
  </si>
  <si>
    <t>Promedio ORGULLO</t>
  </si>
  <si>
    <t>Promedio CAMARADERÍA</t>
  </si>
  <si>
    <t>Teniendo en cuenta todo, yo diría que este es un excelente lugar para trabajar.</t>
  </si>
  <si>
    <t>Promedio General</t>
  </si>
  <si>
    <t>Demografías</t>
  </si>
  <si>
    <t>Gráfico</t>
  </si>
  <si>
    <t>Hoja de Datos</t>
  </si>
  <si>
    <t>Dimensión Inicial</t>
  </si>
  <si>
    <t>Dimensión Final</t>
  </si>
  <si>
    <t>Valor Inicial</t>
  </si>
  <si>
    <t>Valor Final</t>
  </si>
  <si>
    <t>Tipo de Gráfico</t>
  </si>
  <si>
    <t>Habilitado</t>
  </si>
  <si>
    <t>GrafDemo1</t>
  </si>
  <si>
    <t>D2</t>
  </si>
  <si>
    <t>D17</t>
  </si>
  <si>
    <t>GrafDemo_Bis1</t>
  </si>
  <si>
    <t>GrafDemo_Bis5</t>
  </si>
  <si>
    <t>AS2</t>
  </si>
  <si>
    <t>AS17</t>
  </si>
  <si>
    <t>GrafDemo_Bis7</t>
  </si>
  <si>
    <t>BK2</t>
  </si>
  <si>
    <t>BK17</t>
  </si>
  <si>
    <t>CONFIANZA</t>
  </si>
  <si>
    <t>L2</t>
  </si>
  <si>
    <t>L17</t>
  </si>
  <si>
    <t>R2</t>
  </si>
  <si>
    <t>R17</t>
  </si>
  <si>
    <t>U2</t>
  </si>
  <si>
    <t>U17</t>
  </si>
  <si>
    <t>BF2</t>
  </si>
  <si>
    <t>BF17</t>
  </si>
  <si>
    <t>BM2</t>
  </si>
  <si>
    <t>BM17</t>
  </si>
  <si>
    <t>Cantidad de Invitados</t>
  </si>
  <si>
    <t>Cantidad de Respuestas año anterior</t>
  </si>
  <si>
    <t>Gptw</t>
  </si>
  <si>
    <t>Promedio General año anterior</t>
  </si>
  <si>
    <t>Poblacion demografía</t>
  </si>
  <si>
    <t>% Rta por demografía</t>
  </si>
  <si>
    <t>AHZ20</t>
  </si>
  <si>
    <t>Año 2016</t>
  </si>
  <si>
    <t>CARGO</t>
  </si>
  <si>
    <t>Departamento/ Gerencia</t>
  </si>
  <si>
    <t>TI BANCO GALICIA Consolidado 2016</t>
  </si>
  <si>
    <t>BMK Las Mejores Top5 2015</t>
  </si>
  <si>
    <t>BMK Mejores Argentina 2015</t>
  </si>
  <si>
    <t>Dif. 2016 - 2015</t>
  </si>
  <si>
    <t>Dif. 2016 - BMK TOP5</t>
  </si>
  <si>
    <t>Dif. 2016 - BMK</t>
  </si>
  <si>
    <t>% Rta por corte</t>
  </si>
  <si>
    <t>Poblacion demografía año anterior</t>
  </si>
  <si>
    <t>% Rta por demografía año anterior</t>
  </si>
  <si>
    <t>J2</t>
  </si>
  <si>
    <t>J17</t>
  </si>
  <si>
    <t>P2</t>
  </si>
  <si>
    <t>P17</t>
  </si>
  <si>
    <t>S2</t>
  </si>
  <si>
    <t>S17</t>
  </si>
  <si>
    <t>Y2</t>
  </si>
  <si>
    <t>Y17</t>
  </si>
  <si>
    <t>AA2</t>
  </si>
  <si>
    <t>AJ2</t>
  </si>
  <si>
    <t>AA17</t>
  </si>
  <si>
    <t>AJ17</t>
  </si>
  <si>
    <t>AL2</t>
  </si>
  <si>
    <t>AQ2</t>
  </si>
  <si>
    <t>AL17</t>
  </si>
  <si>
    <t>AQ17</t>
  </si>
  <si>
    <t>BH2</t>
  </si>
  <si>
    <t>BH17</t>
  </si>
  <si>
    <t>BQ2</t>
  </si>
  <si>
    <t>BQ17</t>
  </si>
  <si>
    <t>BS2</t>
  </si>
  <si>
    <t>BV2</t>
  </si>
  <si>
    <t>BS17</t>
  </si>
  <si>
    <t>BV17</t>
  </si>
  <si>
    <t>CONFIGURACION TEMPLATE</t>
  </si>
  <si>
    <t>SECCION</t>
  </si>
  <si>
    <t>INICIO</t>
  </si>
  <si>
    <t>FIN</t>
  </si>
  <si>
    <t>FICHA TECNICA</t>
  </si>
  <si>
    <t>RESULTADOS GENERALES</t>
  </si>
  <si>
    <t>RESULTADOS POR DIMENSION</t>
  </si>
  <si>
    <t>FUENTE</t>
  </si>
  <si>
    <t>TEMPLATE</t>
  </si>
  <si>
    <t>RESULTADOS GENERALES HISTORICOS</t>
  </si>
  <si>
    <t>FORTALEZAS Y OPORTUNIDADES</t>
  </si>
  <si>
    <t>MATERIAL ANEXO</t>
  </si>
  <si>
    <t>DEMOGRAFIAS SIMPLES</t>
  </si>
  <si>
    <t>RESULTADO DIMENSION SENTENCIA</t>
  </si>
  <si>
    <t>SINTESIS</t>
  </si>
  <si>
    <t>RESULTADOS POR DEMOGRAFIAS</t>
  </si>
  <si>
    <t>DEMOGRAFIAS COMBINADAS</t>
  </si>
  <si>
    <t>PROXIMOS PASOS</t>
  </si>
  <si>
    <t>INTRODUCCION</t>
  </si>
  <si>
    <t>ORDEN</t>
  </si>
  <si>
    <t>DEMOGRAFIAS UNIFICADAS</t>
  </si>
  <si>
    <t>GrafDemo_Bis5_0_datos</t>
  </si>
  <si>
    <t>GrafDemo_Bis5_1_datos</t>
  </si>
  <si>
    <t>GrafDemo_Bis7_0_datos</t>
  </si>
  <si>
    <t>GrafDemo_Bis7_1_datos</t>
  </si>
  <si>
    <t>SENTENCIAS ADICIONALES</t>
  </si>
  <si>
    <t>Cuadro de Mando</t>
  </si>
  <si>
    <t># Filmina</t>
  </si>
  <si>
    <t># Filmina Template</t>
  </si>
  <si>
    <t>Título</t>
  </si>
  <si>
    <t>Fuente</t>
  </si>
  <si>
    <t>Objeto</t>
  </si>
  <si>
    <t>Margen Superior</t>
  </si>
  <si>
    <t>Margen Izquierdo</t>
  </si>
  <si>
    <t>Alto</t>
  </si>
  <si>
    <t>Ancho</t>
  </si>
  <si>
    <t>Menos de 25 años</t>
  </si>
  <si>
    <t>25 a 34 años</t>
  </si>
  <si>
    <t>35 a 44 años</t>
  </si>
  <si>
    <t>45 a 54 años</t>
  </si>
  <si>
    <t>55 años o más</t>
  </si>
  <si>
    <t>Masculino</t>
  </si>
  <si>
    <t>Femenino</t>
  </si>
  <si>
    <t>Primario o inferior</t>
  </si>
  <si>
    <t>Secundario</t>
  </si>
  <si>
    <t>Universitario incompleto / Técnico / Terciario</t>
  </si>
  <si>
    <t>Universitario completo</t>
  </si>
  <si>
    <t>Posgrado</t>
  </si>
  <si>
    <t>Director, Gerente General o Gerente (Nivel Hay 9 y superior)</t>
  </si>
  <si>
    <t>Gte/Team leader/Jefe/Operador de Mesa (Nivel Hay 8)</t>
  </si>
  <si>
    <t>Gerente/Jefe/Supervisor/RSC/T. Leader/Encargado/Tesorero/Supervisor Zonal/Líder/Coordinador (Nivel Hay 6 y 7)</t>
  </si>
  <si>
    <t>Técnico/ Especialista/Analista (Analista, trainee, SSR, SR) / Administrativo /Asesor RRHH/Supervisor UVM</t>
  </si>
  <si>
    <t>Oficiales Comerciales Áreas Centrales/Oficiales de Negocios/Oficial Banca Privada</t>
  </si>
  <si>
    <t>Auxiliar/Asistente/Ordenanza/Recepcionista/Secretaria</t>
  </si>
  <si>
    <t>Cajeros /Auxiliares de caja de seguridad/Cajero trainee comercial/Recepcionista Eminent</t>
  </si>
  <si>
    <t>Oficiales Comerciales Sucursales/ Oficiales ventas minoristas</t>
  </si>
  <si>
    <t>Centro de Contactos con clientes (Oficiales, Staff)</t>
  </si>
  <si>
    <t>Joven Profesional</t>
  </si>
  <si>
    <t>De 3 meses a 1 año</t>
  </si>
  <si>
    <t>2 a 5 años</t>
  </si>
  <si>
    <t>6 a 10 años</t>
  </si>
  <si>
    <t>11 a 15 años</t>
  </si>
  <si>
    <t>16 a 20 años</t>
  </si>
  <si>
    <t>Más de 21 años</t>
  </si>
  <si>
    <t>Directorio</t>
  </si>
  <si>
    <t>Gerencia General</t>
  </si>
  <si>
    <t>Auditoría</t>
  </si>
  <si>
    <t>Banca Mayorista</t>
  </si>
  <si>
    <t>Banca Minorista</t>
  </si>
  <si>
    <t>Desarrollo Org. Y Rec. Humanos</t>
  </si>
  <si>
    <t>Experiencia Del Cliente</t>
  </si>
  <si>
    <t>Créditos</t>
  </si>
  <si>
    <t>Planeamiento</t>
  </si>
  <si>
    <t>Gestión Del Riesgo</t>
  </si>
  <si>
    <t>Servicios Corporativos Integrados</t>
  </si>
  <si>
    <t>Banca Financiera</t>
  </si>
  <si>
    <t>Relaciones Institucionales</t>
  </si>
  <si>
    <t>Tarjetas Regionales</t>
  </si>
  <si>
    <t>Más de dos</t>
  </si>
  <si>
    <t>Dos</t>
  </si>
  <si>
    <t>Una</t>
  </si>
  <si>
    <t>Ninguna</t>
  </si>
  <si>
    <t>El hecho de que puedo armonizar el trabajo con mi vida personal</t>
  </si>
  <si>
    <t>La remuneración y los beneficios que me brinda la empresa</t>
  </si>
  <si>
    <t>El saber que el despido es un recurso de última instancia</t>
  </si>
  <si>
    <t>La oportunidad de crecer y desarrollarme profesionalmente</t>
  </si>
  <si>
    <t>Otro motivo</t>
  </si>
  <si>
    <t>Mas de dos</t>
  </si>
  <si>
    <t>Resultados por Edad</t>
  </si>
  <si>
    <t>Resultados por Género</t>
  </si>
  <si>
    <t>Resultados por Nivel de Estudios</t>
  </si>
  <si>
    <t>Resultados por CARGO</t>
  </si>
  <si>
    <t>Resultados por Antigüedad</t>
  </si>
  <si>
    <t>Resultados por Departamento/ Gerencia</t>
  </si>
  <si>
    <t>Resultados por Cantidad de reuniones que ha tenido con su jefe para conversar sobre su desempeño durante los últimos 12 meses</t>
  </si>
  <si>
    <t>Resultados por El principal motivo por el que permanezco en esta empresa es</t>
  </si>
  <si>
    <t>Resultados por Cantidad de veces que ha recibido reconocimiento de su líder en los últimos 3 meses.</t>
  </si>
  <si>
    <t>ReporteIndicadores.xls</t>
  </si>
  <si>
    <t>AE1</t>
  </si>
  <si>
    <t>N72</t>
  </si>
  <si>
    <t>Q75</t>
  </si>
  <si>
    <t>AC13</t>
  </si>
  <si>
    <t>U13</t>
  </si>
  <si>
    <t>N77</t>
  </si>
  <si>
    <t>Q82</t>
  </si>
  <si>
    <t>V2</t>
  </si>
  <si>
    <t>Z13</t>
  </si>
  <si>
    <t>N78</t>
  </si>
  <si>
    <t>Q78</t>
  </si>
  <si>
    <t>N79</t>
  </si>
  <si>
    <t>Q79</t>
  </si>
  <si>
    <t>N80</t>
  </si>
  <si>
    <t>Q80</t>
  </si>
  <si>
    <t>N81</t>
  </si>
  <si>
    <t>Q81</t>
  </si>
  <si>
    <t>N82</t>
  </si>
  <si>
    <t>J1</t>
  </si>
  <si>
    <t>Q15</t>
  </si>
  <si>
    <t>J16</t>
  </si>
  <si>
    <t>Q29</t>
  </si>
  <si>
    <t>J30</t>
  </si>
  <si>
    <t>Q42</t>
  </si>
  <si>
    <t>J43</t>
  </si>
  <si>
    <t>Q51</t>
  </si>
  <si>
    <t>J52</t>
  </si>
  <si>
    <t>Q62</t>
  </si>
  <si>
    <t>O70</t>
  </si>
  <si>
    <t>O95</t>
  </si>
  <si>
    <t>O107</t>
  </si>
  <si>
    <t>Dim</t>
  </si>
  <si>
    <t>Sub-Dimensión</t>
  </si>
  <si>
    <t>BMK Mejores Argentina 2016</t>
  </si>
  <si>
    <t>BMK Personalizado 2016 MARS</t>
  </si>
  <si>
    <t>2016 - 2016</t>
  </si>
  <si>
    <t>2016 - BMK Mejores Argentina 2016</t>
  </si>
  <si>
    <t>2016 - BMK Personalizado 2016 MARS</t>
  </si>
  <si>
    <t>N°</t>
  </si>
  <si>
    <t>Sentencia</t>
  </si>
  <si>
    <t>Años - Evolutivos</t>
  </si>
  <si>
    <t>CRED</t>
  </si>
  <si>
    <t>RES</t>
  </si>
  <si>
    <t>IMP</t>
  </si>
  <si>
    <t>ORG</t>
  </si>
  <si>
    <t>CAM</t>
  </si>
  <si>
    <t>PG</t>
  </si>
  <si>
    <t>Percepción</t>
  </si>
  <si>
    <t>Datos de participación</t>
  </si>
  <si>
    <t>Resultados Confianza - Dimensión CREDIBILIDAD</t>
  </si>
  <si>
    <t>Información</t>
  </si>
  <si>
    <t>Los jefes me mantienen informado acerca de temas y cambios importantes.</t>
  </si>
  <si>
    <t>Población encuestada</t>
  </si>
  <si>
    <t>Los jefes comunican claramente sus expectativas.</t>
  </si>
  <si>
    <t>Accesibilidad</t>
  </si>
  <si>
    <t>Puedo hacer cualquier pregunta razonable a los jefes y recibir una respuesta directa.</t>
  </si>
  <si>
    <t>Tasa de Respuesta</t>
  </si>
  <si>
    <t>Los jefes son accesibles y es fácil hablar con ellos.</t>
  </si>
  <si>
    <t>Margen de error (95% Conf)</t>
  </si>
  <si>
    <t>Coordinación</t>
  </si>
  <si>
    <t>Los jefes operan el negocio en forma competente.</t>
  </si>
  <si>
    <t>Cierre de encuesta</t>
  </si>
  <si>
    <t>Los jefes incorporan personas que se adaptan bien a este lugar.</t>
  </si>
  <si>
    <t>Tipo de encuesta</t>
  </si>
  <si>
    <t>Online</t>
  </si>
  <si>
    <t>Los jefes hacen un buen trabajo en la asignación y coordinación de las personas.</t>
  </si>
  <si>
    <t>Delegación</t>
  </si>
  <si>
    <t>Los jefes confían en que la gente hace un buen trabajo sin tener que supervisarla continuamente.</t>
  </si>
  <si>
    <t>Aquí nos dan la autonomía necesaria para realizar nuestro trabajo en forma adecuada.</t>
  </si>
  <si>
    <t>Visión</t>
  </si>
  <si>
    <t>Los jefes tienen una visión clara de hacia dónde va la organización y cómo lograrlo.</t>
  </si>
  <si>
    <t>Confiabilidad</t>
  </si>
  <si>
    <t>Los jefes cumplen con sus promesas.</t>
  </si>
  <si>
    <t>Los jefes hacen lo que dicen.</t>
  </si>
  <si>
    <t>Creo que aquí habría un despido masivo sólo como última opción.</t>
  </si>
  <si>
    <t>Honestidad</t>
  </si>
  <si>
    <t>Los jefes conducen el negocio honesta y éticamente.</t>
  </si>
  <si>
    <t>Resultados Confianza - Dimensión RESPETO</t>
  </si>
  <si>
    <t>Valoración Profesional</t>
  </si>
  <si>
    <t>Me ofrecen capacitación u otras formas de desarrollo para crecer laboralmente.</t>
  </si>
  <si>
    <t>Me dan los recursos y equipos para hacer mi trabajo.</t>
  </si>
  <si>
    <t>Valoración Personal</t>
  </si>
  <si>
    <t>Los jefes reconocen el buen trabajo y el esfuerzo extra.</t>
  </si>
  <si>
    <t>Los jefes aceptan que puedan cometerse errores involuntarios al hacer el trabajo.</t>
  </si>
  <si>
    <t>Involucrar</t>
  </si>
  <si>
    <t>Los jefes incentivan, consideran y responden genuinamente a nuestras ideas y sugerencias.</t>
  </si>
  <si>
    <t>Los jefes involucran a las personas en decisiones que afectan sus actividades o su ambiente de trabajo.</t>
  </si>
  <si>
    <t>Ambiente de Trabajo</t>
  </si>
  <si>
    <t>Este es un lugar físicamente seguro para trabajar.</t>
  </si>
  <si>
    <t>Este es un lugar psicológica y emocionalmente saludable para trabajar.</t>
  </si>
  <si>
    <t>Nuestras instalaciones contribuyen a un buen ambiente de trabajo.</t>
  </si>
  <si>
    <t>Vida Personal</t>
  </si>
  <si>
    <t>Puedo tomarme tiempo libre para resolver mis asuntos personales cuando lo necesito.</t>
  </si>
  <si>
    <t>A las personas se las anima para que equilibren el trabajo con su vida personal.</t>
  </si>
  <si>
    <t>Los jefes demuestran interés en mí como persona, y no tan sólo como empleado.</t>
  </si>
  <si>
    <t>Aquí tenemos beneficios especiales y únicos.</t>
  </si>
  <si>
    <t>Resultados Confianza - Dimensión IMPARCIALIDAD</t>
  </si>
  <si>
    <t>Remuneración</t>
  </si>
  <si>
    <t>Aquí el personal recibe un pago adecuado por su trabajo.</t>
  </si>
  <si>
    <t>Siento que recibo una parte justa de las ganancias de esta organización.</t>
  </si>
  <si>
    <t>Trato</t>
  </si>
  <si>
    <t>Todos tenemos la oportunidad de recibir un reconocimiento especial.</t>
  </si>
  <si>
    <t>Recibo un buen trato, independientemente de mi posición en la empresa.</t>
  </si>
  <si>
    <t>Los ascensos se dan a quienes más se lo merecen.</t>
  </si>
  <si>
    <t>Los jefes evitan el favoritismo.</t>
  </si>
  <si>
    <t>Las personas evitan la politiquería y la intriga como forma de conseguir las cosas.</t>
  </si>
  <si>
    <t>Discriminación</t>
  </si>
  <si>
    <t>Aquí el personal es tratado en forma justa independientemente de su edad.</t>
  </si>
  <si>
    <t>Aquí el personal es tratado en forma justa independientemente de su raza.</t>
  </si>
  <si>
    <t>Aquí el personal es tratado en forma justa independientemente de su preferencia sexual.</t>
  </si>
  <si>
    <t>Aquí el personal es tratado en forma justa independientemente de su sexo.</t>
  </si>
  <si>
    <t>Apelación</t>
  </si>
  <si>
    <t>Si soy tratado injustamente, creo que tendré la oportunidad de ser escuchado y de recibir un trato justo.</t>
  </si>
  <si>
    <t>Resultados - Dimensión ORGULLO</t>
  </si>
  <si>
    <t>Siento que mi participación hace una diferencia aquí.</t>
  </si>
  <si>
    <t>Mi trabajo tiene un sentido especial: esto no es “solamente un empleo”.</t>
  </si>
  <si>
    <t>Cuando veo lo que logramos, me siento orgulloso.</t>
  </si>
  <si>
    <t>Aquí, las personas están dispuestas a dar más de sí para hacer su trabajo.</t>
  </si>
  <si>
    <t>Quiero trabajar aquí por mucho tiempo.</t>
  </si>
  <si>
    <t>Estoy orgulloso de decirle a otros que trabajo aquí.</t>
  </si>
  <si>
    <t>A la gente le gusta venir a trabajar aquí.</t>
  </si>
  <si>
    <t>Me siento bien por la forma en que contribuimos a la comunidad.</t>
  </si>
  <si>
    <t>Resultados - Dimensión CAMARADERÍA</t>
  </si>
  <si>
    <t>Puedo ser yo mismo en mi lugar de trabajo.</t>
  </si>
  <si>
    <t>Aquí celebramos acontecimientos especiales.</t>
  </si>
  <si>
    <t>Aquí las personas se preocupan por los demás.</t>
  </si>
  <si>
    <t>Bienestar</t>
  </si>
  <si>
    <t>Este es un lugar amigable para trabajar.</t>
  </si>
  <si>
    <t>Resulta entretenido trabajar aquí.</t>
  </si>
  <si>
    <t>Bienvenida</t>
  </si>
  <si>
    <t>Cuando una persona ingresa a esta compañía se la hace sentir bienvenida.</t>
  </si>
  <si>
    <t>Cuando un miembro del personal cambia de tarea o es transferido, se lo hace sentir como en casa.</t>
  </si>
  <si>
    <t>Aquí hay un sentimiento de “familia” o de “equipo”.</t>
  </si>
  <si>
    <t>Estamos todos juntos en esto.</t>
  </si>
  <si>
    <t>Puedo contar con la colaboración de los demás.</t>
  </si>
  <si>
    <t>Adicionales Bco. Galicia</t>
  </si>
  <si>
    <t>Me entero de lo importante que sucede en Banco Galicia a través de los canales formales.</t>
  </si>
  <si>
    <t>Banco Galicia me ofrece beneficios que satisfacen diferentes necesidades de mi vida laboral y personal.</t>
  </si>
  <si>
    <t>En comparación con puestos similares al mío en otros bancos, mi remuneración es adecuada.</t>
  </si>
  <si>
    <t>Aquí tengo oportunidad de participar en actividades de voluntariado que benefician a la comunidad.</t>
  </si>
  <si>
    <t>Banco Galicia se encuentra comprometido con una gestión ambiental responsable.</t>
  </si>
  <si>
    <t>Siento que la organización ocupa un lugar importante en la cabeza y en el corazón de sus grupos de interés (clientes, colaboradores, líderes de opinión, comunidad).</t>
  </si>
  <si>
    <t>Percibo que cada día somos más confiables, simples, cercanos y ágiles , como organización</t>
  </si>
  <si>
    <t>Indicadores Globales</t>
  </si>
  <si>
    <t>2016 - PG</t>
  </si>
  <si>
    <t>CAMARADERÍA</t>
  </si>
  <si>
    <t>Dimension1</t>
  </si>
  <si>
    <t>Dimension2</t>
  </si>
  <si>
    <t>Dimension3</t>
  </si>
  <si>
    <t>Dimension4</t>
  </si>
  <si>
    <t>Dimension5</t>
  </si>
  <si>
    <t>ResultadoSentencia</t>
  </si>
  <si>
    <t>I85</t>
  </si>
  <si>
    <t>I97</t>
  </si>
  <si>
    <t>L63</t>
  </si>
  <si>
    <t>CAMARADERIA</t>
  </si>
  <si>
    <t>Promedio Actual</t>
  </si>
  <si>
    <t># Resp. Actual</t>
  </si>
  <si>
    <t>Promedio Anterior</t>
  </si>
  <si>
    <t># Resp. Anterior</t>
  </si>
  <si>
    <t>Prom. Gral. Cons</t>
  </si>
  <si>
    <t>Percepción Gral.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</si>
</sst>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0.0"/>
  </numFmts>
  <fonts count="70" x14ac:knownFonts="1">
    <font>
      <sz val="11"/>
      <color theme="1"/>
      <name val="Calibri"/>
      <family val="2"/>
      <scheme val="minor"/>
    </font>
    <font>
      <sz val="18"/>
      <color theme="3"/>
      <name val="Cambria"/>
      <family val="2"/>
      <scheme val="major"/>
    </font>
    <font>
      <b/>
      <sz val="13"/>
      <color theme="3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name val="Arial"/>
      <family val="2"/>
    </font>
    <font>
      <b/>
      <sz val="11"/>
      <name val="Calibri"/>
      <family val="2"/>
      <scheme val="minor"/>
    </font>
    <font>
      <sz val="18"/>
      <color theme="0"/>
      <name val="Cambria"/>
      <family val="2"/>
      <scheme val="major"/>
    </font>
    <font>
      <b/>
      <sz val="9"/>
      <color indexed="81"/>
      <name val="Tahoma"/>
      <family val="2"/>
    </font>
    <font>
      <sz val="11"/>
      <color theme="0"/>
      <name val="Calibri"/>
      <family val="2"/>
      <scheme val="minor"/>
    </font>
    <font>
      <b/>
      <sz val="11"/>
      <color rgb="FF000000"/>
      <name val="Calibri"/>
      <family val="2"/>
    </font>
    <font>
      <sz val="11"/>
      <color rgb="FF000000"/>
      <name val="Calibri"/>
      <family val="2"/>
    </font>
    <font>
      <b/>
      <sz val="11"/>
      <color theme="0"/>
      <name val="Calibri"/>
      <family val="2"/>
      <scheme val="minor"/>
    </font>
    <font>
      <sz val="8"/>
      <color theme="1"/>
      <name val="Arial"/>
      <family val="1"/>
    </font>
    <font>
      <b/>
      <sz val="8"/>
      <color rgb="FF000000"/>
      <name val="Arial"/>
      <family val="2"/>
    </font>
    <font>
      <b/>
      <sz val="8"/>
      <color theme="0"/>
      <name val="Arial"/>
      <family val="2"/>
    </font>
    <font>
      <sz val="8"/>
      <color rgb="FF000000"/>
      <name val="Arial"/>
      <family val="2"/>
    </font>
    <font>
      <b/>
      <sz val="14"/>
      <color theme="0"/>
      <name val="Calibri"/>
      <family val="2"/>
      <scheme val="minor"/>
    </font>
    <font>
      <b/>
      <sz val="8"/>
      <color theme="1"/>
      <name val="Arial"/>
      <family val="1"/>
    </font>
    <font>
      <b/>
      <sz val="16"/>
      <color rgb="FF7A7A7A"/>
      <name val="Arial"/>
      <family val="1"/>
    </font>
    <font>
      <b/>
      <sz val="9"/>
      <color rgb="FF000000"/>
      <name val="Arial"/>
      <family val="2"/>
    </font>
    <font>
      <sz val="11"/>
      <color theme="1"/>
      <name val="Calibri"/>
      <family val="2"/>
      <scheme val="minor"/>
    </font>
    <font>
      <sz val="7"/>
      <color rgb="FF000000"/>
      <name val="Verdana"/>
      <family val="2"/>
    </font>
    <font>
      <b/>
      <sz val="9"/>
      <color theme="0"/>
      <name val="Arial"/>
      <family val="2"/>
    </font>
    <font>
      <sz val="4"/>
      <color rgb="FF000000"/>
      <name val="Verdana"/>
      <family val="2"/>
    </font>
    <font>
      <b/>
      <sz val="8"/>
      <color indexed="8"/>
      <name val="Arial"/>
      <family val="2"/>
    </font>
    <font>
      <sz val="8"/>
      <color theme="0"/>
      <name val="Arial"/>
      <family val="2"/>
    </font>
    <font>
      <b/>
      <sz val="8"/>
      <color rgb="FFC00000"/>
      <name val="Arial"/>
      <family val="2"/>
    </font>
    <font>
      <b/>
      <sz val="14"/>
      <color rgb="FF7F7F7F"/>
      <name val="Arial"/>
      <family val="2"/>
    </font>
    <font>
      <sz val="11"/>
      <color rgb="FFFFFFFF"/>
      <name val="Arial"/>
      <family val="2"/>
    </font>
    <font>
      <b/>
      <sz val="8"/>
      <color rgb="FFFFFFFF"/>
      <name val="Arial"/>
      <family val="2"/>
    </font>
    <font>
      <sz val="12"/>
      <color theme="1"/>
      <name val="Arial"/>
      <family val="2"/>
    </font>
    <font>
      <sz val="11"/>
      <color theme="1"/>
      <name val="Arial"/>
      <family val="2"/>
    </font>
    <font>
      <b/>
      <sz val="12"/>
      <color rgb="FFFFFFFF"/>
      <name val="Arial"/>
      <family val="2"/>
    </font>
    <font>
      <b/>
      <sz val="12"/>
      <color rgb="FFFDB533"/>
      <name val="Arial"/>
      <family val="2"/>
    </font>
    <font>
      <sz val="10"/>
      <color rgb="FF3D3D3D"/>
      <name val="Arial"/>
      <family val="2"/>
    </font>
    <font>
      <sz val="12"/>
      <color rgb="FF3D3D3D"/>
      <name val="Arial"/>
      <family val="2"/>
    </font>
    <font>
      <sz val="13"/>
      <color rgb="FF000000"/>
      <name val="Arial"/>
      <family val="2"/>
    </font>
    <font>
      <b/>
      <sz val="11"/>
      <color rgb="FFD33C46"/>
      <name val="Arial"/>
      <family val="2"/>
    </font>
    <font>
      <b/>
      <sz val="12"/>
      <color rgb="FFE17B82"/>
      <name val="Arial"/>
      <family val="2"/>
    </font>
    <font>
      <b/>
      <sz val="12"/>
      <color rgb="FF005172"/>
      <name val="Arial"/>
      <family val="2"/>
    </font>
    <font>
      <b/>
      <sz val="12"/>
      <color rgb="FFD789B0"/>
      <name val="Arial"/>
      <family val="2"/>
    </font>
    <font>
      <sz val="8"/>
      <color theme="1"/>
      <name val="Arial"/>
      <family val="2"/>
    </font>
    <font>
      <b/>
      <sz val="13"/>
      <color theme="1"/>
      <name val="Arial"/>
      <family val="2"/>
    </font>
    <font>
      <b/>
      <sz val="10"/>
      <color rgb="FF000000"/>
      <name val="Arial"/>
      <family val="2"/>
    </font>
    <font>
      <sz val="9"/>
      <color theme="1"/>
      <name val="Arial"/>
      <family val="2"/>
    </font>
    <font>
      <sz val="9"/>
      <color rgb="FF005172"/>
      <name val="Arial"/>
      <family val="2"/>
    </font>
    <font>
      <b/>
      <sz val="13"/>
      <color rgb="FF808080"/>
      <name val="Arial"/>
      <family val="2"/>
    </font>
    <font>
      <b/>
      <sz val="14"/>
      <color rgb="FFFFC000"/>
      <name val="Arial"/>
      <family val="2"/>
    </font>
    <font>
      <b/>
      <sz val="14"/>
      <color rgb="FFAA272F"/>
      <name val="Arial"/>
      <family val="2"/>
    </font>
    <font>
      <b/>
      <sz val="14"/>
      <color rgb="FF005172"/>
      <name val="Arial"/>
      <family val="2"/>
    </font>
    <font>
      <b/>
      <sz val="14"/>
      <color rgb="FF73A11F"/>
      <name val="Arial"/>
      <family val="2"/>
    </font>
    <font>
      <b/>
      <sz val="14"/>
      <color rgb="FF612141"/>
      <name val="Arial"/>
      <family val="2"/>
    </font>
    <font>
      <b/>
      <sz val="24"/>
      <color rgb="FFFFC000"/>
      <name val="Arial"/>
      <family val="2"/>
    </font>
    <font>
      <sz val="13"/>
      <color rgb="FF404040"/>
      <name val="Arial"/>
      <family val="2"/>
    </font>
    <font>
      <b/>
      <sz val="40"/>
      <color rgb="FFFFC000"/>
      <name val="Arial"/>
      <family val="2"/>
    </font>
    <font>
      <b/>
      <sz val="40"/>
      <color rgb="FFAA272F"/>
      <name val="Arial"/>
      <family val="2"/>
    </font>
    <font>
      <b/>
      <sz val="24"/>
      <color rgb="FFAA272F"/>
      <name val="Arial"/>
      <family val="2"/>
    </font>
    <font>
      <b/>
      <sz val="40"/>
      <color rgb="FF005172"/>
      <name val="Arial"/>
      <family val="2"/>
    </font>
    <font>
      <b/>
      <sz val="24"/>
      <color rgb="FF005172"/>
      <name val="Arial"/>
      <family val="2"/>
    </font>
    <font>
      <b/>
      <sz val="40"/>
      <color rgb="FF73A11F"/>
      <name val="Arial"/>
      <family val="2"/>
    </font>
    <font>
      <b/>
      <sz val="24"/>
      <color rgb="FF73A11F"/>
      <name val="Arial"/>
      <family val="2"/>
    </font>
    <font>
      <b/>
      <sz val="40"/>
      <color rgb="FF612141"/>
      <name val="Arial"/>
      <family val="2"/>
    </font>
    <font>
      <b/>
      <sz val="24"/>
      <color rgb="FF612141"/>
      <name val="Arial"/>
      <family val="2"/>
    </font>
    <font>
      <sz val="14.5"/>
      <color indexed="8"/>
      <name val="Arial"/>
      <family val="2"/>
    </font>
    <font>
      <b/>
      <sz val="14.5"/>
      <color rgb="FFFD9751"/>
      <name val="Arial"/>
      <family val="2"/>
    </font>
    <font>
      <b/>
      <sz val="14.5"/>
      <color rgb="FFBD3351"/>
      <name val="Arial"/>
      <family val="2"/>
    </font>
    <font>
      <b/>
      <sz val="14.5"/>
      <color rgb="FF005EBC"/>
      <name val="Arial"/>
      <family val="2"/>
    </font>
    <font>
      <b/>
      <sz val="14.5"/>
      <color rgb="FF5AB822"/>
      <name val="Arial"/>
      <family val="2"/>
    </font>
    <font>
      <b/>
      <sz val="14.5"/>
      <color rgb="FF54003E"/>
      <name val="Arial"/>
      <family val="2"/>
    </font>
  </fonts>
  <fills count="48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theme="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CCFFFF"/>
        <bgColor indexed="64"/>
      </patternFill>
    </fill>
    <fill>
      <patternFill patternType="solid">
        <fgColor rgb="FFC0FFFF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963634"/>
        <bgColor indexed="64"/>
      </patternFill>
    </fill>
    <fill>
      <patternFill patternType="solid">
        <fgColor rgb="FF31869B"/>
        <bgColor indexed="64"/>
      </patternFill>
    </fill>
    <fill>
      <patternFill patternType="solid">
        <fgColor rgb="FF4F6228"/>
        <bgColor indexed="64"/>
      </patternFill>
    </fill>
    <fill>
      <patternFill patternType="solid">
        <fgColor rgb="FF403151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5A5A5A"/>
        <bgColor indexed="64"/>
      </patternFill>
    </fill>
    <fill>
      <patternFill patternType="solid">
        <fgColor rgb="FFC55A11"/>
        <bgColor indexed="64"/>
      </patternFill>
    </fill>
    <fill>
      <patternFill patternType="solid">
        <fgColor rgb="FF2F5497"/>
        <bgColor indexed="64"/>
      </patternFill>
    </fill>
    <fill>
      <patternFill patternType="solid">
        <fgColor rgb="FF525252"/>
        <bgColor indexed="64"/>
      </patternFill>
    </fill>
    <fill>
      <patternFill patternType="solid">
        <fgColor rgb="FF806200"/>
        <bgColor indexed="64"/>
      </patternFill>
    </fill>
    <fill>
      <patternFill patternType="solid">
        <fgColor rgb="FF9CC3E6"/>
        <bgColor indexed="64"/>
      </patternFill>
    </fill>
    <fill>
      <patternFill patternType="solid">
        <fgColor rgb="FFAA272F"/>
        <bgColor indexed="64"/>
      </patternFill>
    </fill>
    <fill>
      <patternFill patternType="solid">
        <fgColor rgb="FFFDB533"/>
        <bgColor indexed="64"/>
      </patternFill>
    </fill>
    <fill>
      <patternFill patternType="solid">
        <fgColor rgb="FFCCCCFF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rgb="FFFFFFCD"/>
        <bgColor indexed="64"/>
      </patternFill>
    </fill>
    <fill>
      <patternFill patternType="solid">
        <fgColor rgb="FF993366"/>
        <bgColor indexed="64"/>
      </patternFill>
    </fill>
    <fill>
      <patternFill patternType="solid">
        <fgColor rgb="FFE17B82"/>
        <bgColor indexed="64"/>
      </patternFill>
    </fill>
    <fill>
      <patternFill patternType="solid">
        <fgColor rgb="FF003366"/>
        <bgColor indexed="64"/>
      </patternFill>
    </fill>
    <fill>
      <patternFill patternType="solid">
        <fgColor rgb="FF005172"/>
        <bgColor indexed="64"/>
      </patternFill>
    </fill>
    <fill>
      <patternFill patternType="solid">
        <fgColor rgb="FF658D1B"/>
        <bgColor indexed="64"/>
      </patternFill>
    </fill>
    <fill>
      <patternFill patternType="solid">
        <fgColor rgb="FFD789B0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993300"/>
        <bgColor indexed="64"/>
      </patternFill>
    </fill>
    <fill>
      <patternFill patternType="solid">
        <fgColor rgb="FFEDEDED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indexed="65"/>
        <bgColor indexed="64"/>
      </patternFill>
    </fill>
  </fills>
  <borders count="61">
    <border>
      <left/>
      <right/>
      <top/>
      <bottom/>
      <diagonal/>
    </border>
    <border>
      <left/>
      <right/>
      <top/>
      <bottom style="thick">
        <color theme="4" tint="0.499984740745262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808080"/>
      </left>
      <right/>
      <top style="thin">
        <color rgb="FF808080"/>
      </top>
      <bottom style="thin">
        <color rgb="FF808080"/>
      </bottom>
      <diagonal/>
    </border>
    <border>
      <left/>
      <right style="thin">
        <color rgb="FF808080"/>
      </right>
      <top style="thin">
        <color rgb="FF808080"/>
      </top>
      <bottom style="thin">
        <color rgb="FF808080"/>
      </bottom>
      <diagonal/>
    </border>
    <border>
      <left style="thin">
        <color rgb="FF808080"/>
      </left>
      <right style="thin">
        <color rgb="FF808080"/>
      </right>
      <top style="thin">
        <color rgb="FF808080"/>
      </top>
      <bottom style="thin">
        <color rgb="FF808080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rgb="FF808080"/>
      </top>
      <bottom style="thin">
        <color rgb="FF808080"/>
      </bottom>
      <diagonal/>
    </border>
    <border>
      <left style="thin">
        <color rgb="FF808080"/>
      </left>
      <right/>
      <top/>
      <bottom/>
      <diagonal/>
    </border>
    <border>
      <left/>
      <right/>
      <top/>
      <bottom style="thin">
        <color rgb="FF808080"/>
      </bottom>
      <diagonal/>
    </border>
    <border>
      <left/>
      <right style="thin">
        <color rgb="FF808080"/>
      </right>
      <top/>
      <bottom style="thin">
        <color rgb="FF808080"/>
      </bottom>
      <diagonal/>
    </border>
    <border>
      <left style="thin">
        <color rgb="FF808080"/>
      </left>
      <right style="thin">
        <color rgb="FF808080"/>
      </right>
      <top style="thin">
        <color rgb="FF808080"/>
      </top>
      <bottom/>
      <diagonal/>
    </border>
    <border>
      <left/>
      <right/>
      <top style="medium">
        <color rgb="FFA6A6A6"/>
      </top>
      <bottom style="medium">
        <color rgb="FFA6A6A6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 style="medium">
        <color rgb="FFA6A6A6"/>
      </top>
      <bottom/>
      <diagonal/>
    </border>
    <border>
      <left/>
      <right style="thin">
        <color rgb="FF000000"/>
      </right>
      <top style="medium">
        <color rgb="FFA6A6A6"/>
      </top>
      <bottom/>
      <diagonal/>
    </border>
    <border>
      <left style="thin">
        <color rgb="FF000000"/>
      </left>
      <right style="thin">
        <color rgb="FF000000"/>
      </right>
      <top style="medium">
        <color rgb="FFA6A6A6"/>
      </top>
      <bottom/>
      <diagonal/>
    </border>
    <border>
      <left style="thin">
        <color rgb="FF000000"/>
      </left>
      <right/>
      <top style="medium">
        <color rgb="FFA6A6A6"/>
      </top>
      <bottom/>
      <diagonal/>
    </border>
    <border>
      <left/>
      <right/>
      <top/>
      <bottom style="thin">
        <color rgb="FFA6A6A6"/>
      </bottom>
      <diagonal/>
    </border>
    <border>
      <left/>
      <right/>
      <top/>
      <bottom style="thick">
        <color rgb="FFAA272F"/>
      </bottom>
      <diagonal/>
    </border>
    <border>
      <left/>
      <right style="thin">
        <color rgb="FF000000"/>
      </right>
      <top/>
      <bottom/>
      <diagonal/>
    </border>
    <border>
      <left style="thin">
        <color rgb="FF000000"/>
      </left>
      <right style="thin">
        <color rgb="FF000000"/>
      </right>
      <top/>
      <bottom/>
      <diagonal/>
    </border>
    <border>
      <left style="thin">
        <color rgb="FF000000"/>
      </left>
      <right/>
      <top/>
      <bottom/>
      <diagonal/>
    </border>
    <border>
      <left/>
      <right/>
      <top style="thin">
        <color rgb="FFA6A6A6"/>
      </top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/>
      <top/>
      <bottom style="thin">
        <color rgb="FFFFFFFF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 style="thin">
        <color rgb="FFFFFFFF"/>
      </top>
      <bottom/>
      <diagonal/>
    </border>
    <border>
      <left/>
      <right/>
      <top/>
      <bottom style="medium">
        <color rgb="FFA6A6A6"/>
      </bottom>
      <diagonal/>
    </border>
    <border>
      <left/>
      <right style="thin">
        <color rgb="FF000000"/>
      </right>
      <top/>
      <bottom style="medium">
        <color rgb="FFA6A6A6"/>
      </bottom>
      <diagonal/>
    </border>
    <border>
      <left style="thin">
        <color rgb="FF000000"/>
      </left>
      <right style="thin">
        <color rgb="FF000000"/>
      </right>
      <top/>
      <bottom style="medium">
        <color rgb="FFA6A6A6"/>
      </bottom>
      <diagonal/>
    </border>
    <border>
      <left style="thin">
        <color rgb="FF000000"/>
      </left>
      <right/>
      <top/>
      <bottom style="medium">
        <color rgb="FFA6A6A6"/>
      </bottom>
      <diagonal/>
    </border>
    <border>
      <left/>
      <right/>
      <top/>
      <bottom style="thin">
        <color rgb="FFFFFFFF"/>
      </bottom>
      <diagonal/>
    </border>
    <border>
      <left/>
      <right/>
      <top style="thin">
        <color rgb="FFFFFFFF"/>
      </top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 style="thin">
        <color rgb="FF969696"/>
      </top>
      <bottom style="thin">
        <color rgb="FF969696"/>
      </bottom>
      <diagonal/>
    </border>
    <border>
      <left/>
      <right/>
      <top/>
      <bottom style="medium">
        <color rgb="FFFFC000"/>
      </bottom>
      <diagonal/>
    </border>
    <border>
      <left/>
      <right/>
      <top/>
      <bottom style="medium">
        <color rgb="FFAA272F"/>
      </bottom>
      <diagonal/>
    </border>
    <border>
      <left/>
      <right/>
      <top/>
      <bottom style="medium">
        <color rgb="FF005172"/>
      </bottom>
      <diagonal/>
    </border>
    <border>
      <left/>
      <right/>
      <top style="thin">
        <color rgb="FF969696"/>
      </top>
      <bottom/>
      <diagonal/>
    </border>
    <border>
      <left/>
      <right/>
      <top/>
      <bottom style="medium">
        <color rgb="FF73A11F"/>
      </bottom>
      <diagonal/>
    </border>
    <border>
      <left/>
      <right/>
      <top style="thin">
        <color rgb="FF969696"/>
      </top>
      <bottom style="medium">
        <color rgb="FF73A11F"/>
      </bottom>
      <diagonal/>
    </border>
    <border>
      <left/>
      <right/>
      <top/>
      <bottom style="medium">
        <color rgb="FF612141"/>
      </bottom>
      <diagonal/>
    </border>
    <border>
      <left/>
      <right/>
      <top style="medium">
        <color rgb="FF612141"/>
      </top>
      <bottom/>
      <diagonal/>
    </border>
    <border>
      <left/>
      <right/>
      <top style="thin">
        <color rgb="FFC8C8C8"/>
      </top>
      <bottom style="thin">
        <color rgb="FFC8C8C8"/>
      </bottom>
      <diagonal/>
    </border>
    <border>
      <left/>
      <right/>
      <top style="medium">
        <color rgb="FFFFC000"/>
      </top>
      <bottom/>
      <diagonal/>
    </border>
    <border>
      <left/>
      <right/>
      <top style="medium">
        <color rgb="FFAA272F"/>
      </top>
      <bottom/>
      <diagonal/>
    </border>
    <border>
      <left/>
      <right/>
      <top style="medium">
        <color rgb="FF005172"/>
      </top>
      <bottom/>
      <diagonal/>
    </border>
    <border>
      <left/>
      <right/>
      <top style="medium">
        <color rgb="FF73A11F"/>
      </top>
      <bottom/>
      <diagonal/>
    </border>
    <border>
      <left/>
      <right/>
      <top style="thin">
        <color theme="0" tint="-0.499984740745262"/>
      </top>
      <bottom/>
      <diagonal/>
    </border>
    <border>
      <left/>
      <right/>
      <top style="thin">
        <color theme="0" tint="-0.499984740745262"/>
      </top>
      <bottom style="thin">
        <color theme="0" tint="-0.499984740745262"/>
      </bottom>
      <diagonal/>
    </border>
  </borders>
  <cellStyleXfs count="7">
    <xf numFmtId="0" fontId="0" fillId="0" borderId="0"/>
    <xf numFmtId="0" fontId="1" fillId="0" borderId="0" applyNumberFormat="0" applyFill="0" applyBorder="0" applyAlignment="0" applyProtection="0"/>
    <xf numFmtId="0" fontId="2" fillId="0" borderId="1" applyNumberFormat="0" applyFill="0" applyAlignment="0" applyProtection="0"/>
    <xf numFmtId="0" fontId="3" fillId="2" borderId="2" applyNumberFormat="0" applyAlignment="0" applyProtection="0"/>
    <xf numFmtId="0" fontId="4" fillId="0" borderId="3" applyNumberFormat="0" applyFill="0" applyAlignment="0" applyProtection="0"/>
    <xf numFmtId="0" fontId="5" fillId="0" borderId="0"/>
    <xf numFmtId="9" fontId="21" fillId="0" borderId="0" applyFont="0" applyFill="0" applyBorder="0" applyAlignment="0" applyProtection="0"/>
  </cellStyleXfs>
  <cellXfs count="331">
    <xf numFmtId="0" fontId="0" fillId="0" borderId="0" xfId="0"/>
    <xf numFmtId="0" fontId="0" fillId="0" borderId="0" xfId="0" applyAlignment="1">
      <alignment horizontal="center"/>
    </xf>
    <xf numFmtId="0" fontId="4" fillId="0" borderId="0" xfId="0" applyFont="1" applyFill="1" applyBorder="1" applyAlignment="1">
      <alignment horizontal="center"/>
    </xf>
    <xf numFmtId="0" fontId="0" fillId="0" borderId="0" xfId="0" applyFill="1" applyAlignment="1">
      <alignment horizontal="center"/>
    </xf>
    <xf numFmtId="0" fontId="6" fillId="0" borderId="0" xfId="0" applyFont="1" applyFill="1" applyAlignment="1">
      <alignment horizontal="center"/>
    </xf>
    <xf numFmtId="0" fontId="3" fillId="2" borderId="2" xfId="3" applyAlignment="1">
      <alignment horizontal="center"/>
    </xf>
    <xf numFmtId="0" fontId="2" fillId="4" borderId="4" xfId="2" applyFill="1" applyBorder="1" applyAlignment="1">
      <alignment horizontal="center"/>
    </xf>
    <xf numFmtId="0" fontId="4" fillId="6" borderId="3" xfId="4" applyFill="1"/>
    <xf numFmtId="0" fontId="4" fillId="5" borderId="3" xfId="4" applyFill="1"/>
    <xf numFmtId="0" fontId="3" fillId="6" borderId="2" xfId="3" applyFill="1" applyAlignment="1">
      <alignment horizontal="center"/>
    </xf>
    <xf numFmtId="0" fontId="9" fillId="7" borderId="5" xfId="0" applyFont="1" applyFill="1" applyBorder="1" applyAlignment="1">
      <alignment horizontal="center" vertical="center"/>
    </xf>
    <xf numFmtId="0" fontId="12" fillId="8" borderId="4" xfId="0" applyFont="1" applyFill="1" applyBorder="1" applyAlignment="1">
      <alignment vertical="center" wrapText="1"/>
    </xf>
    <xf numFmtId="0" fontId="0" fillId="0" borderId="0" xfId="0" applyAlignment="1">
      <alignment vertical="center" wrapText="1"/>
    </xf>
    <xf numFmtId="0" fontId="0" fillId="0" borderId="0" xfId="0" applyAlignment="1">
      <alignment vertical="center"/>
    </xf>
    <xf numFmtId="0" fontId="12" fillId="10" borderId="4" xfId="0" applyFont="1" applyFill="1" applyBorder="1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12" fillId="8" borderId="4" xfId="0" applyFont="1" applyFill="1" applyBorder="1" applyAlignment="1">
      <alignment horizontal="center" vertical="center"/>
    </xf>
    <xf numFmtId="0" fontId="12" fillId="11" borderId="4" xfId="0" applyFont="1" applyFill="1" applyBorder="1" applyAlignment="1">
      <alignment horizontal="center" vertical="center"/>
    </xf>
    <xf numFmtId="0" fontId="9" fillId="7" borderId="4" xfId="0" applyFont="1" applyFill="1" applyBorder="1" applyAlignment="1">
      <alignment horizontal="center" vertical="center"/>
    </xf>
    <xf numFmtId="0" fontId="4" fillId="0" borderId="0" xfId="0" applyFont="1"/>
    <xf numFmtId="0" fontId="12" fillId="8" borderId="4" xfId="0" applyFont="1" applyFill="1" applyBorder="1" applyAlignment="1">
      <alignment horizontal="center" wrapText="1"/>
    </xf>
    <xf numFmtId="0" fontId="12" fillId="10" borderId="4" xfId="0" applyFont="1" applyFill="1" applyBorder="1" applyAlignment="1">
      <alignment horizontal="center" vertical="center" wrapText="1"/>
    </xf>
    <xf numFmtId="0" fontId="12" fillId="10" borderId="4" xfId="0" applyFont="1" applyFill="1" applyBorder="1" applyAlignment="1">
      <alignment horizontal="center" vertical="center" wrapText="1"/>
    </xf>
    <xf numFmtId="0" fontId="12" fillId="10" borderId="4" xfId="0" applyFont="1" applyFill="1" applyBorder="1" applyAlignment="1">
      <alignment horizontal="center" vertical="center" wrapText="1"/>
    </xf>
    <xf numFmtId="0" fontId="12" fillId="8" borderId="4" xfId="0" applyFont="1" applyFill="1" applyBorder="1" applyAlignment="1">
      <alignment horizontal="center"/>
    </xf>
    <xf numFmtId="0" fontId="12" fillId="8" borderId="4" xfId="0" applyFont="1" applyFill="1" applyBorder="1" applyAlignment="1">
      <alignment horizontal="center" vertical="center" wrapText="1"/>
    </xf>
    <xf numFmtId="1" fontId="14" fillId="17" borderId="13" xfId="0" applyNumberFormat="1" applyFont="1" applyFill="1" applyBorder="1" applyAlignment="1">
      <alignment horizontal="center" vertical="center" wrapText="1"/>
    </xf>
    <xf numFmtId="0" fontId="9" fillId="9" borderId="15" xfId="0" applyFont="1" applyFill="1" applyBorder="1" applyAlignment="1">
      <alignment horizontal="center" vertical="center"/>
    </xf>
    <xf numFmtId="0" fontId="17" fillId="8" borderId="5" xfId="0" applyFont="1" applyFill="1" applyBorder="1" applyAlignment="1">
      <alignment horizontal="center" vertical="center"/>
    </xf>
    <xf numFmtId="0" fontId="9" fillId="9" borderId="5" xfId="0" applyFont="1" applyFill="1" applyBorder="1" applyAlignment="1">
      <alignment horizontal="center" vertical="center"/>
    </xf>
    <xf numFmtId="0" fontId="3" fillId="6" borderId="2" xfId="3" applyFill="1" applyAlignment="1" applyProtection="1">
      <alignment horizontal="center"/>
      <protection locked="0"/>
    </xf>
    <xf numFmtId="0" fontId="3" fillId="2" borderId="2" xfId="3" applyAlignment="1" applyProtection="1">
      <alignment horizontal="center"/>
      <protection locked="0"/>
    </xf>
    <xf numFmtId="0" fontId="12" fillId="8" borderId="4" xfId="0" applyFont="1" applyFill="1" applyBorder="1" applyProtection="1">
      <protection locked="0"/>
    </xf>
    <xf numFmtId="0" fontId="12" fillId="9" borderId="4" xfId="0" applyFont="1" applyFill="1" applyBorder="1" applyAlignment="1" applyProtection="1">
      <alignment horizontal="center" vertical="center"/>
      <protection locked="0"/>
    </xf>
    <xf numFmtId="0" fontId="12" fillId="9" borderId="5" xfId="0" applyFont="1" applyFill="1" applyBorder="1" applyAlignment="1" applyProtection="1">
      <alignment horizontal="center" vertical="center"/>
      <protection locked="0"/>
    </xf>
    <xf numFmtId="0" fontId="18" fillId="13" borderId="0" xfId="0" applyFont="1" applyFill="1" applyAlignment="1">
      <alignment horizontal="right" vertical="center" wrapText="1"/>
    </xf>
    <xf numFmtId="0" fontId="13" fillId="0" borderId="13" xfId="0" applyFont="1" applyBorder="1" applyAlignment="1">
      <alignment horizontal="center" vertical="center" textRotation="90" wrapText="1"/>
    </xf>
    <xf numFmtId="0" fontId="20" fillId="14" borderId="16" xfId="0" applyFont="1" applyFill="1" applyBorder="1" applyAlignment="1">
      <alignment horizontal="right" vertical="center"/>
    </xf>
    <xf numFmtId="0" fontId="14" fillId="14" borderId="12" xfId="0" applyFont="1" applyFill="1" applyBorder="1" applyAlignment="1">
      <alignment horizontal="right" vertical="center"/>
    </xf>
    <xf numFmtId="0" fontId="14" fillId="14" borderId="13" xfId="0" applyFont="1" applyFill="1" applyBorder="1" applyAlignment="1">
      <alignment horizontal="center" vertical="center" wrapText="1"/>
    </xf>
    <xf numFmtId="0" fontId="0" fillId="0" borderId="0" xfId="0" applyAlignment="1">
      <alignment wrapText="1"/>
    </xf>
    <xf numFmtId="0" fontId="16" fillId="0" borderId="13" xfId="0" applyFont="1" applyBorder="1" applyAlignment="1">
      <alignment horizontal="center" vertical="center" wrapText="1"/>
    </xf>
    <xf numFmtId="0" fontId="16" fillId="0" borderId="13" xfId="0" applyFont="1" applyBorder="1" applyAlignment="1">
      <alignment horizontal="left"/>
    </xf>
    <xf numFmtId="0" fontId="0" fillId="0" borderId="0" xfId="0" applyProtection="1">
      <protection locked="0"/>
    </xf>
    <xf numFmtId="0" fontId="12" fillId="7" borderId="4" xfId="0" applyFont="1" applyFill="1" applyBorder="1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</xf>
    <xf numFmtId="0" fontId="0" fillId="0" borderId="0" xfId="0" applyProtection="1"/>
    <xf numFmtId="0" fontId="22" fillId="18" borderId="17" xfId="0" applyFont="1" applyFill="1" applyBorder="1" applyAlignment="1">
      <alignment vertical="center" wrapText="1"/>
    </xf>
    <xf numFmtId="0" fontId="13" fillId="0" borderId="13" xfId="0" applyFont="1" applyFill="1" applyBorder="1" applyAlignment="1">
      <alignment horizontal="center" vertical="center" textRotation="90" wrapText="1"/>
    </xf>
    <xf numFmtId="0" fontId="20" fillId="19" borderId="16" xfId="0" applyFont="1" applyFill="1" applyBorder="1" applyAlignment="1">
      <alignment horizontal="right" vertical="center"/>
    </xf>
    <xf numFmtId="0" fontId="14" fillId="19" borderId="12" xfId="0" applyFont="1" applyFill="1" applyBorder="1" applyAlignment="1">
      <alignment horizontal="right" vertical="center"/>
    </xf>
    <xf numFmtId="0" fontId="14" fillId="19" borderId="13" xfId="0" applyFont="1" applyFill="1" applyBorder="1" applyAlignment="1">
      <alignment horizontal="center" vertical="center" wrapText="1"/>
    </xf>
    <xf numFmtId="0" fontId="23" fillId="15" borderId="16" xfId="0" applyFont="1" applyFill="1" applyBorder="1" applyAlignment="1">
      <alignment horizontal="right" vertical="center"/>
    </xf>
    <xf numFmtId="0" fontId="15" fillId="15" borderId="12" xfId="0" applyFont="1" applyFill="1" applyBorder="1" applyAlignment="1">
      <alignment horizontal="right" vertical="center"/>
    </xf>
    <xf numFmtId="0" fontId="15" fillId="15" borderId="13" xfId="0" applyFont="1" applyFill="1" applyBorder="1" applyAlignment="1">
      <alignment horizontal="center" vertical="center" wrapText="1"/>
    </xf>
    <xf numFmtId="0" fontId="24" fillId="13" borderId="17" xfId="0" applyFont="1" applyFill="1" applyBorder="1" applyAlignment="1">
      <alignment vertical="center" wrapText="1"/>
    </xf>
    <xf numFmtId="1" fontId="25" fillId="0" borderId="14" xfId="0" applyNumberFormat="1" applyFont="1" applyFill="1" applyBorder="1" applyAlignment="1">
      <alignment horizontal="center" vertical="center" wrapText="1"/>
    </xf>
    <xf numFmtId="1" fontId="14" fillId="0" borderId="13" xfId="0" applyNumberFormat="1" applyFont="1" applyFill="1" applyBorder="1" applyAlignment="1">
      <alignment horizontal="center" vertical="center" wrapText="1"/>
    </xf>
    <xf numFmtId="0" fontId="18" fillId="14" borderId="20" xfId="0" applyFont="1" applyFill="1" applyBorder="1" applyAlignment="1">
      <alignment horizontal="center" vertical="center" wrapText="1"/>
    </xf>
    <xf numFmtId="1" fontId="27" fillId="0" borderId="14" xfId="0" applyNumberFormat="1" applyFont="1" applyFill="1" applyBorder="1" applyAlignment="1">
      <alignment horizontal="center" vertical="center" wrapText="1"/>
    </xf>
    <xf numFmtId="1" fontId="14" fillId="0" borderId="13" xfId="0" applyNumberFormat="1" applyFont="1" applyFill="1" applyBorder="1" applyAlignment="1">
      <alignment horizontal="center" vertical="center"/>
    </xf>
    <xf numFmtId="1" fontId="15" fillId="15" borderId="13" xfId="0" applyNumberFormat="1" applyFont="1" applyFill="1" applyBorder="1" applyAlignment="1">
      <alignment horizontal="center" vertical="center" wrapText="1"/>
    </xf>
    <xf numFmtId="1" fontId="22" fillId="18" borderId="17" xfId="0" applyNumberFormat="1" applyFont="1" applyFill="1" applyBorder="1" applyAlignment="1">
      <alignment vertical="center" wrapText="1"/>
    </xf>
    <xf numFmtId="0" fontId="12" fillId="7" borderId="4" xfId="0" applyFont="1" applyFill="1" applyBorder="1" applyAlignment="1" applyProtection="1">
      <alignment horizontal="center"/>
    </xf>
    <xf numFmtId="0" fontId="12" fillId="12" borderId="4" xfId="0" applyFont="1" applyFill="1" applyBorder="1" applyAlignment="1" applyProtection="1">
      <alignment horizontal="center"/>
      <protection locked="0"/>
    </xf>
    <xf numFmtId="0" fontId="17" fillId="12" borderId="5" xfId="0" applyFont="1" applyFill="1" applyBorder="1" applyAlignment="1" applyProtection="1">
      <alignment horizontal="center" vertical="center"/>
      <protection locked="0"/>
    </xf>
    <xf numFmtId="164" fontId="14" fillId="19" borderId="13" xfId="6" applyNumberFormat="1" applyFont="1" applyFill="1" applyBorder="1" applyAlignment="1">
      <alignment horizontal="center" vertical="center" wrapText="1"/>
    </xf>
    <xf numFmtId="164" fontId="15" fillId="15" borderId="13" xfId="6" applyNumberFormat="1" applyFont="1" applyFill="1" applyBorder="1" applyAlignment="1">
      <alignment horizontal="center" vertical="center" wrapText="1"/>
    </xf>
    <xf numFmtId="164" fontId="16" fillId="19" borderId="13" xfId="6" applyNumberFormat="1" applyFont="1" applyFill="1" applyBorder="1" applyAlignment="1">
      <alignment horizontal="center" vertical="center" wrapText="1"/>
    </xf>
    <xf numFmtId="164" fontId="14" fillId="19" borderId="13" xfId="0" applyNumberFormat="1" applyFont="1" applyFill="1" applyBorder="1" applyAlignment="1">
      <alignment horizontal="center" vertical="center" wrapText="1"/>
    </xf>
    <xf numFmtId="0" fontId="28" fillId="25" borderId="21" xfId="0" applyFont="1" applyFill="1" applyBorder="1" applyAlignment="1">
      <alignment horizontal="center" vertical="center" wrapText="1"/>
    </xf>
    <xf numFmtId="0" fontId="29" fillId="26" borderId="0" xfId="0" applyFont="1" applyFill="1" applyAlignment="1">
      <alignment horizontal="center" vertical="center" wrapText="1"/>
    </xf>
    <xf numFmtId="0" fontId="14" fillId="16" borderId="22" xfId="0" applyFont="1" applyFill="1" applyBorder="1" applyAlignment="1">
      <alignment horizontal="center" vertical="center" wrapText="1"/>
    </xf>
    <xf numFmtId="0" fontId="30" fillId="27" borderId="22" xfId="0" applyFont="1" applyFill="1" applyBorder="1" applyAlignment="1">
      <alignment horizontal="center" vertical="center" wrapText="1"/>
    </xf>
    <xf numFmtId="0" fontId="30" fillId="28" borderId="22" xfId="0" applyFont="1" applyFill="1" applyBorder="1" applyAlignment="1">
      <alignment horizontal="center" vertical="center" wrapText="1"/>
    </xf>
    <xf numFmtId="0" fontId="30" fillId="29" borderId="22" xfId="0" applyFont="1" applyFill="1" applyBorder="1" applyAlignment="1">
      <alignment horizontal="center" vertical="center" wrapText="1"/>
    </xf>
    <xf numFmtId="0" fontId="30" fillId="30" borderId="22" xfId="0" applyFont="1" applyFill="1" applyBorder="1" applyAlignment="1">
      <alignment horizontal="center" vertical="center" wrapText="1"/>
    </xf>
    <xf numFmtId="0" fontId="14" fillId="31" borderId="22" xfId="0" applyFont="1" applyFill="1" applyBorder="1" applyAlignment="1">
      <alignment horizontal="center" vertical="center" wrapText="1"/>
    </xf>
    <xf numFmtId="0" fontId="29" fillId="32" borderId="0" xfId="0" applyFont="1" applyFill="1" applyAlignment="1">
      <alignment horizontal="center" vertical="center" wrapText="1"/>
    </xf>
    <xf numFmtId="0" fontId="35" fillId="13" borderId="27" xfId="0" applyFont="1" applyFill="1" applyBorder="1" applyAlignment="1">
      <alignment horizontal="center" vertical="center"/>
    </xf>
    <xf numFmtId="0" fontId="36" fillId="13" borderId="27" xfId="0" applyFont="1" applyFill="1" applyBorder="1" applyAlignment="1">
      <alignment horizontal="left" vertical="center" wrapText="1"/>
    </xf>
    <xf numFmtId="1" fontId="37" fillId="13" borderId="27" xfId="0" applyNumberFormat="1" applyFont="1" applyFill="1" applyBorder="1" applyAlignment="1">
      <alignment horizontal="center" vertical="center"/>
    </xf>
    <xf numFmtId="1" fontId="37" fillId="35" borderId="27" xfId="0" applyNumberFormat="1" applyFont="1" applyFill="1" applyBorder="1" applyAlignment="1">
      <alignment horizontal="center" vertical="center"/>
    </xf>
    <xf numFmtId="1" fontId="38" fillId="36" borderId="0" xfId="0" applyNumberFormat="1" applyFont="1" applyFill="1" applyAlignment="1">
      <alignment horizontal="center" vertical="center" wrapText="1"/>
    </xf>
    <xf numFmtId="1" fontId="32" fillId="13" borderId="0" xfId="0" applyNumberFormat="1" applyFont="1" applyFill="1" applyAlignment="1">
      <alignment horizontal="center" vertical="center" wrapText="1"/>
    </xf>
    <xf numFmtId="0" fontId="32" fillId="13" borderId="28" xfId="0" applyFont="1" applyFill="1" applyBorder="1" applyAlignment="1">
      <alignment horizontal="left" vertical="center" wrapText="1"/>
    </xf>
    <xf numFmtId="9" fontId="32" fillId="13" borderId="28" xfId="0" applyNumberFormat="1" applyFont="1" applyFill="1" applyBorder="1" applyAlignment="1">
      <alignment horizontal="left" vertical="center" wrapText="1"/>
    </xf>
    <xf numFmtId="10" fontId="32" fillId="13" borderId="28" xfId="0" applyNumberFormat="1" applyFont="1" applyFill="1" applyBorder="1" applyAlignment="1">
      <alignment horizontal="left" vertical="center" wrapText="1"/>
    </xf>
    <xf numFmtId="16" fontId="32" fillId="13" borderId="28" xfId="0" applyNumberFormat="1" applyFont="1" applyFill="1" applyBorder="1" applyAlignment="1">
      <alignment horizontal="left" vertical="center" wrapText="1"/>
    </xf>
    <xf numFmtId="0" fontId="34" fillId="0" borderId="27" xfId="0" applyFont="1" applyBorder="1" applyAlignment="1">
      <alignment horizontal="center" vertical="center" wrapText="1"/>
    </xf>
    <xf numFmtId="1" fontId="32" fillId="36" borderId="0" xfId="0" applyNumberFormat="1" applyFont="1" applyFill="1" applyAlignment="1">
      <alignment horizontal="center" vertical="center" wrapText="1"/>
    </xf>
    <xf numFmtId="1" fontId="37" fillId="14" borderId="27" xfId="0" applyNumberFormat="1" applyFont="1" applyFill="1" applyBorder="1" applyAlignment="1">
      <alignment horizontal="center" vertical="center"/>
    </xf>
    <xf numFmtId="0" fontId="40" fillId="0" borderId="27" xfId="0" applyFont="1" applyBorder="1" applyAlignment="1">
      <alignment horizontal="center" vertical="center" wrapText="1"/>
    </xf>
    <xf numFmtId="1" fontId="37" fillId="43" borderId="27" xfId="0" applyNumberFormat="1" applyFont="1" applyFill="1" applyBorder="1" applyAlignment="1">
      <alignment horizontal="center" vertical="center"/>
    </xf>
    <xf numFmtId="0" fontId="42" fillId="17" borderId="22" xfId="0" applyFont="1" applyFill="1" applyBorder="1" applyAlignment="1">
      <alignment horizontal="left" vertical="center" wrapText="1"/>
    </xf>
    <xf numFmtId="1" fontId="43" fillId="17" borderId="22" xfId="0" applyNumberFormat="1" applyFont="1" applyFill="1" applyBorder="1" applyAlignment="1">
      <alignment horizontal="center" vertical="center" wrapText="1"/>
    </xf>
    <xf numFmtId="0" fontId="29" fillId="44" borderId="0" xfId="0" applyFont="1" applyFill="1" applyAlignment="1">
      <alignment horizontal="left" vertical="center" wrapText="1"/>
    </xf>
    <xf numFmtId="1" fontId="29" fillId="44" borderId="0" xfId="0" applyNumberFormat="1" applyFont="1" applyFill="1" applyAlignment="1">
      <alignment horizontal="center" vertical="center" wrapText="1"/>
    </xf>
    <xf numFmtId="1" fontId="30" fillId="33" borderId="22" xfId="0" applyNumberFormat="1" applyFont="1" applyFill="1" applyBorder="1" applyAlignment="1">
      <alignment horizontal="center" vertical="center" wrapText="1"/>
    </xf>
    <xf numFmtId="1" fontId="30" fillId="38" borderId="22" xfId="0" applyNumberFormat="1" applyFont="1" applyFill="1" applyBorder="1" applyAlignment="1">
      <alignment horizontal="center" vertical="center" wrapText="1"/>
    </xf>
    <xf numFmtId="1" fontId="30" fillId="40" borderId="22" xfId="0" applyNumberFormat="1" applyFont="1" applyFill="1" applyBorder="1" applyAlignment="1">
      <alignment horizontal="center" vertical="center" wrapText="1"/>
    </xf>
    <xf numFmtId="1" fontId="30" fillId="41" borderId="22" xfId="0" applyNumberFormat="1" applyFont="1" applyFill="1" applyBorder="1" applyAlignment="1">
      <alignment horizontal="center" vertical="center" wrapText="1"/>
    </xf>
    <xf numFmtId="1" fontId="30" fillId="42" borderId="22" xfId="0" applyNumberFormat="1" applyFont="1" applyFill="1" applyBorder="1" applyAlignment="1">
      <alignment horizontal="center" vertical="center" wrapText="1"/>
    </xf>
    <xf numFmtId="0" fontId="44" fillId="45" borderId="0" xfId="0" applyFont="1" applyFill="1" applyAlignment="1">
      <alignment horizontal="center" vertical="center" wrapText="1"/>
    </xf>
    <xf numFmtId="0" fontId="45" fillId="13" borderId="0" xfId="0" applyFont="1" applyFill="1" applyAlignment="1">
      <alignment horizontal="left" vertical="center" wrapText="1"/>
    </xf>
    <xf numFmtId="0" fontId="46" fillId="13" borderId="0" xfId="0" applyFont="1" applyFill="1" applyAlignment="1">
      <alignment horizontal="left" vertical="center" wrapText="1"/>
    </xf>
    <xf numFmtId="1" fontId="31" fillId="13" borderId="0" xfId="0" applyNumberFormat="1" applyFont="1" applyFill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47" fillId="0" borderId="0" xfId="0" applyFont="1"/>
    <xf numFmtId="0" fontId="47" fillId="46" borderId="46" xfId="0" applyFont="1" applyFill="1" applyBorder="1" applyAlignment="1">
      <alignment horizontal="center" vertical="center" wrapText="1"/>
    </xf>
    <xf numFmtId="0" fontId="54" fillId="0" borderId="0" xfId="0" applyFont="1"/>
    <xf numFmtId="1" fontId="54" fillId="46" borderId="0" xfId="0" applyNumberFormat="1" applyFont="1" applyFill="1" applyBorder="1" applyAlignment="1">
      <alignment horizontal="center" vertical="center" wrapText="1"/>
    </xf>
    <xf numFmtId="1" fontId="54" fillId="46" borderId="45" xfId="0" applyNumberFormat="1" applyFont="1" applyFill="1" applyBorder="1" applyAlignment="1">
      <alignment horizontal="center" vertical="center" wrapText="1"/>
    </xf>
    <xf numFmtId="1" fontId="54" fillId="46" borderId="48" xfId="0" applyNumberFormat="1" applyFont="1" applyFill="1" applyBorder="1" applyAlignment="1">
      <alignment horizontal="center" vertical="center" wrapText="1"/>
    </xf>
    <xf numFmtId="1" fontId="54" fillId="46" borderId="49" xfId="0" applyNumberFormat="1" applyFont="1" applyFill="1" applyBorder="1" applyAlignment="1">
      <alignment horizontal="center" vertical="center" wrapText="1"/>
    </xf>
    <xf numFmtId="1" fontId="54" fillId="47" borderId="0" xfId="0" applyNumberFormat="1" applyFont="1" applyFill="1" applyBorder="1" applyAlignment="1">
      <alignment horizontal="center" vertical="center" wrapText="1"/>
    </xf>
    <xf numFmtId="1" fontId="54" fillId="47" borderId="45" xfId="0" applyNumberFormat="1" applyFont="1" applyFill="1" applyBorder="1" applyAlignment="1">
      <alignment horizontal="center" vertical="center" wrapText="1"/>
    </xf>
    <xf numFmtId="1" fontId="54" fillId="47" borderId="49" xfId="0" applyNumberFormat="1" applyFont="1" applyFill="1" applyBorder="1" applyAlignment="1">
      <alignment horizontal="center" vertical="center" wrapText="1"/>
    </xf>
    <xf numFmtId="1" fontId="49" fillId="46" borderId="0" xfId="0" applyNumberFormat="1" applyFont="1" applyFill="1" applyBorder="1" applyAlignment="1">
      <alignment vertical="center" wrapText="1"/>
    </xf>
    <xf numFmtId="1" fontId="49" fillId="46" borderId="45" xfId="0" applyNumberFormat="1" applyFont="1" applyFill="1" applyBorder="1" applyAlignment="1">
      <alignment vertical="center" wrapText="1"/>
    </xf>
    <xf numFmtId="1" fontId="49" fillId="46" borderId="48" xfId="0" applyNumberFormat="1" applyFont="1" applyFill="1" applyBorder="1" applyAlignment="1">
      <alignment vertical="center" wrapText="1"/>
    </xf>
    <xf numFmtId="1" fontId="51" fillId="46" borderId="0" xfId="0" applyNumberFormat="1" applyFont="1" applyFill="1" applyBorder="1" applyAlignment="1">
      <alignment vertical="center" wrapText="1"/>
    </xf>
    <xf numFmtId="1" fontId="51" fillId="46" borderId="49" xfId="0" applyNumberFormat="1" applyFont="1" applyFill="1" applyBorder="1" applyAlignment="1">
      <alignment vertical="center" wrapText="1"/>
    </xf>
    <xf numFmtId="1" fontId="54" fillId="47" borderId="47" xfId="0" applyNumberFormat="1" applyFont="1" applyFill="1" applyBorder="1" applyAlignment="1">
      <alignment horizontal="center" vertical="center" wrapText="1"/>
    </xf>
    <xf numFmtId="1" fontId="48" fillId="47" borderId="0" xfId="0" applyNumberFormat="1" applyFont="1" applyFill="1" applyBorder="1" applyAlignment="1">
      <alignment vertical="center" wrapText="1"/>
    </xf>
    <xf numFmtId="1" fontId="48" fillId="47" borderId="45" xfId="0" applyNumberFormat="1" applyFont="1" applyFill="1" applyBorder="1" applyAlignment="1">
      <alignment vertical="center" wrapText="1"/>
    </xf>
    <xf numFmtId="1" fontId="48" fillId="47" borderId="47" xfId="0" applyNumberFormat="1" applyFont="1" applyFill="1" applyBorder="1" applyAlignment="1">
      <alignment vertical="center" wrapText="1"/>
    </xf>
    <xf numFmtId="1" fontId="54" fillId="47" borderId="51" xfId="0" applyNumberFormat="1" applyFont="1" applyFill="1" applyBorder="1" applyAlignment="1">
      <alignment horizontal="center" vertical="center" wrapText="1"/>
    </xf>
    <xf numFmtId="1" fontId="54" fillId="47" borderId="53" xfId="0" applyNumberFormat="1" applyFont="1" applyFill="1" applyBorder="1" applyAlignment="1">
      <alignment horizontal="center" vertical="center" wrapText="1"/>
    </xf>
    <xf numFmtId="1" fontId="54" fillId="47" borderId="54" xfId="0" applyNumberFormat="1" applyFont="1" applyFill="1" applyBorder="1" applyAlignment="1">
      <alignment horizontal="center" vertical="center" wrapText="1"/>
    </xf>
    <xf numFmtId="1" fontId="54" fillId="47" borderId="52" xfId="0" applyNumberFormat="1" applyFont="1" applyFill="1" applyBorder="1" applyAlignment="1">
      <alignment horizontal="center" vertical="center" wrapText="1"/>
    </xf>
    <xf numFmtId="1" fontId="50" fillId="47" borderId="0" xfId="0" applyNumberFormat="1" applyFont="1" applyFill="1" applyBorder="1" applyAlignment="1">
      <alignment vertical="center" wrapText="1"/>
    </xf>
    <xf numFmtId="1" fontId="50" fillId="47" borderId="49" xfId="0" applyNumberFormat="1" applyFont="1" applyFill="1" applyBorder="1" applyAlignment="1">
      <alignment vertical="center" wrapText="1"/>
    </xf>
    <xf numFmtId="1" fontId="50" fillId="47" borderId="51" xfId="0" applyNumberFormat="1" applyFont="1" applyFill="1" applyBorder="1" applyAlignment="1">
      <alignment vertical="center" wrapText="1"/>
    </xf>
    <xf numFmtId="1" fontId="52" fillId="47" borderId="53" xfId="0" applyNumberFormat="1" applyFont="1" applyFill="1" applyBorder="1" applyAlignment="1">
      <alignment vertical="center" wrapText="1"/>
    </xf>
    <xf numFmtId="1" fontId="52" fillId="47" borderId="54" xfId="0" applyNumberFormat="1" applyFont="1" applyFill="1" applyBorder="1" applyAlignment="1">
      <alignment vertical="center" wrapText="1"/>
    </xf>
    <xf numFmtId="1" fontId="52" fillId="47" borderId="52" xfId="0" applyNumberFormat="1" applyFont="1" applyFill="1" applyBorder="1" applyAlignment="1">
      <alignment vertical="center" wrapText="1"/>
    </xf>
    <xf numFmtId="0" fontId="28" fillId="25" borderId="21" xfId="0" applyFont="1" applyFill="1" applyBorder="1" applyAlignment="1">
      <alignment horizontal="center" vertical="center" wrapText="1"/>
    </xf>
    <xf numFmtId="0" fontId="34" fillId="0" borderId="27" xfId="0" applyFont="1" applyBorder="1" applyAlignment="1">
      <alignment horizontal="center" vertical="center" wrapText="1"/>
    </xf>
    <xf numFmtId="0" fontId="40" fillId="0" borderId="27" xfId="0" applyFont="1" applyBorder="1" applyAlignment="1">
      <alignment horizontal="center" vertical="center" wrapText="1"/>
    </xf>
    <xf numFmtId="0" fontId="46" fillId="13" borderId="0" xfId="0" applyFont="1" applyFill="1" applyAlignment="1">
      <alignment horizontal="left" vertical="center" wrapText="1"/>
    </xf>
    <xf numFmtId="0" fontId="44" fillId="45" borderId="0" xfId="0" applyFont="1" applyFill="1" applyAlignment="1">
      <alignment horizontal="center" vertical="center" wrapText="1"/>
    </xf>
    <xf numFmtId="0" fontId="47" fillId="46" borderId="46" xfId="0" applyFont="1" applyFill="1" applyBorder="1" applyAlignment="1">
      <alignment vertical="center" wrapText="1"/>
    </xf>
    <xf numFmtId="0" fontId="65" fillId="0" borderId="59" xfId="0" applyFont="1" applyBorder="1"/>
    <xf numFmtId="1" fontId="64" fillId="0" borderId="59" xfId="0" applyNumberFormat="1" applyFont="1" applyFill="1" applyBorder="1" applyAlignment="1">
      <alignment horizontal="center" vertical="center" wrapText="1"/>
    </xf>
    <xf numFmtId="1" fontId="64" fillId="0" borderId="60" xfId="0" applyNumberFormat="1" applyFont="1" applyFill="1" applyBorder="1" applyAlignment="1">
      <alignment horizontal="center" vertical="center" wrapText="1"/>
    </xf>
    <xf numFmtId="0" fontId="66" fillId="0" borderId="59" xfId="0" applyFont="1" applyBorder="1"/>
    <xf numFmtId="0" fontId="67" fillId="0" borderId="59" xfId="0" applyFont="1" applyBorder="1"/>
    <xf numFmtId="0" fontId="68" fillId="0" borderId="59" xfId="0" applyFont="1" applyBorder="1"/>
    <xf numFmtId="0" fontId="69" fillId="0" borderId="60" xfId="0" applyFont="1" applyBorder="1"/>
    <xf numFmtId="1" fontId="14" fillId="17" borderId="0" xfId="0" applyNumberFormat="1" applyFont="1" applyFill="1" applyBorder="1" applyAlignment="1">
      <alignment horizontal="center" vertical="center" wrapText="1"/>
    </xf>
    <xf numFmtId="0" fontId="14" fillId="14" borderId="0" xfId="0" applyFont="1" applyFill="1" applyBorder="1" applyAlignment="1">
      <alignment horizontal="center" vertical="center" wrapText="1"/>
    </xf>
    <xf numFmtId="1" fontId="15" fillId="15" borderId="0" xfId="0" applyNumberFormat="1" applyFont="1" applyFill="1" applyBorder="1" applyAlignment="1">
      <alignment horizontal="center" vertical="center" wrapText="1"/>
    </xf>
    <xf numFmtId="0" fontId="15" fillId="15" borderId="0" xfId="0" applyFont="1" applyFill="1" applyBorder="1" applyAlignment="1">
      <alignment horizontal="center" vertical="center" wrapText="1"/>
    </xf>
    <xf numFmtId="0" fontId="13" fillId="0" borderId="0" xfId="0" applyFont="1" applyBorder="1" applyAlignment="1">
      <alignment horizontal="center" vertical="center" wrapText="1"/>
    </xf>
    <xf numFmtId="0" fontId="28" fillId="0" borderId="0" xfId="0" applyFont="1" applyBorder="1" applyAlignment="1">
      <alignment horizontal="center" vertical="center" wrapText="1"/>
    </xf>
    <xf numFmtId="1" fontId="27" fillId="0" borderId="0" xfId="0" applyNumberFormat="1" applyFont="1" applyFill="1" applyBorder="1" applyAlignment="1">
      <alignment horizontal="center" vertical="center" wrapText="1"/>
    </xf>
    <xf numFmtId="0" fontId="13" fillId="0" borderId="0" xfId="0" applyFont="1" applyFill="1" applyBorder="1" applyAlignment="1">
      <alignment horizontal="center" vertical="center" wrapText="1"/>
    </xf>
    <xf numFmtId="0" fontId="28" fillId="0" borderId="0" xfId="0" applyFont="1" applyFill="1" applyBorder="1" applyAlignment="1">
      <alignment horizontal="center" vertical="center" wrapText="1"/>
    </xf>
    <xf numFmtId="0" fontId="7" fillId="3" borderId="4" xfId="1" applyFont="1" applyFill="1" applyBorder="1" applyAlignment="1">
      <alignment horizontal="center"/>
    </xf>
    <xf numFmtId="0" fontId="26" fillId="22" borderId="11" xfId="0" applyFont="1" applyFill="1" applyBorder="1" applyAlignment="1">
      <alignment horizontal="right" vertical="center" wrapText="1"/>
    </xf>
    <xf numFmtId="0" fontId="26" fillId="22" borderId="16" xfId="0" applyFont="1" applyFill="1" applyBorder="1" applyAlignment="1">
      <alignment horizontal="right" vertical="center" wrapText="1"/>
    </xf>
    <xf numFmtId="0" fontId="26" fillId="22" borderId="12" xfId="0" applyFont="1" applyFill="1" applyBorder="1" applyAlignment="1">
      <alignment horizontal="right" vertical="center" wrapText="1"/>
    </xf>
    <xf numFmtId="0" fontId="26" fillId="23" borderId="11" xfId="0" applyFont="1" applyFill="1" applyBorder="1" applyAlignment="1">
      <alignment horizontal="right" vertical="center" wrapText="1"/>
    </xf>
    <xf numFmtId="0" fontId="26" fillId="23" borderId="16" xfId="0" applyFont="1" applyFill="1" applyBorder="1" applyAlignment="1">
      <alignment horizontal="right" vertical="center" wrapText="1"/>
    </xf>
    <xf numFmtId="0" fontId="26" fillId="23" borderId="12" xfId="0" applyFont="1" applyFill="1" applyBorder="1" applyAlignment="1">
      <alignment horizontal="right" vertical="center" wrapText="1"/>
    </xf>
    <xf numFmtId="0" fontId="19" fillId="13" borderId="18" xfId="0" applyFont="1" applyFill="1" applyBorder="1" applyAlignment="1">
      <alignment horizontal="left" vertical="center" wrapText="1"/>
    </xf>
    <xf numFmtId="0" fontId="19" fillId="13" borderId="19" xfId="0" applyFont="1" applyFill="1" applyBorder="1" applyAlignment="1">
      <alignment horizontal="left" vertical="center" wrapText="1"/>
    </xf>
    <xf numFmtId="0" fontId="18" fillId="13" borderId="0" xfId="0" applyFont="1" applyFill="1" applyAlignment="1">
      <alignment horizontal="left" vertical="center" wrapText="1"/>
    </xf>
    <xf numFmtId="0" fontId="16" fillId="16" borderId="11" xfId="0" applyFont="1" applyFill="1" applyBorder="1" applyAlignment="1">
      <alignment horizontal="right" vertical="center" wrapText="1"/>
    </xf>
    <xf numFmtId="0" fontId="16" fillId="16" borderId="16" xfId="0" applyFont="1" applyFill="1" applyBorder="1" applyAlignment="1">
      <alignment horizontal="right" vertical="center" wrapText="1"/>
    </xf>
    <xf numFmtId="0" fontId="16" fillId="16" borderId="12" xfId="0" applyFont="1" applyFill="1" applyBorder="1" applyAlignment="1">
      <alignment horizontal="right" vertical="center" wrapText="1"/>
    </xf>
    <xf numFmtId="0" fontId="26" fillId="20" borderId="11" xfId="0" applyFont="1" applyFill="1" applyBorder="1" applyAlignment="1">
      <alignment horizontal="right" vertical="center" wrapText="1"/>
    </xf>
    <xf numFmtId="0" fontId="26" fillId="20" borderId="16" xfId="0" applyFont="1" applyFill="1" applyBorder="1" applyAlignment="1">
      <alignment horizontal="right" vertical="center" wrapText="1"/>
    </xf>
    <xf numFmtId="0" fontId="26" fillId="20" borderId="12" xfId="0" applyFont="1" applyFill="1" applyBorder="1" applyAlignment="1">
      <alignment horizontal="right" vertical="center" wrapText="1"/>
    </xf>
    <xf numFmtId="0" fontId="18" fillId="14" borderId="11" xfId="0" applyFont="1" applyFill="1" applyBorder="1" applyAlignment="1">
      <alignment horizontal="center" vertical="center" wrapText="1"/>
    </xf>
    <xf numFmtId="0" fontId="18" fillId="14" borderId="16" xfId="0" applyFont="1" applyFill="1" applyBorder="1" applyAlignment="1">
      <alignment horizontal="center" vertical="center" wrapText="1"/>
    </xf>
    <xf numFmtId="0" fontId="18" fillId="14" borderId="12" xfId="0" applyFont="1" applyFill="1" applyBorder="1" applyAlignment="1">
      <alignment horizontal="center" vertical="center" wrapText="1"/>
    </xf>
    <xf numFmtId="0" fontId="26" fillId="21" borderId="11" xfId="0" applyFont="1" applyFill="1" applyBorder="1" applyAlignment="1">
      <alignment horizontal="right" vertical="center" wrapText="1"/>
    </xf>
    <xf numFmtId="0" fontId="26" fillId="21" borderId="16" xfId="0" applyFont="1" applyFill="1" applyBorder="1" applyAlignment="1">
      <alignment horizontal="right" vertical="center" wrapText="1"/>
    </xf>
    <xf numFmtId="0" fontId="26" fillId="21" borderId="12" xfId="0" applyFont="1" applyFill="1" applyBorder="1" applyAlignment="1">
      <alignment horizontal="right" vertical="center" wrapText="1"/>
    </xf>
    <xf numFmtId="0" fontId="14" fillId="14" borderId="11" xfId="0" applyFont="1" applyFill="1" applyBorder="1" applyAlignment="1">
      <alignment horizontal="center" vertical="center" wrapText="1"/>
    </xf>
    <xf numFmtId="0" fontId="14" fillId="14" borderId="16" xfId="0" applyFont="1" applyFill="1" applyBorder="1" applyAlignment="1">
      <alignment horizontal="center" vertical="center" wrapText="1"/>
    </xf>
    <xf numFmtId="0" fontId="14" fillId="14" borderId="12" xfId="0" applyFont="1" applyFill="1" applyBorder="1" applyAlignment="1">
      <alignment horizontal="center" vertical="center" wrapText="1"/>
    </xf>
    <xf numFmtId="0" fontId="15" fillId="15" borderId="11" xfId="0" applyFont="1" applyFill="1" applyBorder="1" applyAlignment="1">
      <alignment horizontal="center" vertical="center" wrapText="1"/>
    </xf>
    <xf numFmtId="0" fontId="15" fillId="15" borderId="16" xfId="0" applyFont="1" applyFill="1" applyBorder="1" applyAlignment="1">
      <alignment horizontal="center" vertical="center" wrapText="1"/>
    </xf>
    <xf numFmtId="0" fontId="15" fillId="15" borderId="12" xfId="0" applyFont="1" applyFill="1" applyBorder="1" applyAlignment="1">
      <alignment horizontal="center" vertical="center" wrapText="1"/>
    </xf>
    <xf numFmtId="0" fontId="16" fillId="17" borderId="11" xfId="0" applyFont="1" applyFill="1" applyBorder="1" applyAlignment="1">
      <alignment horizontal="right" vertical="center" wrapText="1"/>
    </xf>
    <xf numFmtId="0" fontId="16" fillId="17" borderId="16" xfId="0" applyFont="1" applyFill="1" applyBorder="1" applyAlignment="1">
      <alignment horizontal="right" vertical="center" wrapText="1"/>
    </xf>
    <xf numFmtId="0" fontId="16" fillId="17" borderId="12" xfId="0" applyFont="1" applyFill="1" applyBorder="1" applyAlignment="1">
      <alignment horizontal="right" vertical="center" wrapText="1"/>
    </xf>
    <xf numFmtId="0" fontId="46" fillId="13" borderId="0" xfId="0" applyFont="1" applyFill="1" applyAlignment="1">
      <alignment horizontal="left" vertical="center" wrapText="1"/>
    </xf>
    <xf numFmtId="0" fontId="44" fillId="45" borderId="0" xfId="0" applyFont="1" applyFill="1" applyAlignment="1">
      <alignment horizontal="center" vertical="center" wrapText="1"/>
    </xf>
    <xf numFmtId="1" fontId="32" fillId="34" borderId="35" xfId="0" applyNumberFormat="1" applyFont="1" applyFill="1" applyBorder="1" applyAlignment="1">
      <alignment horizontal="center" vertical="center" wrapText="1"/>
    </xf>
    <xf numFmtId="1" fontId="32" fillId="34" borderId="30" xfId="0" applyNumberFormat="1" applyFont="1" applyFill="1" applyBorder="1" applyAlignment="1">
      <alignment horizontal="center" vertical="center" wrapText="1"/>
    </xf>
    <xf numFmtId="1" fontId="32" fillId="34" borderId="39" xfId="0" applyNumberFormat="1" applyFont="1" applyFill="1" applyBorder="1" applyAlignment="1">
      <alignment horizontal="center" vertical="center" wrapText="1"/>
    </xf>
    <xf numFmtId="1" fontId="32" fillId="13" borderId="35" xfId="0" applyNumberFormat="1" applyFont="1" applyFill="1" applyBorder="1" applyAlignment="1">
      <alignment horizontal="center" vertical="center" wrapText="1"/>
    </xf>
    <xf numFmtId="1" fontId="32" fillId="13" borderId="30" xfId="0" applyNumberFormat="1" applyFont="1" applyFill="1" applyBorder="1" applyAlignment="1">
      <alignment horizontal="center" vertical="center" wrapText="1"/>
    </xf>
    <xf numFmtId="1" fontId="32" fillId="13" borderId="39" xfId="0" applyNumberFormat="1" applyFont="1" applyFill="1" applyBorder="1" applyAlignment="1">
      <alignment horizontal="center" vertical="center" wrapText="1"/>
    </xf>
    <xf numFmtId="0" fontId="29" fillId="26" borderId="29" xfId="0" applyFont="1" applyFill="1" applyBorder="1" applyAlignment="1">
      <alignment horizontal="center" vertical="center" wrapText="1"/>
    </xf>
    <xf numFmtId="0" fontId="42" fillId="17" borderId="43" xfId="0" applyFont="1" applyFill="1" applyBorder="1" applyAlignment="1">
      <alignment horizontal="left" vertical="center" wrapText="1"/>
    </xf>
    <xf numFmtId="0" fontId="42" fillId="17" borderId="44" xfId="0" applyFont="1" applyFill="1" applyBorder="1" applyAlignment="1">
      <alignment horizontal="left" vertical="center" wrapText="1"/>
    </xf>
    <xf numFmtId="0" fontId="33" fillId="42" borderId="31" xfId="0" applyFont="1" applyFill="1" applyBorder="1" applyAlignment="1">
      <alignment horizontal="center" vertical="center" wrapText="1"/>
    </xf>
    <xf numFmtId="0" fontId="33" fillId="42" borderId="0" xfId="0" applyFont="1" applyFill="1" applyAlignment="1">
      <alignment horizontal="center" vertical="center" wrapText="1"/>
    </xf>
    <xf numFmtId="0" fontId="33" fillId="42" borderId="40" xfId="0" applyFont="1" applyFill="1" applyBorder="1" applyAlignment="1">
      <alignment horizontal="center" vertical="center" wrapText="1"/>
    </xf>
    <xf numFmtId="0" fontId="33" fillId="42" borderId="37" xfId="0" applyFont="1" applyFill="1" applyBorder="1" applyAlignment="1">
      <alignment horizontal="center" vertical="center" wrapText="1"/>
    </xf>
    <xf numFmtId="0" fontId="28" fillId="25" borderId="21" xfId="0" applyFont="1" applyFill="1" applyBorder="1" applyAlignment="1">
      <alignment horizontal="center" vertical="center" wrapText="1"/>
    </xf>
    <xf numFmtId="0" fontId="29" fillId="12" borderId="23" xfId="0" applyFont="1" applyFill="1" applyBorder="1" applyAlignment="1">
      <alignment horizontal="center" vertical="center" textRotation="90" wrapText="1"/>
    </xf>
    <xf numFmtId="0" fontId="29" fillId="12" borderId="0" xfId="0" applyFont="1" applyFill="1" applyAlignment="1">
      <alignment horizontal="center" vertical="center" textRotation="90" wrapText="1"/>
    </xf>
    <xf numFmtId="0" fontId="29" fillId="26" borderId="0" xfId="0" applyFont="1" applyFill="1" applyAlignment="1">
      <alignment horizontal="center" vertical="center" wrapText="1"/>
    </xf>
    <xf numFmtId="0" fontId="29" fillId="37" borderId="23" xfId="0" applyFont="1" applyFill="1" applyBorder="1" applyAlignment="1">
      <alignment horizontal="center" vertical="center" textRotation="90" wrapText="1"/>
    </xf>
    <xf numFmtId="0" fontId="29" fillId="37" borderId="0" xfId="0" applyFont="1" applyFill="1" applyAlignment="1">
      <alignment horizontal="center" vertical="center" textRotation="90" wrapText="1"/>
    </xf>
    <xf numFmtId="0" fontId="29" fillId="37" borderId="37" xfId="0" applyFont="1" applyFill="1" applyBorder="1" applyAlignment="1">
      <alignment horizontal="center" vertical="center" textRotation="90" wrapText="1"/>
    </xf>
    <xf numFmtId="0" fontId="31" fillId="0" borderId="24" xfId="0" applyFont="1" applyBorder="1" applyAlignment="1">
      <alignment horizontal="center" vertical="center" wrapText="1"/>
    </xf>
    <xf numFmtId="0" fontId="31" fillId="0" borderId="29" xfId="0" applyFont="1" applyBorder="1" applyAlignment="1">
      <alignment horizontal="center" vertical="center" wrapText="1"/>
    </xf>
    <xf numFmtId="1" fontId="32" fillId="34" borderId="25" xfId="0" applyNumberFormat="1" applyFont="1" applyFill="1" applyBorder="1" applyAlignment="1">
      <alignment horizontal="center" vertical="center" wrapText="1"/>
    </xf>
    <xf numFmtId="1" fontId="32" fillId="34" borderId="33" xfId="0" applyNumberFormat="1" applyFont="1" applyFill="1" applyBorder="1" applyAlignment="1">
      <alignment horizontal="center" vertical="center" wrapText="1"/>
    </xf>
    <xf numFmtId="1" fontId="32" fillId="13" borderId="25" xfId="0" applyNumberFormat="1" applyFont="1" applyFill="1" applyBorder="1" applyAlignment="1">
      <alignment horizontal="center" vertical="center" wrapText="1"/>
    </xf>
    <xf numFmtId="1" fontId="32" fillId="13" borderId="33" xfId="0" applyNumberFormat="1" applyFont="1" applyFill="1" applyBorder="1" applyAlignment="1">
      <alignment horizontal="center" vertical="center" wrapText="1"/>
    </xf>
    <xf numFmtId="0" fontId="29" fillId="41" borderId="23" xfId="0" applyFont="1" applyFill="1" applyBorder="1" applyAlignment="1">
      <alignment horizontal="center" vertical="center" textRotation="90" wrapText="1"/>
    </xf>
    <xf numFmtId="0" fontId="29" fillId="41" borderId="0" xfId="0" applyFont="1" applyFill="1" applyAlignment="1">
      <alignment horizontal="center" vertical="center" textRotation="90" wrapText="1"/>
    </xf>
    <xf numFmtId="0" fontId="29" fillId="41" borderId="37" xfId="0" applyFont="1" applyFill="1" applyBorder="1" applyAlignment="1">
      <alignment horizontal="center" vertical="center" textRotation="90" wrapText="1"/>
    </xf>
    <xf numFmtId="0" fontId="33" fillId="42" borderId="26" xfId="0" applyFont="1" applyFill="1" applyBorder="1" applyAlignment="1">
      <alignment horizontal="center" vertical="center" wrapText="1"/>
    </xf>
    <xf numFmtId="0" fontId="33" fillId="42" borderId="23" xfId="0" applyFont="1" applyFill="1" applyBorder="1" applyAlignment="1">
      <alignment horizontal="center" vertical="center" wrapText="1"/>
    </xf>
    <xf numFmtId="0" fontId="33" fillId="42" borderId="34" xfId="0" applyFont="1" applyFill="1" applyBorder="1" applyAlignment="1">
      <alignment horizontal="center" vertical="center" wrapText="1"/>
    </xf>
    <xf numFmtId="0" fontId="33" fillId="42" borderId="41" xfId="0" applyFont="1" applyFill="1" applyBorder="1" applyAlignment="1">
      <alignment horizontal="center" vertical="center" wrapText="1"/>
    </xf>
    <xf numFmtId="0" fontId="33" fillId="42" borderId="36" xfId="0" applyFont="1" applyFill="1" applyBorder="1" applyAlignment="1">
      <alignment horizontal="center" vertical="center" textRotation="90" wrapText="1"/>
    </xf>
    <xf numFmtId="0" fontId="33" fillId="42" borderId="31" xfId="0" applyFont="1" applyFill="1" applyBorder="1" applyAlignment="1">
      <alignment horizontal="center" vertical="center" textRotation="90" wrapText="1"/>
    </xf>
    <xf numFmtId="0" fontId="33" fillId="42" borderId="34" xfId="0" applyFont="1" applyFill="1" applyBorder="1" applyAlignment="1">
      <alignment horizontal="center" vertical="center" textRotation="90" wrapText="1"/>
    </xf>
    <xf numFmtId="0" fontId="41" fillId="0" borderId="42" xfId="0" applyFont="1" applyBorder="1" applyAlignment="1">
      <alignment horizontal="center" vertical="center" wrapText="1"/>
    </xf>
    <xf numFmtId="0" fontId="41" fillId="0" borderId="27" xfId="0" applyFont="1" applyBorder="1" applyAlignment="1">
      <alignment horizontal="center" vertical="center" wrapText="1"/>
    </xf>
    <xf numFmtId="0" fontId="41" fillId="0" borderId="32" xfId="0" applyFont="1" applyBorder="1" applyAlignment="1">
      <alignment horizontal="center" vertical="center" wrapText="1"/>
    </xf>
    <xf numFmtId="0" fontId="31" fillId="0" borderId="38" xfId="0" applyFont="1" applyBorder="1" applyAlignment="1">
      <alignment horizontal="center" vertical="center" wrapText="1"/>
    </xf>
    <xf numFmtId="0" fontId="33" fillId="41" borderId="36" xfId="0" applyFont="1" applyFill="1" applyBorder="1" applyAlignment="1">
      <alignment horizontal="center" vertical="center" wrapText="1"/>
    </xf>
    <xf numFmtId="0" fontId="33" fillId="41" borderId="42" xfId="0" applyFont="1" applyFill="1" applyBorder="1" applyAlignment="1">
      <alignment horizontal="center" vertical="center" wrapText="1"/>
    </xf>
    <xf numFmtId="0" fontId="33" fillId="41" borderId="31" xfId="0" applyFont="1" applyFill="1" applyBorder="1" applyAlignment="1">
      <alignment horizontal="center" vertical="center" wrapText="1"/>
    </xf>
    <xf numFmtId="0" fontId="33" fillId="41" borderId="0" xfId="0" applyFont="1" applyFill="1" applyAlignment="1">
      <alignment horizontal="center" vertical="center" wrapText="1"/>
    </xf>
    <xf numFmtId="0" fontId="33" fillId="41" borderId="40" xfId="0" applyFont="1" applyFill="1" applyBorder="1" applyAlignment="1">
      <alignment horizontal="center" vertical="center" wrapText="1"/>
    </xf>
    <xf numFmtId="0" fontId="33" fillId="41" borderId="37" xfId="0" applyFont="1" applyFill="1" applyBorder="1" applyAlignment="1">
      <alignment horizontal="center" vertical="center" wrapText="1"/>
    </xf>
    <xf numFmtId="0" fontId="33" fillId="41" borderId="26" xfId="0" applyFont="1" applyFill="1" applyBorder="1" applyAlignment="1">
      <alignment horizontal="center" vertical="center" wrapText="1"/>
    </xf>
    <xf numFmtId="0" fontId="33" fillId="41" borderId="23" xfId="0" applyFont="1" applyFill="1" applyBorder="1" applyAlignment="1">
      <alignment horizontal="center" vertical="center" wrapText="1"/>
    </xf>
    <xf numFmtId="0" fontId="33" fillId="41" borderId="34" xfId="0" applyFont="1" applyFill="1" applyBorder="1" applyAlignment="1">
      <alignment horizontal="center" vertical="center" wrapText="1"/>
    </xf>
    <xf numFmtId="0" fontId="33" fillId="41" borderId="41" xfId="0" applyFont="1" applyFill="1" applyBorder="1" applyAlignment="1">
      <alignment horizontal="center" vertical="center" wrapText="1"/>
    </xf>
    <xf numFmtId="0" fontId="33" fillId="40" borderId="26" xfId="0" applyFont="1" applyFill="1" applyBorder="1" applyAlignment="1">
      <alignment horizontal="center" vertical="center" textRotation="90" wrapText="1"/>
    </xf>
    <xf numFmtId="0" fontId="33" fillId="40" borderId="31" xfId="0" applyFont="1" applyFill="1" applyBorder="1" applyAlignment="1">
      <alignment horizontal="center" vertical="center" textRotation="90" wrapText="1"/>
    </xf>
    <xf numFmtId="0" fontId="33" fillId="40" borderId="34" xfId="0" applyFont="1" applyFill="1" applyBorder="1" applyAlignment="1">
      <alignment horizontal="center" vertical="center" textRotation="90" wrapText="1"/>
    </xf>
    <xf numFmtId="0" fontId="33" fillId="40" borderId="36" xfId="0" applyFont="1" applyFill="1" applyBorder="1" applyAlignment="1">
      <alignment horizontal="center" vertical="center" textRotation="90" wrapText="1"/>
    </xf>
    <xf numFmtId="0" fontId="33" fillId="40" borderId="40" xfId="0" applyFont="1" applyFill="1" applyBorder="1" applyAlignment="1">
      <alignment horizontal="center" vertical="center" textRotation="90" wrapText="1"/>
    </xf>
    <xf numFmtId="0" fontId="40" fillId="0" borderId="42" xfId="0" applyFont="1" applyBorder="1" applyAlignment="1">
      <alignment horizontal="center" vertical="center" wrapText="1"/>
    </xf>
    <xf numFmtId="0" fontId="40" fillId="0" borderId="0" xfId="0" applyFont="1" applyAlignment="1">
      <alignment horizontal="center" vertical="center" wrapText="1"/>
    </xf>
    <xf numFmtId="0" fontId="40" fillId="0" borderId="27" xfId="0" applyFont="1" applyBorder="1" applyAlignment="1">
      <alignment horizontal="center" vertical="center" wrapText="1"/>
    </xf>
    <xf numFmtId="0" fontId="33" fillId="40" borderId="31" xfId="0" applyFont="1" applyFill="1" applyBorder="1" applyAlignment="1">
      <alignment horizontal="center" vertical="center" wrapText="1"/>
    </xf>
    <xf numFmtId="0" fontId="33" fillId="40" borderId="0" xfId="0" applyFont="1" applyFill="1" applyAlignment="1">
      <alignment horizontal="center" vertical="center" wrapText="1"/>
    </xf>
    <xf numFmtId="0" fontId="33" fillId="40" borderId="34" xfId="0" applyFont="1" applyFill="1" applyBorder="1" applyAlignment="1">
      <alignment horizontal="center" vertical="center" wrapText="1"/>
    </xf>
    <xf numFmtId="0" fontId="33" fillId="40" borderId="41" xfId="0" applyFont="1" applyFill="1" applyBorder="1" applyAlignment="1">
      <alignment horizontal="center" vertical="center" wrapText="1"/>
    </xf>
    <xf numFmtId="0" fontId="33" fillId="38" borderId="36" xfId="0" applyFont="1" applyFill="1" applyBorder="1" applyAlignment="1">
      <alignment horizontal="center" vertical="center" textRotation="90" wrapText="1"/>
    </xf>
    <xf numFmtId="0" fontId="33" fillId="38" borderId="34" xfId="0" applyFont="1" applyFill="1" applyBorder="1" applyAlignment="1">
      <alignment horizontal="center" vertical="center" textRotation="90" wrapText="1"/>
    </xf>
    <xf numFmtId="0" fontId="39" fillId="0" borderId="32" xfId="0" applyFont="1" applyBorder="1" applyAlignment="1">
      <alignment horizontal="center" vertical="center" wrapText="1"/>
    </xf>
    <xf numFmtId="0" fontId="39" fillId="0" borderId="27" xfId="0" applyFont="1" applyBorder="1" applyAlignment="1">
      <alignment horizontal="center" vertical="center" wrapText="1"/>
    </xf>
    <xf numFmtId="0" fontId="40" fillId="0" borderId="23" xfId="0" applyFont="1" applyBorder="1" applyAlignment="1">
      <alignment horizontal="center" vertical="center" wrapText="1"/>
    </xf>
    <xf numFmtId="0" fontId="40" fillId="0" borderId="32" xfId="0" applyFont="1" applyBorder="1" applyAlignment="1">
      <alignment horizontal="center" vertical="center" wrapText="1"/>
    </xf>
    <xf numFmtId="0" fontId="29" fillId="39" borderId="23" xfId="0" applyFont="1" applyFill="1" applyBorder="1" applyAlignment="1">
      <alignment horizontal="center" vertical="center" textRotation="90" wrapText="1"/>
    </xf>
    <xf numFmtId="0" fontId="29" fillId="39" borderId="0" xfId="0" applyFont="1" applyFill="1" applyAlignment="1">
      <alignment horizontal="center" vertical="center" textRotation="90" wrapText="1"/>
    </xf>
    <xf numFmtId="0" fontId="29" fillId="39" borderId="37" xfId="0" applyFont="1" applyFill="1" applyBorder="1" applyAlignment="1">
      <alignment horizontal="center" vertical="center" textRotation="90" wrapText="1"/>
    </xf>
    <xf numFmtId="0" fontId="33" fillId="38" borderId="31" xfId="0" applyFont="1" applyFill="1" applyBorder="1" applyAlignment="1">
      <alignment horizontal="center" vertical="center" textRotation="90" wrapText="1"/>
    </xf>
    <xf numFmtId="0" fontId="33" fillId="38" borderId="40" xfId="0" applyFont="1" applyFill="1" applyBorder="1" applyAlignment="1">
      <alignment horizontal="center" vertical="center" textRotation="90" wrapText="1"/>
    </xf>
    <xf numFmtId="0" fontId="39" fillId="0" borderId="0" xfId="0" applyFont="1" applyAlignment="1">
      <alignment horizontal="center" vertical="center" wrapText="1"/>
    </xf>
    <xf numFmtId="0" fontId="39" fillId="0" borderId="37" xfId="0" applyFont="1" applyBorder="1" applyAlignment="1">
      <alignment horizontal="center" vertical="center" wrapText="1"/>
    </xf>
    <xf numFmtId="0" fontId="33" fillId="33" borderId="36" xfId="0" applyFont="1" applyFill="1" applyBorder="1" applyAlignment="1">
      <alignment horizontal="center" vertical="center" textRotation="90" wrapText="1"/>
    </xf>
    <xf numFmtId="0" fontId="33" fillId="33" borderId="31" xfId="0" applyFont="1" applyFill="1" applyBorder="1" applyAlignment="1">
      <alignment horizontal="center" vertical="center" textRotation="90" wrapText="1"/>
    </xf>
    <xf numFmtId="0" fontId="33" fillId="33" borderId="34" xfId="0" applyFont="1" applyFill="1" applyBorder="1" applyAlignment="1">
      <alignment horizontal="center" vertical="center" textRotation="90" wrapText="1"/>
    </xf>
    <xf numFmtId="0" fontId="34" fillId="0" borderId="32" xfId="0" applyFont="1" applyBorder="1" applyAlignment="1">
      <alignment horizontal="center" vertical="center" wrapText="1"/>
    </xf>
    <xf numFmtId="0" fontId="34" fillId="0" borderId="0" xfId="0" applyFont="1" applyAlignment="1">
      <alignment horizontal="center" vertical="center" wrapText="1"/>
    </xf>
    <xf numFmtId="0" fontId="34" fillId="0" borderId="27" xfId="0" applyFont="1" applyBorder="1" applyAlignment="1">
      <alignment horizontal="center" vertical="center" wrapText="1"/>
    </xf>
    <xf numFmtId="0" fontId="33" fillId="38" borderId="26" xfId="0" applyFont="1" applyFill="1" applyBorder="1" applyAlignment="1">
      <alignment horizontal="center" vertical="center" textRotation="90" wrapText="1"/>
    </xf>
    <xf numFmtId="0" fontId="39" fillId="0" borderId="23" xfId="0" applyFont="1" applyBorder="1" applyAlignment="1">
      <alignment horizontal="center" vertical="center" wrapText="1"/>
    </xf>
    <xf numFmtId="0" fontId="29" fillId="33" borderId="23" xfId="0" applyFont="1" applyFill="1" applyBorder="1" applyAlignment="1">
      <alignment horizontal="center" vertical="center" textRotation="90" wrapText="1"/>
    </xf>
    <xf numFmtId="0" fontId="29" fillId="33" borderId="0" xfId="0" applyFont="1" applyFill="1" applyAlignment="1">
      <alignment horizontal="center" vertical="center" textRotation="90" wrapText="1"/>
    </xf>
    <xf numFmtId="0" fontId="29" fillId="33" borderId="37" xfId="0" applyFont="1" applyFill="1" applyBorder="1" applyAlignment="1">
      <alignment horizontal="center" vertical="center" textRotation="90" wrapText="1"/>
    </xf>
    <xf numFmtId="0" fontId="33" fillId="33" borderId="26" xfId="0" applyFont="1" applyFill="1" applyBorder="1" applyAlignment="1">
      <alignment horizontal="center" vertical="center" textRotation="90" wrapText="1"/>
    </xf>
    <xf numFmtId="0" fontId="34" fillId="0" borderId="23" xfId="0" applyFont="1" applyBorder="1" applyAlignment="1">
      <alignment horizontal="center" vertical="center" wrapText="1"/>
    </xf>
    <xf numFmtId="0" fontId="33" fillId="33" borderId="40" xfId="0" applyFont="1" applyFill="1" applyBorder="1" applyAlignment="1">
      <alignment horizontal="center" vertical="center" textRotation="90" wrapText="1"/>
    </xf>
    <xf numFmtId="0" fontId="17" fillId="7" borderId="5" xfId="0" applyFont="1" applyFill="1" applyBorder="1" applyAlignment="1">
      <alignment horizontal="center" vertical="center"/>
    </xf>
    <xf numFmtId="0" fontId="12" fillId="8" borderId="8" xfId="0" applyFont="1" applyFill="1" applyBorder="1" applyAlignment="1">
      <alignment horizontal="center" vertical="center" wrapText="1"/>
    </xf>
    <xf numFmtId="0" fontId="0" fillId="0" borderId="9" xfId="0" applyBorder="1" applyAlignment="1">
      <alignment horizontal="center" vertical="center" wrapText="1"/>
    </xf>
    <xf numFmtId="0" fontId="12" fillId="11" borderId="5" xfId="0" applyFont="1" applyFill="1" applyBorder="1" applyAlignment="1">
      <alignment horizontal="center" vertical="center" wrapText="1"/>
    </xf>
    <xf numFmtId="0" fontId="0" fillId="0" borderId="6" xfId="0" applyBorder="1" applyAlignment="1">
      <alignment horizontal="center" vertical="center" wrapText="1"/>
    </xf>
    <xf numFmtId="0" fontId="0" fillId="0" borderId="7" xfId="0" applyBorder="1" applyAlignment="1">
      <alignment horizontal="center" vertical="center" wrapText="1"/>
    </xf>
    <xf numFmtId="0" fontId="12" fillId="10" borderId="5" xfId="0" applyFont="1" applyFill="1" applyBorder="1" applyAlignment="1">
      <alignment horizontal="center" vertical="center" wrapText="1"/>
    </xf>
    <xf numFmtId="0" fontId="12" fillId="8" borderId="8" xfId="0" applyFont="1" applyFill="1" applyBorder="1" applyAlignment="1">
      <alignment horizontal="center" wrapText="1"/>
    </xf>
    <xf numFmtId="0" fontId="0" fillId="0" borderId="9" xfId="0" applyBorder="1" applyAlignment="1">
      <alignment horizontal="center" wrapText="1"/>
    </xf>
    <xf numFmtId="0" fontId="12" fillId="8" borderId="10" xfId="0" applyFont="1" applyFill="1" applyBorder="1" applyAlignment="1">
      <alignment horizontal="center" wrapText="1"/>
    </xf>
    <xf numFmtId="0" fontId="12" fillId="8" borderId="10" xfId="0" applyFont="1" applyFill="1" applyBorder="1" applyAlignment="1">
      <alignment horizontal="center" vertical="center" wrapText="1"/>
    </xf>
    <xf numFmtId="0" fontId="12" fillId="10" borderId="4" xfId="0" applyFont="1" applyFill="1" applyBorder="1" applyAlignment="1">
      <alignment horizontal="center" vertical="center" wrapText="1"/>
    </xf>
    <xf numFmtId="0" fontId="12" fillId="10" borderId="6" xfId="0" applyFont="1" applyFill="1" applyBorder="1" applyAlignment="1">
      <alignment horizontal="center" vertical="center" wrapText="1"/>
    </xf>
    <xf numFmtId="0" fontId="12" fillId="24" borderId="4" xfId="0" applyFont="1" applyFill="1" applyBorder="1" applyAlignment="1" applyProtection="1">
      <alignment horizontal="center"/>
      <protection locked="0"/>
    </xf>
    <xf numFmtId="0" fontId="12" fillId="24" borderId="4" xfId="0" applyFont="1" applyFill="1" applyBorder="1" applyAlignment="1">
      <alignment horizontal="center"/>
    </xf>
    <xf numFmtId="0" fontId="0" fillId="0" borderId="4" xfId="0" applyBorder="1" applyAlignment="1">
      <alignment horizontal="center"/>
    </xf>
    <xf numFmtId="0" fontId="17" fillId="24" borderId="5" xfId="0" applyFont="1" applyFill="1" applyBorder="1" applyAlignment="1" applyProtection="1">
      <alignment horizontal="center" vertical="center"/>
      <protection locked="0"/>
    </xf>
    <xf numFmtId="0" fontId="17" fillId="24" borderId="5" xfId="0" applyFont="1" applyFill="1" applyBorder="1" applyAlignment="1">
      <alignment horizontal="center" vertical="center"/>
    </xf>
    <xf numFmtId="0" fontId="62" fillId="47" borderId="53" xfId="0" applyFont="1" applyFill="1" applyBorder="1" applyAlignment="1">
      <alignment horizontal="center" vertical="center" wrapText="1"/>
    </xf>
    <xf numFmtId="0" fontId="62" fillId="0" borderId="0" xfId="0" applyFont="1" applyAlignment="1">
      <alignment horizontal="center" vertical="center" wrapText="1"/>
    </xf>
    <xf numFmtId="0" fontId="62" fillId="0" borderId="52" xfId="0" applyFont="1" applyBorder="1" applyAlignment="1">
      <alignment horizontal="center" vertical="center" wrapText="1"/>
    </xf>
    <xf numFmtId="0" fontId="63" fillId="47" borderId="53" xfId="0" applyFont="1" applyFill="1" applyBorder="1" applyAlignment="1">
      <alignment horizontal="left" vertical="center" wrapText="1"/>
    </xf>
    <xf numFmtId="0" fontId="63" fillId="0" borderId="0" xfId="0" applyFont="1" applyAlignment="1">
      <alignment horizontal="left" vertical="center" wrapText="1"/>
    </xf>
    <xf numFmtId="0" fontId="63" fillId="0" borderId="52" xfId="0" applyFont="1" applyBorder="1" applyAlignment="1">
      <alignment horizontal="left" vertical="center" wrapText="1"/>
    </xf>
    <xf numFmtId="0" fontId="56" fillId="46" borderId="56" xfId="0" applyFont="1" applyFill="1" applyBorder="1" applyAlignment="1">
      <alignment horizontal="center" vertical="center" wrapText="1"/>
    </xf>
    <xf numFmtId="0" fontId="56" fillId="0" borderId="0" xfId="0" applyFont="1" applyAlignment="1">
      <alignment horizontal="center" vertical="center" wrapText="1"/>
    </xf>
    <xf numFmtId="0" fontId="56" fillId="0" borderId="48" xfId="0" applyFont="1" applyBorder="1" applyAlignment="1">
      <alignment horizontal="center" vertical="center" wrapText="1"/>
    </xf>
    <xf numFmtId="0" fontId="57" fillId="46" borderId="56" xfId="0" applyFont="1" applyFill="1" applyBorder="1" applyAlignment="1">
      <alignment horizontal="left" vertical="center" wrapText="1"/>
    </xf>
    <xf numFmtId="0" fontId="57" fillId="0" borderId="0" xfId="0" applyFont="1" applyAlignment="1">
      <alignment horizontal="left" vertical="center" wrapText="1"/>
    </xf>
    <xf numFmtId="0" fontId="57" fillId="0" borderId="48" xfId="0" applyFont="1" applyBorder="1" applyAlignment="1">
      <alignment horizontal="left" vertical="center" wrapText="1"/>
    </xf>
    <xf numFmtId="0" fontId="58" fillId="47" borderId="57" xfId="0" applyFont="1" applyFill="1" applyBorder="1" applyAlignment="1">
      <alignment horizontal="center" vertical="center" wrapText="1"/>
    </xf>
    <xf numFmtId="0" fontId="58" fillId="0" borderId="0" xfId="0" applyFont="1" applyAlignment="1">
      <alignment horizontal="center" vertical="center" wrapText="1"/>
    </xf>
    <xf numFmtId="0" fontId="58" fillId="0" borderId="50" xfId="0" applyFont="1" applyBorder="1" applyAlignment="1">
      <alignment horizontal="center" vertical="center" wrapText="1"/>
    </xf>
    <xf numFmtId="0" fontId="59" fillId="47" borderId="57" xfId="0" applyFont="1" applyFill="1" applyBorder="1" applyAlignment="1">
      <alignment horizontal="left" vertical="center" wrapText="1"/>
    </xf>
    <xf numFmtId="0" fontId="59" fillId="0" borderId="0" xfId="0" applyFont="1" applyAlignment="1">
      <alignment horizontal="left" vertical="center" wrapText="1"/>
    </xf>
    <xf numFmtId="0" fontId="59" fillId="0" borderId="50" xfId="0" applyFont="1" applyBorder="1" applyAlignment="1">
      <alignment horizontal="left" vertical="center" wrapText="1"/>
    </xf>
    <xf numFmtId="0" fontId="60" fillId="46" borderId="58" xfId="0" applyFont="1" applyFill="1" applyBorder="1" applyAlignment="1">
      <alignment horizontal="center" vertical="center" wrapText="1"/>
    </xf>
    <xf numFmtId="0" fontId="60" fillId="0" borderId="0" xfId="0" applyFont="1" applyAlignment="1">
      <alignment horizontal="center" vertical="center" wrapText="1"/>
    </xf>
    <xf numFmtId="0" fontId="60" fillId="0" borderId="52" xfId="0" applyFont="1" applyBorder="1" applyAlignment="1">
      <alignment horizontal="center" vertical="center" wrapText="1"/>
    </xf>
    <xf numFmtId="0" fontId="61" fillId="46" borderId="58" xfId="0" applyFont="1" applyFill="1" applyBorder="1" applyAlignment="1">
      <alignment horizontal="left" vertical="center" wrapText="1"/>
    </xf>
    <xf numFmtId="0" fontId="61" fillId="0" borderId="0" xfId="0" applyFont="1" applyAlignment="1">
      <alignment horizontal="left" vertical="center" wrapText="1"/>
    </xf>
    <xf numFmtId="0" fontId="61" fillId="0" borderId="52" xfId="0" applyFont="1" applyBorder="1" applyAlignment="1">
      <alignment horizontal="left" vertical="center" wrapText="1"/>
    </xf>
    <xf numFmtId="0" fontId="47" fillId="46" borderId="46" xfId="0" applyFont="1" applyFill="1" applyBorder="1" applyAlignment="1">
      <alignment vertical="center" wrapText="1"/>
    </xf>
    <xf numFmtId="0" fontId="55" fillId="47" borderId="55" xfId="0" applyFont="1" applyFill="1" applyBorder="1" applyAlignment="1">
      <alignment horizontal="center" vertical="center" wrapText="1"/>
    </xf>
    <xf numFmtId="0" fontId="55" fillId="0" borderId="0" xfId="0" applyFont="1" applyAlignment="1">
      <alignment horizontal="center" vertical="center" wrapText="1"/>
    </xf>
    <xf numFmtId="0" fontId="55" fillId="0" borderId="47" xfId="0" applyFont="1" applyBorder="1" applyAlignment="1">
      <alignment horizontal="center" vertical="center" wrapText="1"/>
    </xf>
    <xf numFmtId="0" fontId="53" fillId="47" borderId="55" xfId="0" applyFont="1" applyFill="1" applyBorder="1" applyAlignment="1">
      <alignment horizontal="left" vertical="center" wrapText="1"/>
    </xf>
    <xf numFmtId="0" fontId="53" fillId="0" borderId="0" xfId="0" applyFont="1" applyAlignment="1">
      <alignment horizontal="left" vertical="center" wrapText="1"/>
    </xf>
    <xf numFmtId="0" fontId="53" fillId="0" borderId="47" xfId="0" applyFont="1" applyBorder="1" applyAlignment="1">
      <alignment horizontal="left" vertical="center" wrapText="1"/>
    </xf>
  </cellXfs>
  <cellStyles count="7">
    <cellStyle name="Entrada" xfId="3" builtinId="20"/>
    <cellStyle name="Normal" xfId="0" builtinId="0"/>
    <cellStyle name="Normal 3" xfId="5"/>
    <cellStyle name="Porcentaje" xfId="6" builtinId="5"/>
    <cellStyle name="Título" xfId="1" builtinId="15"/>
    <cellStyle name="Título 2" xfId="2" builtinId="17"/>
    <cellStyle name="Total" xfId="4" builtinId="25"/>
  </cellStyles>
  <dxfs count="84"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</dxfs>
  <tableStyles count="0" defaultTableStyle="TableStyleMedium2" defaultPivotStyle="PivotStyleMedium9"/>
  <colors>
    <mruColors>
      <color rgb="FF404040"/>
      <color rgb="FF808080"/>
      <color rgb="FF262626"/>
      <color rgb="FF868686"/>
      <color rgb="FF595959"/>
      <color rgb="FF2E3232"/>
      <color rgb="FFFF7D7D"/>
      <color rgb="FFFF7C80"/>
      <color rgb="FFFF9999"/>
      <color rgb="FF9064A2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6.xml"/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7.xml"/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8.xml"/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9.xml"/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0.xml"/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1.xml"/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2.xml"/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3.xml"/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4.xml"/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5.xml"/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6.xml"/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7.xml"/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8.xml"/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9.xml"/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0.xml"/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1.xml"/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2.xml"/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3.xml"/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4.xml"/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6.xml"/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7.xml"/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8.xml"/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9.xml"/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6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30.xml"/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37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31.xml"/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_rels/chart38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32.xml"/><Relationship Id="rId2" Type="http://schemas.microsoft.com/office/2011/relationships/chartColorStyle" Target="colors38.xml"/><Relationship Id="rId1" Type="http://schemas.microsoft.com/office/2011/relationships/chartStyle" Target="style38.xml"/></Relationships>
</file>

<file path=xl/charts/_rels/chart39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33.xml"/><Relationship Id="rId2" Type="http://schemas.microsoft.com/office/2011/relationships/chartColorStyle" Target="colors39.xml"/><Relationship Id="rId1" Type="http://schemas.microsoft.com/office/2011/relationships/chartStyle" Target="style39.xml"/></Relationships>
</file>

<file path=xl/charts/_rels/chart40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34.xml"/><Relationship Id="rId2" Type="http://schemas.microsoft.com/office/2011/relationships/chartColorStyle" Target="colors40.xml"/><Relationship Id="rId1" Type="http://schemas.microsoft.com/office/2011/relationships/chartStyle" Target="style40.xml"/></Relationships>
</file>

<file path=xl/charts/_rels/chart41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35.xml"/><Relationship Id="rId2" Type="http://schemas.microsoft.com/office/2011/relationships/chartColorStyle" Target="colors41.xml"/><Relationship Id="rId1" Type="http://schemas.microsoft.com/office/2011/relationships/chartStyle" Target="style41.xml"/></Relationships>
</file>

<file path=xl/charts/_rels/chart42.xml.rels><?xml version="1.0" encoding="UTF-8" standalone="yes"?>
<Relationships xmlns="http://schemas.openxmlformats.org/package/2006/relationships"><Relationship Id="rId2" Type="http://schemas.microsoft.com/office/2011/relationships/chartColorStyle" Target="colors42.xml"/><Relationship Id="rId1" Type="http://schemas.microsoft.com/office/2011/relationships/chartStyle" Target="style4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0.18074992125984252"/>
          <c:y val="9.0705027256208354E-2"/>
          <c:w val="0.55000000000000004"/>
          <c:h val="0.70512820512820518"/>
        </c:manualLayout>
      </c:layout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rgbClr val="BD195A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"/>
            <c:bubble3D val="0"/>
            <c:spPr>
              <a:solidFill>
                <a:srgbClr val="835376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"/>
            <c:bubble3D val="0"/>
            <c:spPr>
              <a:solidFill>
                <a:srgbClr val="71699A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"/>
            <c:bubble3D val="0"/>
            <c:spPr>
              <a:solidFill>
                <a:srgbClr val="7489B5"/>
              </a:solidFill>
              <a:ln w="19050">
                <a:solidFill>
                  <a:schemeClr val="lt1"/>
                </a:solidFill>
              </a:ln>
              <a:effectLst/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endParaRPr lang="es-A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eparator>
</c:separator>
            <c:showLeaderLines val="0"/>
            <c:extLst>
              <c:ext xmlns:c15="http://schemas.microsoft.com/office/drawing/2012/chart" uri="{CE6537A1-D6FC-4f65-9D91-7224C49458BB}">
                <c15:layout/>
              </c:ext>
            </c:extLst>
          </c:dLbls>
          <c:cat>
            <c:strRef>
              <c:f>Demografía!$L$2:$P$2</c:f>
              <c:strCache>
                <c:ptCount val="5"/>
                <c:pt idx="0">
                  <c:v>Menos de 25 años</c:v>
                </c:pt>
                <c:pt idx="1">
                  <c:v>25 a 34 años</c:v>
                </c:pt>
                <c:pt idx="2">
                  <c:v>35 a 44 años</c:v>
                </c:pt>
                <c:pt idx="3">
                  <c:v>45 a 54 años</c:v>
                </c:pt>
                <c:pt idx="4">
                  <c:v>55 años o más</c:v>
                </c:pt>
              </c:strCache>
            </c:strRef>
          </c:cat>
          <c:val>
            <c:numRef>
              <c:f>Demografía!$L$17:$P$17</c:f>
              <c:numCache>
                <c:formatCode>#,#00</c:formatCode>
                <c:ptCount val="5"/>
                <c:pt idx="0">
                  <c:v>6.215410813111963</c:v>
                </c:pt>
                <c:pt idx="1">
                  <c:v>42.486164325244786</c:v>
                </c:pt>
                <c:pt idx="2">
                  <c:v>30.353341847594724</c:v>
                </c:pt>
                <c:pt idx="3">
                  <c:v>15.666240953597274</c:v>
                </c:pt>
                <c:pt idx="4">
                  <c:v>5.2788420604512565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  <c:holeSize val="50"/>
      </c:doughnutChart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  <c:userShapes r:id="rId3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0.18096519685039369"/>
          <c:y val="9.5102564102564097E-2"/>
          <c:w val="0.55000000000000004"/>
          <c:h val="0.70512820512820518"/>
        </c:manualLayout>
      </c:layout>
      <c:pieChart>
        <c:varyColors val="1"/>
        <c:ser>
          <c:idx val="0"/>
          <c:order val="0"/>
          <c:spPr>
            <a:noFill/>
            <a:ln w="19050"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rgbClr val="4F81BD"/>
                  </a:solidFill>
                </a14:hiddenFill>
              </a:ext>
              <a:ext uri="{91240B29-F687-4F45-9708-019B960494DF}">
                <a14:hiddenLine xmlns:a14="http://schemas.microsoft.com/office/drawing/2010/main" w="19050">
                  <a:solidFill>
                    <a:sysClr val="window" lastClr="FFFFFF"/>
                  </a:solidFill>
                </a14:hiddenLine>
              </a:ext>
            </a:extLst>
          </c:spPr>
          <c:dPt>
            <c:idx val="0"/>
            <c:bubble3D val="0"/>
            <c:spPr>
              <a:noFill/>
              <a:ln w="19050">
                <a:noFill/>
              </a:ln>
              <a:effectLst/>
              <a:extLst>
                <a:ext uri="{909E8E84-426E-40DD-AFC4-6F175D3DCCD1}">
                  <a14:hiddenFill xmlns:a14="http://schemas.microsoft.com/office/drawing/2010/main">
                    <a:solidFill>
                      <a:srgbClr val="4F81BD"/>
                    </a:solidFill>
                  </a14:hiddenFill>
                </a:ext>
                <a:ext uri="{91240B29-F687-4F45-9708-019B960494DF}">
                  <a14:hiddenLine xmlns:a14="http://schemas.microsoft.com/office/drawing/2010/main" w="19050">
                    <a:solidFill>
                      <a:sysClr val="window" lastClr="FFFFFF"/>
                    </a:solidFill>
                  </a14:hiddenLine>
                </a:ext>
              </a:extLst>
            </c:spPr>
          </c:dPt>
          <c:dPt>
            <c:idx val="1"/>
            <c:bubble3D val="0"/>
            <c:spPr>
              <a:noFill/>
              <a:ln w="19050">
                <a:noFill/>
              </a:ln>
              <a:effectLst/>
              <a:extLst>
                <a:ext uri="{909E8E84-426E-40DD-AFC4-6F175D3DCCD1}">
                  <a14:hiddenFill xmlns:a14="http://schemas.microsoft.com/office/drawing/2010/main">
                    <a:solidFill>
                      <a:srgbClr val="4F81BD"/>
                    </a:solidFill>
                  </a14:hiddenFill>
                </a:ext>
                <a:ext uri="{91240B29-F687-4F45-9708-019B960494DF}">
                  <a14:hiddenLine xmlns:a14="http://schemas.microsoft.com/office/drawing/2010/main" w="19050">
                    <a:solidFill>
                      <a:sysClr val="window" lastClr="FFFFFF"/>
                    </a:solidFill>
                  </a14:hiddenLine>
                </a:ext>
              </a:extLst>
            </c:spPr>
          </c:dPt>
          <c:dPt>
            <c:idx val="2"/>
            <c:bubble3D val="0"/>
            <c:spPr>
              <a:noFill/>
              <a:ln w="19050">
                <a:noFill/>
              </a:ln>
              <a:effectLst/>
              <a:extLst>
                <a:ext uri="{909E8E84-426E-40DD-AFC4-6F175D3DCCD1}">
                  <a14:hiddenFill xmlns:a14="http://schemas.microsoft.com/office/drawing/2010/main">
                    <a:solidFill>
                      <a:srgbClr val="4F81BD"/>
                    </a:solidFill>
                  </a14:hiddenFill>
                </a:ext>
                <a:ext uri="{91240B29-F687-4F45-9708-019B960494DF}">
                  <a14:hiddenLine xmlns:a14="http://schemas.microsoft.com/office/drawing/2010/main" w="19050">
                    <a:solidFill>
                      <a:sysClr val="window" lastClr="FFFFFF"/>
                    </a:solidFill>
                  </a14:hiddenLine>
                </a:ext>
              </a:extLst>
            </c:spPr>
          </c:dPt>
          <c:dPt>
            <c:idx val="3"/>
            <c:bubble3D val="0"/>
            <c:spPr>
              <a:noFill/>
              <a:ln w="19050">
                <a:noFill/>
              </a:ln>
              <a:effectLst/>
              <a:extLst>
                <a:ext uri="{909E8E84-426E-40DD-AFC4-6F175D3DCCD1}">
                  <a14:hiddenFill xmlns:a14="http://schemas.microsoft.com/office/drawing/2010/main">
                    <a:solidFill>
                      <a:srgbClr val="4F81BD"/>
                    </a:solidFill>
                  </a14:hiddenFill>
                </a:ext>
                <a:ext uri="{91240B29-F687-4F45-9708-019B960494DF}">
                  <a14:hiddenLine xmlns:a14="http://schemas.microsoft.com/office/drawing/2010/main" w="19050">
                    <a:solidFill>
                      <a:sysClr val="window" lastClr="FFFFFF"/>
                    </a:solidFill>
                  </a14:hiddenLine>
                </a:ext>
              </a:extLst>
            </c:spPr>
          </c:dPt>
          <c:dPt>
            <c:idx val="4"/>
            <c:bubble3D val="0"/>
            <c:spPr>
              <a:noFill/>
              <a:ln w="19050">
                <a:noFill/>
              </a:ln>
              <a:effectLst/>
              <a:extLst>
                <a:ext uri="{909E8E84-426E-40DD-AFC4-6F175D3DCCD1}">
                  <a14:hiddenFill xmlns:a14="http://schemas.microsoft.com/office/drawing/2010/main">
                    <a:solidFill>
                      <a:srgbClr val="4F81BD"/>
                    </a:solidFill>
                  </a14:hiddenFill>
                </a:ext>
                <a:ext uri="{91240B29-F687-4F45-9708-019B960494DF}">
                  <a14:hiddenLine xmlns:a14="http://schemas.microsoft.com/office/drawing/2010/main" w="19050">
                    <a:solidFill>
                      <a:sysClr val="window" lastClr="FFFFFF"/>
                    </a:solidFill>
                  </a14:hiddenLine>
                </a:ext>
              </a:extLst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endParaRPr lang="es-AR"/>
              </a:p>
            </c:txPr>
            <c:dLblPos val="outEnd"/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</c:ext>
            </c:extLst>
          </c:dLbls>
          <c:cat>
            <c:strRef>
              <c:f>Demografía!$L$2:$P$2</c:f>
              <c:strCache>
                <c:ptCount val="5"/>
                <c:pt idx="0">
                  <c:v>Menos de 25 años</c:v>
                </c:pt>
                <c:pt idx="1">
                  <c:v>25 a 34 años</c:v>
                </c:pt>
                <c:pt idx="2">
                  <c:v>35 a 44 años</c:v>
                </c:pt>
                <c:pt idx="3">
                  <c:v>45 a 54 años</c:v>
                </c:pt>
                <c:pt idx="4">
                  <c:v>55 años o más</c:v>
                </c:pt>
              </c:strCache>
            </c:strRef>
          </c:cat>
          <c:val>
            <c:numRef>
              <c:f>Demografía!$L$17:$P$17</c:f>
              <c:numCache>
                <c:formatCode>#,#00</c:formatCode>
                <c:ptCount val="5"/>
                <c:pt idx="0">
                  <c:v>6.215410813111963</c:v>
                </c:pt>
                <c:pt idx="1">
                  <c:v>42.486164325244786</c:v>
                </c:pt>
                <c:pt idx="2">
                  <c:v>30.353341847594724</c:v>
                </c:pt>
                <c:pt idx="3">
                  <c:v>15.666240953597274</c:v>
                </c:pt>
                <c:pt idx="4">
                  <c:v>5.2788420604512565</c:v>
                </c:pt>
              </c:numCache>
            </c:numRef>
          </c:val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5.9701492537313433E-3"/>
          <c:y val="0.12"/>
          <c:w val="0.99402985074626871"/>
          <c:h val="0.8"/>
        </c:manualLayout>
      </c:layout>
      <c:barChart>
        <c:barDir val="col"/>
        <c:grouping val="clustered"/>
        <c:varyColors val="0"/>
        <c:ser>
          <c:idx val="0"/>
          <c:order val="0"/>
          <c:tx>
            <c:v>Promedio Actual</c:v>
          </c:tx>
          <c:spPr>
            <a:solidFill>
              <a:srgbClr val="86868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A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Demografías'!$D$81:$J$81</c:f>
              <c:numCache>
                <c:formatCode>0</c:formatCode>
                <c:ptCount val="7"/>
                <c:pt idx="0">
                  <c:v>87.13</c:v>
                </c:pt>
                <c:pt idx="1">
                  <c:v>82.26</c:v>
                </c:pt>
                <c:pt idx="2">
                  <c:v>81.83</c:v>
                </c:pt>
                <c:pt idx="3">
                  <c:v>85.57</c:v>
                </c:pt>
                <c:pt idx="4">
                  <c:v>88.33</c:v>
                </c:pt>
              </c:numCache>
            </c:numRef>
          </c:val>
        </c:ser>
        <c:ser>
          <c:idx val="1"/>
          <c:order val="1"/>
          <c:tx>
            <c:v>Promedio Anterior</c:v>
          </c:tx>
          <c:spPr>
            <a:solidFill>
              <a:srgbClr val="BD1933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A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Demografías'!$D$83:$J$83</c:f>
              <c:numCache>
                <c:formatCode>0</c:formatCode>
                <c:ptCount val="7"/>
                <c:pt idx="0">
                  <c:v>82.41</c:v>
                </c:pt>
                <c:pt idx="1">
                  <c:v>77.44</c:v>
                </c:pt>
                <c:pt idx="2">
                  <c:v>78.069999999999993</c:v>
                </c:pt>
                <c:pt idx="3">
                  <c:v>82.57</c:v>
                </c:pt>
                <c:pt idx="4">
                  <c:v>86.36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0"/>
        <c:overlap val="-15"/>
        <c:axId val="-1382516160"/>
        <c:axId val="-1382519424"/>
      </c:barChart>
      <c:lineChart>
        <c:grouping val="standard"/>
        <c:varyColors val="0"/>
        <c:ser>
          <c:idx val="2"/>
          <c:order val="2"/>
          <c:tx>
            <c:v>Prom. Gral. Cons</c:v>
          </c:tx>
          <c:spPr>
            <a:ln w="41275" cap="rnd" cmpd="sng" algn="ctr">
              <a:solidFill>
                <a:sysClr val="windowText" lastClr="000000">
                  <a:lumMod val="100000"/>
                </a:sys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val>
            <c:numRef>
              <c:f>'Gráficos Demografías'!$D$86:$J$86</c:f>
              <c:numCache>
                <c:formatCode>0</c:formatCode>
                <c:ptCount val="7"/>
                <c:pt idx="0">
                  <c:v>82.91</c:v>
                </c:pt>
                <c:pt idx="1">
                  <c:v>82.91</c:v>
                </c:pt>
                <c:pt idx="2">
                  <c:v>82.91</c:v>
                </c:pt>
                <c:pt idx="3">
                  <c:v>82.91</c:v>
                </c:pt>
                <c:pt idx="4">
                  <c:v>82.91</c:v>
                </c:pt>
              </c:numCache>
            </c:numRef>
          </c:val>
          <c:smooth val="0"/>
        </c:ser>
        <c:ser>
          <c:idx val="3"/>
          <c:order val="3"/>
          <c:tx>
            <c:v>Percepción Gral.</c:v>
          </c:tx>
          <c:spPr>
            <a:ln w="53975" cap="rnd" cmpd="sng" algn="ctr">
              <a:solidFill>
                <a:srgbClr val="006086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13"/>
            <c:spPr>
              <a:solidFill>
                <a:srgbClr val="FFFFFF"/>
              </a:solidFill>
              <a:ln w="53975" cap="rnd" cmpd="sng" algn="ctr">
                <a:solidFill>
                  <a:srgbClr val="006086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400" b="1" i="0" u="none" strike="noStrike" kern="1200" baseline="0">
                    <a:solidFill>
                      <a:srgbClr val="006086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A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Demografías'!$D$87:$J$87</c:f>
              <c:numCache>
                <c:formatCode>0</c:formatCode>
                <c:ptCount val="7"/>
                <c:pt idx="0">
                  <c:v>87.33</c:v>
                </c:pt>
                <c:pt idx="1">
                  <c:v>82.4</c:v>
                </c:pt>
                <c:pt idx="2">
                  <c:v>83.7</c:v>
                </c:pt>
                <c:pt idx="3">
                  <c:v>87.89</c:v>
                </c:pt>
                <c:pt idx="4">
                  <c:v>93.55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1382516160"/>
        <c:axId val="-1382519424"/>
      </c:lineChart>
      <c:catAx>
        <c:axId val="-1382516160"/>
        <c:scaling>
          <c:orientation val="minMax"/>
        </c:scaling>
        <c:delete val="1"/>
        <c:axPos val="b"/>
        <c:majorTickMark val="none"/>
        <c:minorTickMark val="none"/>
        <c:tickLblPos val="nextTo"/>
        <c:crossAx val="-1382519424"/>
        <c:crosses val="autoZero"/>
        <c:auto val="1"/>
        <c:lblAlgn val="ctr"/>
        <c:lblOffset val="100"/>
        <c:noMultiLvlLbl val="0"/>
      </c:catAx>
      <c:valAx>
        <c:axId val="-1382519424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-13825161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  <c:userShapes r:id="rId3"/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0.18074992125984252"/>
          <c:y val="9.0705027256208354E-2"/>
          <c:w val="0.55000000000000004"/>
          <c:h val="0.70512820512820518"/>
        </c:manualLayout>
      </c:layout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rgbClr val="BD195A"/>
              </a:solidFill>
              <a:ln w="19050">
                <a:solidFill>
                  <a:schemeClr val="lt1"/>
                </a:solidFill>
              </a:ln>
              <a:effectLst/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endParaRPr lang="es-A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eparator>
</c:separator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Demografía!$R$2:$S$2</c:f>
              <c:strCache>
                <c:ptCount val="2"/>
                <c:pt idx="0">
                  <c:v>Masculino</c:v>
                </c:pt>
                <c:pt idx="1">
                  <c:v>Femenino</c:v>
                </c:pt>
              </c:strCache>
            </c:strRef>
          </c:cat>
          <c:val>
            <c:numRef>
              <c:f>Demografía!$R$17:$S$17</c:f>
              <c:numCache>
                <c:formatCode>0.0</c:formatCode>
                <c:ptCount val="2"/>
                <c:pt idx="0">
                  <c:v>52.703277990634312</c:v>
                </c:pt>
                <c:pt idx="1">
                  <c:v>46.636866751809279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  <c:holeSize val="50"/>
      </c:doughnutChart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  <c:userShapes r:id="rId3"/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0.18096519685039369"/>
          <c:y val="9.5102564102564097E-2"/>
          <c:w val="0.55000000000000004"/>
          <c:h val="0.70512820512820518"/>
        </c:manualLayout>
      </c:layout>
      <c:pieChart>
        <c:varyColors val="1"/>
        <c:ser>
          <c:idx val="0"/>
          <c:order val="0"/>
          <c:spPr>
            <a:noFill/>
            <a:ln w="19050"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rgbClr val="4F81BD"/>
                  </a:solidFill>
                </a14:hiddenFill>
              </a:ext>
              <a:ext uri="{91240B29-F687-4F45-9708-019B960494DF}">
                <a14:hiddenLine xmlns:a14="http://schemas.microsoft.com/office/drawing/2010/main" w="19050">
                  <a:solidFill>
                    <a:sysClr val="window" lastClr="FFFFFF"/>
                  </a:solidFill>
                </a14:hiddenLine>
              </a:ext>
            </a:extLst>
          </c:spPr>
          <c:dPt>
            <c:idx val="0"/>
            <c:bubble3D val="0"/>
            <c:spPr>
              <a:noFill/>
              <a:ln w="19050">
                <a:noFill/>
              </a:ln>
              <a:effectLst/>
              <a:extLst>
                <a:ext uri="{909E8E84-426E-40DD-AFC4-6F175D3DCCD1}">
                  <a14:hiddenFill xmlns:a14="http://schemas.microsoft.com/office/drawing/2010/main">
                    <a:solidFill>
                      <a:srgbClr val="4F81BD"/>
                    </a:solidFill>
                  </a14:hiddenFill>
                </a:ext>
                <a:ext uri="{91240B29-F687-4F45-9708-019B960494DF}">
                  <a14:hiddenLine xmlns:a14="http://schemas.microsoft.com/office/drawing/2010/main" w="19050">
                    <a:solidFill>
                      <a:sysClr val="window" lastClr="FFFFFF"/>
                    </a:solidFill>
                  </a14:hiddenLine>
                </a:ext>
              </a:extLst>
            </c:spPr>
          </c:dPt>
          <c:dPt>
            <c:idx val="1"/>
            <c:bubble3D val="0"/>
            <c:spPr>
              <a:noFill/>
              <a:ln w="19050">
                <a:noFill/>
              </a:ln>
              <a:effectLst/>
              <a:extLst>
                <a:ext uri="{909E8E84-426E-40DD-AFC4-6F175D3DCCD1}">
                  <a14:hiddenFill xmlns:a14="http://schemas.microsoft.com/office/drawing/2010/main">
                    <a:solidFill>
                      <a:srgbClr val="4F81BD"/>
                    </a:solidFill>
                  </a14:hiddenFill>
                </a:ext>
                <a:ext uri="{91240B29-F687-4F45-9708-019B960494DF}">
                  <a14:hiddenLine xmlns:a14="http://schemas.microsoft.com/office/drawing/2010/main" w="19050">
                    <a:solidFill>
                      <a:sysClr val="window" lastClr="FFFFFF"/>
                    </a:solidFill>
                  </a14:hiddenLine>
                </a:ext>
              </a:extLst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endParaRPr lang="es-AR"/>
              </a:p>
            </c:txPr>
            <c:dLblPos val="outEnd"/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Demografía!$R$2:$S$2</c:f>
              <c:strCache>
                <c:ptCount val="2"/>
                <c:pt idx="0">
                  <c:v>Masculino</c:v>
                </c:pt>
                <c:pt idx="1">
                  <c:v>Femenino</c:v>
                </c:pt>
              </c:strCache>
            </c:strRef>
          </c:cat>
          <c:val>
            <c:numRef>
              <c:f>Demografía!$R$17:$S$17</c:f>
              <c:numCache>
                <c:formatCode>0.0</c:formatCode>
                <c:ptCount val="2"/>
                <c:pt idx="0">
                  <c:v>52.703277990634312</c:v>
                </c:pt>
                <c:pt idx="1">
                  <c:v>46.636866751809279</c:v>
                </c:pt>
              </c:numCache>
            </c:numRef>
          </c:val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5.9701492537313433E-3"/>
          <c:y val="0.12"/>
          <c:w val="0.99402985074626871"/>
          <c:h val="0.8"/>
        </c:manualLayout>
      </c:layout>
      <c:barChart>
        <c:barDir val="col"/>
        <c:grouping val="clustered"/>
        <c:varyColors val="0"/>
        <c:ser>
          <c:idx val="0"/>
          <c:order val="0"/>
          <c:tx>
            <c:v>Promedio Actual</c:v>
          </c:tx>
          <c:spPr>
            <a:solidFill>
              <a:srgbClr val="86868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A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Demografías'!$D$172:$J$172</c:f>
              <c:numCache>
                <c:formatCode>0</c:formatCode>
                <c:ptCount val="7"/>
                <c:pt idx="0">
                  <c:v>83.48</c:v>
                </c:pt>
                <c:pt idx="1">
                  <c:v>83.12</c:v>
                </c:pt>
              </c:numCache>
            </c:numRef>
          </c:val>
        </c:ser>
        <c:ser>
          <c:idx val="1"/>
          <c:order val="1"/>
          <c:tx>
            <c:v>Promedio Anterior</c:v>
          </c:tx>
          <c:spPr>
            <a:solidFill>
              <a:srgbClr val="BD1933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A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Demografías'!$D$174:$J$174</c:f>
              <c:numCache>
                <c:formatCode>0</c:formatCode>
                <c:ptCount val="7"/>
                <c:pt idx="0">
                  <c:v>79.62</c:v>
                </c:pt>
                <c:pt idx="1">
                  <c:v>78.790000000000006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0"/>
        <c:overlap val="-15"/>
        <c:axId val="-1382524864"/>
        <c:axId val="-1382515072"/>
      </c:barChart>
      <c:lineChart>
        <c:grouping val="standard"/>
        <c:varyColors val="0"/>
        <c:ser>
          <c:idx val="2"/>
          <c:order val="2"/>
          <c:tx>
            <c:v>Prom. Gral. Cons</c:v>
          </c:tx>
          <c:spPr>
            <a:ln w="41275" cap="rnd" cmpd="sng" algn="ctr">
              <a:solidFill>
                <a:sysClr val="windowText" lastClr="000000">
                  <a:lumMod val="100000"/>
                </a:sys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val>
            <c:numRef>
              <c:f>'Gráficos Demografías'!$D$177:$J$177</c:f>
              <c:numCache>
                <c:formatCode>0</c:formatCode>
                <c:ptCount val="7"/>
                <c:pt idx="0">
                  <c:v>82.91</c:v>
                </c:pt>
                <c:pt idx="1">
                  <c:v>82.91</c:v>
                </c:pt>
              </c:numCache>
            </c:numRef>
          </c:val>
          <c:smooth val="0"/>
        </c:ser>
        <c:ser>
          <c:idx val="3"/>
          <c:order val="3"/>
          <c:tx>
            <c:v>Percepción Gral.</c:v>
          </c:tx>
          <c:spPr>
            <a:ln w="53975" cap="rnd" cmpd="sng" algn="ctr">
              <a:solidFill>
                <a:srgbClr val="006086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13"/>
            <c:spPr>
              <a:solidFill>
                <a:srgbClr val="FFFFFF"/>
              </a:solidFill>
              <a:ln w="53975" cap="rnd" cmpd="sng" algn="ctr">
                <a:solidFill>
                  <a:srgbClr val="006086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400" b="1" i="0" u="none" strike="noStrike" kern="1200" baseline="0">
                    <a:solidFill>
                      <a:srgbClr val="006086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A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Demografías'!$D$178:$J$178</c:f>
              <c:numCache>
                <c:formatCode>0</c:formatCode>
                <c:ptCount val="7"/>
                <c:pt idx="0">
                  <c:v>85.32</c:v>
                </c:pt>
                <c:pt idx="1">
                  <c:v>83.78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1382524864"/>
        <c:axId val="-1382515072"/>
      </c:lineChart>
      <c:catAx>
        <c:axId val="-1382524864"/>
        <c:scaling>
          <c:orientation val="minMax"/>
        </c:scaling>
        <c:delete val="1"/>
        <c:axPos val="b"/>
        <c:majorTickMark val="none"/>
        <c:minorTickMark val="none"/>
        <c:tickLblPos val="nextTo"/>
        <c:crossAx val="-1382515072"/>
        <c:crosses val="autoZero"/>
        <c:auto val="1"/>
        <c:lblAlgn val="ctr"/>
        <c:lblOffset val="100"/>
        <c:noMultiLvlLbl val="0"/>
      </c:catAx>
      <c:valAx>
        <c:axId val="-1382515072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-13825248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  <c:userShapes r:id="rId3"/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0.18074992125984252"/>
          <c:y val="9.0705027256208354E-2"/>
          <c:w val="0.55000000000000004"/>
          <c:h val="0.70512820512820518"/>
        </c:manualLayout>
      </c:layout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rgbClr val="BD195A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"/>
            <c:bubble3D val="0"/>
            <c:spPr>
              <a:solidFill>
                <a:srgbClr val="835376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"/>
            <c:bubble3D val="0"/>
            <c:spPr>
              <a:solidFill>
                <a:srgbClr val="71699A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"/>
            <c:bubble3D val="0"/>
            <c:spPr>
              <a:solidFill>
                <a:srgbClr val="7489B5"/>
              </a:solidFill>
              <a:ln w="19050">
                <a:solidFill>
                  <a:schemeClr val="lt1"/>
                </a:solidFill>
              </a:ln>
              <a:effectLst/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endParaRPr lang="es-A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eparator>
</c:separator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Demografía!$U$2:$Y$2</c:f>
              <c:strCache>
                <c:ptCount val="5"/>
                <c:pt idx="0">
                  <c:v>Primario o inferior</c:v>
                </c:pt>
                <c:pt idx="1">
                  <c:v>Secundario</c:v>
                </c:pt>
                <c:pt idx="2">
                  <c:v>Universitario incompleto / Técnico / Terciario</c:v>
                </c:pt>
                <c:pt idx="3">
                  <c:v>Universitario completo</c:v>
                </c:pt>
                <c:pt idx="4">
                  <c:v>Posgrado</c:v>
                </c:pt>
              </c:strCache>
            </c:strRef>
          </c:cat>
          <c:val>
            <c:numRef>
              <c:f>Demografía!$U$17:$Y$17</c:f>
              <c:numCache>
                <c:formatCode>0.0</c:formatCode>
                <c:ptCount val="5"/>
                <c:pt idx="0">
                  <c:v>0.2554278416347382</c:v>
                </c:pt>
                <c:pt idx="1">
                  <c:v>7.6628352490421454</c:v>
                </c:pt>
                <c:pt idx="2">
                  <c:v>48.44614729672201</c:v>
                </c:pt>
                <c:pt idx="3">
                  <c:v>32.82247765006386</c:v>
                </c:pt>
                <c:pt idx="4">
                  <c:v>10.642826734780758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  <c:holeSize val="50"/>
      </c:doughnutChart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  <c:userShapes r:id="rId3"/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0.18096519685039369"/>
          <c:y val="9.5102564102564097E-2"/>
          <c:w val="0.55000000000000004"/>
          <c:h val="0.70512820512820518"/>
        </c:manualLayout>
      </c:layout>
      <c:pieChart>
        <c:varyColors val="1"/>
        <c:ser>
          <c:idx val="0"/>
          <c:order val="0"/>
          <c:spPr>
            <a:noFill/>
            <a:ln w="19050"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rgbClr val="4F81BD"/>
                  </a:solidFill>
                </a14:hiddenFill>
              </a:ext>
              <a:ext uri="{91240B29-F687-4F45-9708-019B960494DF}">
                <a14:hiddenLine xmlns:a14="http://schemas.microsoft.com/office/drawing/2010/main" w="19050">
                  <a:solidFill>
                    <a:sysClr val="window" lastClr="FFFFFF"/>
                  </a:solidFill>
                </a14:hiddenLine>
              </a:ext>
            </a:extLst>
          </c:spPr>
          <c:dPt>
            <c:idx val="0"/>
            <c:bubble3D val="0"/>
            <c:spPr>
              <a:noFill/>
              <a:ln w="19050">
                <a:noFill/>
              </a:ln>
              <a:effectLst/>
              <a:extLst>
                <a:ext uri="{909E8E84-426E-40DD-AFC4-6F175D3DCCD1}">
                  <a14:hiddenFill xmlns:a14="http://schemas.microsoft.com/office/drawing/2010/main">
                    <a:solidFill>
                      <a:srgbClr val="4F81BD"/>
                    </a:solidFill>
                  </a14:hiddenFill>
                </a:ext>
                <a:ext uri="{91240B29-F687-4F45-9708-019B960494DF}">
                  <a14:hiddenLine xmlns:a14="http://schemas.microsoft.com/office/drawing/2010/main" w="19050">
                    <a:solidFill>
                      <a:sysClr val="window" lastClr="FFFFFF"/>
                    </a:solidFill>
                  </a14:hiddenLine>
                </a:ext>
              </a:extLst>
            </c:spPr>
          </c:dPt>
          <c:dPt>
            <c:idx val="1"/>
            <c:bubble3D val="0"/>
            <c:spPr>
              <a:noFill/>
              <a:ln w="19050">
                <a:noFill/>
              </a:ln>
              <a:effectLst/>
              <a:extLst>
                <a:ext uri="{909E8E84-426E-40DD-AFC4-6F175D3DCCD1}">
                  <a14:hiddenFill xmlns:a14="http://schemas.microsoft.com/office/drawing/2010/main">
                    <a:solidFill>
                      <a:srgbClr val="4F81BD"/>
                    </a:solidFill>
                  </a14:hiddenFill>
                </a:ext>
                <a:ext uri="{91240B29-F687-4F45-9708-019B960494DF}">
                  <a14:hiddenLine xmlns:a14="http://schemas.microsoft.com/office/drawing/2010/main" w="19050">
                    <a:solidFill>
                      <a:sysClr val="window" lastClr="FFFFFF"/>
                    </a:solidFill>
                  </a14:hiddenLine>
                </a:ext>
              </a:extLst>
            </c:spPr>
          </c:dPt>
          <c:dPt>
            <c:idx val="2"/>
            <c:bubble3D val="0"/>
            <c:spPr>
              <a:noFill/>
              <a:ln w="19050">
                <a:noFill/>
              </a:ln>
              <a:effectLst/>
              <a:extLst>
                <a:ext uri="{909E8E84-426E-40DD-AFC4-6F175D3DCCD1}">
                  <a14:hiddenFill xmlns:a14="http://schemas.microsoft.com/office/drawing/2010/main">
                    <a:solidFill>
                      <a:srgbClr val="4F81BD"/>
                    </a:solidFill>
                  </a14:hiddenFill>
                </a:ext>
                <a:ext uri="{91240B29-F687-4F45-9708-019B960494DF}">
                  <a14:hiddenLine xmlns:a14="http://schemas.microsoft.com/office/drawing/2010/main" w="19050">
                    <a:solidFill>
                      <a:sysClr val="window" lastClr="FFFFFF"/>
                    </a:solidFill>
                  </a14:hiddenLine>
                </a:ext>
              </a:extLst>
            </c:spPr>
          </c:dPt>
          <c:dPt>
            <c:idx val="3"/>
            <c:bubble3D val="0"/>
            <c:spPr>
              <a:noFill/>
              <a:ln w="19050">
                <a:noFill/>
              </a:ln>
              <a:effectLst/>
              <a:extLst>
                <a:ext uri="{909E8E84-426E-40DD-AFC4-6F175D3DCCD1}">
                  <a14:hiddenFill xmlns:a14="http://schemas.microsoft.com/office/drawing/2010/main">
                    <a:solidFill>
                      <a:srgbClr val="4F81BD"/>
                    </a:solidFill>
                  </a14:hiddenFill>
                </a:ext>
                <a:ext uri="{91240B29-F687-4F45-9708-019B960494DF}">
                  <a14:hiddenLine xmlns:a14="http://schemas.microsoft.com/office/drawing/2010/main" w="19050">
                    <a:solidFill>
                      <a:sysClr val="window" lastClr="FFFFFF"/>
                    </a:solidFill>
                  </a14:hiddenLine>
                </a:ext>
              </a:extLst>
            </c:spPr>
          </c:dPt>
          <c:dPt>
            <c:idx val="4"/>
            <c:bubble3D val="0"/>
            <c:spPr>
              <a:noFill/>
              <a:ln w="19050">
                <a:noFill/>
              </a:ln>
              <a:effectLst/>
              <a:extLst>
                <a:ext uri="{909E8E84-426E-40DD-AFC4-6F175D3DCCD1}">
                  <a14:hiddenFill xmlns:a14="http://schemas.microsoft.com/office/drawing/2010/main">
                    <a:solidFill>
                      <a:srgbClr val="4F81BD"/>
                    </a:solidFill>
                  </a14:hiddenFill>
                </a:ext>
                <a:ext uri="{91240B29-F687-4F45-9708-019B960494DF}">
                  <a14:hiddenLine xmlns:a14="http://schemas.microsoft.com/office/drawing/2010/main" w="19050">
                    <a:solidFill>
                      <a:sysClr val="window" lastClr="FFFFFF"/>
                    </a:solidFill>
                  </a14:hiddenLine>
                </a:ext>
              </a:extLst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endParaRPr lang="es-AR"/>
              </a:p>
            </c:txPr>
            <c:dLblPos val="outEnd"/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Demografía!$U$2:$Y$2</c:f>
              <c:strCache>
                <c:ptCount val="5"/>
                <c:pt idx="0">
                  <c:v>Primario o inferior</c:v>
                </c:pt>
                <c:pt idx="1">
                  <c:v>Secundario</c:v>
                </c:pt>
                <c:pt idx="2">
                  <c:v>Universitario incompleto / Técnico / Terciario</c:v>
                </c:pt>
                <c:pt idx="3">
                  <c:v>Universitario completo</c:v>
                </c:pt>
                <c:pt idx="4">
                  <c:v>Posgrado</c:v>
                </c:pt>
              </c:strCache>
            </c:strRef>
          </c:cat>
          <c:val>
            <c:numRef>
              <c:f>Demografía!$U$17:$Y$17</c:f>
              <c:numCache>
                <c:formatCode>0.0</c:formatCode>
                <c:ptCount val="5"/>
                <c:pt idx="0">
                  <c:v>0.2554278416347382</c:v>
                </c:pt>
                <c:pt idx="1">
                  <c:v>7.6628352490421454</c:v>
                </c:pt>
                <c:pt idx="2">
                  <c:v>48.44614729672201</c:v>
                </c:pt>
                <c:pt idx="3">
                  <c:v>32.82247765006386</c:v>
                </c:pt>
                <c:pt idx="4">
                  <c:v>10.642826734780758</c:v>
                </c:pt>
              </c:numCache>
            </c:numRef>
          </c:val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5.9701492537313433E-3"/>
          <c:y val="0.12"/>
          <c:w val="0.99402985074626871"/>
          <c:h val="0.8"/>
        </c:manualLayout>
      </c:layout>
      <c:barChart>
        <c:barDir val="col"/>
        <c:grouping val="clustered"/>
        <c:varyColors val="0"/>
        <c:ser>
          <c:idx val="0"/>
          <c:order val="0"/>
          <c:tx>
            <c:v>Promedio Actual</c:v>
          </c:tx>
          <c:spPr>
            <a:solidFill>
              <a:srgbClr val="86868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A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Demografías'!$D$263:$J$263</c:f>
              <c:numCache>
                <c:formatCode>0</c:formatCode>
                <c:ptCount val="7"/>
                <c:pt idx="0">
                  <c:v>79.010000000000005</c:v>
                </c:pt>
                <c:pt idx="1">
                  <c:v>83.26</c:v>
                </c:pt>
                <c:pt idx="2">
                  <c:v>83.59</c:v>
                </c:pt>
                <c:pt idx="3">
                  <c:v>82.17</c:v>
                </c:pt>
                <c:pt idx="4">
                  <c:v>85.4</c:v>
                </c:pt>
              </c:numCache>
            </c:numRef>
          </c:val>
        </c:ser>
        <c:ser>
          <c:idx val="1"/>
          <c:order val="1"/>
          <c:tx>
            <c:v>Promedio Anterior</c:v>
          </c:tx>
          <c:spPr>
            <a:solidFill>
              <a:srgbClr val="BD1933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A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Demografías'!$D$265:$J$265</c:f>
              <c:numCache>
                <c:formatCode>0</c:formatCode>
                <c:ptCount val="7"/>
                <c:pt idx="0">
                  <c:v>68.069999999999993</c:v>
                </c:pt>
                <c:pt idx="1">
                  <c:v>79.69</c:v>
                </c:pt>
                <c:pt idx="2">
                  <c:v>79.13</c:v>
                </c:pt>
                <c:pt idx="3">
                  <c:v>78.17</c:v>
                </c:pt>
                <c:pt idx="4">
                  <c:v>82.9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0"/>
        <c:overlap val="-15"/>
        <c:axId val="-1382516704"/>
        <c:axId val="-1382514528"/>
      </c:barChart>
      <c:lineChart>
        <c:grouping val="standard"/>
        <c:varyColors val="0"/>
        <c:ser>
          <c:idx val="2"/>
          <c:order val="2"/>
          <c:tx>
            <c:v>Prom. Gral. Cons</c:v>
          </c:tx>
          <c:spPr>
            <a:ln w="41275" cap="rnd" cmpd="sng" algn="ctr">
              <a:solidFill>
                <a:sysClr val="windowText" lastClr="000000">
                  <a:lumMod val="100000"/>
                </a:sys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val>
            <c:numRef>
              <c:f>'Gráficos Demografías'!$D$268:$J$268</c:f>
              <c:numCache>
                <c:formatCode>0</c:formatCode>
                <c:ptCount val="7"/>
                <c:pt idx="0">
                  <c:v>82.91</c:v>
                </c:pt>
                <c:pt idx="1">
                  <c:v>82.91</c:v>
                </c:pt>
                <c:pt idx="2">
                  <c:v>82.91</c:v>
                </c:pt>
                <c:pt idx="3">
                  <c:v>82.91</c:v>
                </c:pt>
                <c:pt idx="4">
                  <c:v>82.91</c:v>
                </c:pt>
              </c:numCache>
            </c:numRef>
          </c:val>
          <c:smooth val="0"/>
        </c:ser>
        <c:ser>
          <c:idx val="3"/>
          <c:order val="3"/>
          <c:tx>
            <c:v>Percepción Gral.</c:v>
          </c:tx>
          <c:spPr>
            <a:ln w="53975" cap="rnd" cmpd="sng" algn="ctr">
              <a:solidFill>
                <a:srgbClr val="006086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13"/>
            <c:spPr>
              <a:solidFill>
                <a:srgbClr val="FFFFFF"/>
              </a:solidFill>
              <a:ln w="53975" cap="rnd" cmpd="sng" algn="ctr">
                <a:solidFill>
                  <a:srgbClr val="006086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400" b="1" i="0" u="none" strike="noStrike" kern="1200" baseline="0">
                    <a:solidFill>
                      <a:srgbClr val="006086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A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Demografías'!$D$269:$J$269</c:f>
              <c:numCache>
                <c:formatCode>0</c:formatCode>
                <c:ptCount val="7"/>
                <c:pt idx="0">
                  <c:v>75</c:v>
                </c:pt>
                <c:pt idx="1">
                  <c:v>86.11</c:v>
                </c:pt>
                <c:pt idx="2">
                  <c:v>84.66</c:v>
                </c:pt>
                <c:pt idx="3">
                  <c:v>82.38</c:v>
                </c:pt>
                <c:pt idx="4">
                  <c:v>89.58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1382516704"/>
        <c:axId val="-1382514528"/>
      </c:lineChart>
      <c:catAx>
        <c:axId val="-1382516704"/>
        <c:scaling>
          <c:orientation val="minMax"/>
        </c:scaling>
        <c:delete val="1"/>
        <c:axPos val="b"/>
        <c:majorTickMark val="none"/>
        <c:minorTickMark val="none"/>
        <c:tickLblPos val="nextTo"/>
        <c:crossAx val="-1382514528"/>
        <c:crosses val="autoZero"/>
        <c:auto val="1"/>
        <c:lblAlgn val="ctr"/>
        <c:lblOffset val="100"/>
        <c:noMultiLvlLbl val="0"/>
      </c:catAx>
      <c:valAx>
        <c:axId val="-1382514528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-13825167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  <c:userShapes r:id="rId3"/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2.1999999999999999E-2"/>
          <c:y val="2.8205128205128206E-2"/>
          <c:w val="0.95599999999999996"/>
          <c:h val="0.84615384615384603"/>
        </c:manualLayout>
      </c:layout>
      <c:barChart>
        <c:barDir val="bar"/>
        <c:grouping val="clustered"/>
        <c:varyColors val="1"/>
        <c:ser>
          <c:idx val="0"/>
          <c:order val="0"/>
          <c:invertIfNegative val="0"/>
          <c:dPt>
            <c:idx val="0"/>
            <c:invertIfNegative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invertIfNegative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"/>
            <c:invertIfNegative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"/>
            <c:invertIfNegative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"/>
            <c:invertIfNegative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"/>
            <c:invertIfNegative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6"/>
            <c:invertIfNegative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7"/>
            <c:invertIfNegative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8"/>
            <c:invertIfNegative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9"/>
            <c:invertIfNegative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Lbls>
            <c:dLbl>
              <c:idx val="0"/>
              <c:layout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400" b="0" i="0" u="none" strike="noStrike" kern="1200" baseline="0">
                        <a:solidFill>
                          <a:srgbClr val="000000">
                            <a:lumMod val="100000"/>
                          </a:srgbClr>
                        </a:solidFill>
                        <a:latin typeface="Arial" panose="020B0604020202020204" pitchFamily="34" charset="0"/>
                        <a:ea typeface="+mn-ea"/>
                        <a:cs typeface="Arial" panose="020B0604020202020204" pitchFamily="34" charset="0"/>
                      </a:defRPr>
                    </a:pPr>
                    <a:r>
                      <a:rPr lang="en-US" sz="1400">
                        <a:solidFill>
                          <a:srgbClr val="000000">
                            <a:lumMod val="100000"/>
                          </a:srgbClr>
                        </a:solidFill>
                        <a:latin typeface="Arial" panose="020B0604020202020204" pitchFamily="34" charset="0"/>
                        <a:cs typeface="Arial" panose="020B0604020202020204" pitchFamily="34" charset="0"/>
                      </a:rPr>
                      <a:t>0,9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400" b="0" i="0" u="none" strike="noStrike" kern="1200" baseline="0">
                      <a:solidFill>
                        <a:srgbClr val="000000">
                          <a:lumMod val="100000"/>
                        </a:srgbClr>
                      </a:solidFill>
                      <a:latin typeface="Arial" panose="020B0604020202020204" pitchFamily="34" charset="0"/>
                      <a:ea typeface="+mn-ea"/>
                      <a:cs typeface="Arial" panose="020B0604020202020204" pitchFamily="34" charset="0"/>
                    </a:defRPr>
                  </a:pPr>
                  <a:endParaRPr lang="es-AR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1"/>
              <c:layout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400" b="0" i="0" u="none" strike="noStrike" kern="1200" baseline="0">
                        <a:solidFill>
                          <a:srgbClr val="000000">
                            <a:lumMod val="100000"/>
                          </a:srgbClr>
                        </a:solidFill>
                        <a:latin typeface="Arial" panose="020B0604020202020204" pitchFamily="34" charset="0"/>
                        <a:ea typeface="+mn-ea"/>
                        <a:cs typeface="Arial" panose="020B0604020202020204" pitchFamily="34" charset="0"/>
                      </a:defRPr>
                    </a:pPr>
                    <a:r>
                      <a:rPr lang="en-US" sz="1400">
                        <a:solidFill>
                          <a:srgbClr val="000000">
                            <a:lumMod val="100000"/>
                          </a:srgbClr>
                        </a:solidFill>
                        <a:latin typeface="Arial" panose="020B0604020202020204" pitchFamily="34" charset="0"/>
                        <a:cs typeface="Arial" panose="020B0604020202020204" pitchFamily="34" charset="0"/>
                      </a:rPr>
                      <a:t>0,9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400" b="0" i="0" u="none" strike="noStrike" kern="1200" baseline="0">
                      <a:solidFill>
                        <a:srgbClr val="000000">
                          <a:lumMod val="100000"/>
                        </a:srgbClr>
                      </a:solidFill>
                      <a:latin typeface="Arial" panose="020B0604020202020204" pitchFamily="34" charset="0"/>
                      <a:ea typeface="+mn-ea"/>
                      <a:cs typeface="Arial" panose="020B0604020202020204" pitchFamily="34" charset="0"/>
                    </a:defRPr>
                  </a:pPr>
                  <a:endParaRPr lang="es-AR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2"/>
              <c:layout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400" b="0" i="0" u="none" strike="noStrike" kern="1200" baseline="0">
                        <a:solidFill>
                          <a:schemeClr val="bg1">
                            <a:lumMod val="100000"/>
                          </a:schemeClr>
                        </a:solidFill>
                        <a:latin typeface="Arial" panose="020B0604020202020204" pitchFamily="34" charset="0"/>
                        <a:ea typeface="+mn-ea"/>
                        <a:cs typeface="Arial" panose="020B0604020202020204" pitchFamily="34" charset="0"/>
                      </a:defRPr>
                    </a:pPr>
                    <a:r>
                      <a:rPr lang="en-US" sz="1400">
                        <a:latin typeface="Arial" panose="020B0604020202020204" pitchFamily="34" charset="0"/>
                        <a:cs typeface="Arial" panose="020B0604020202020204" pitchFamily="34" charset="0"/>
                      </a:rPr>
                      <a:t>20,8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400" b="0" i="0" u="none" strike="noStrike" kern="1200" baseline="0">
                      <a:solidFill>
                        <a:schemeClr val="bg1">
                          <a:lumMod val="100000"/>
                        </a:schemeClr>
                      </a:solidFill>
                      <a:latin typeface="Arial" panose="020B0604020202020204" pitchFamily="34" charset="0"/>
                      <a:ea typeface="+mn-ea"/>
                      <a:cs typeface="Arial" panose="020B0604020202020204" pitchFamily="34" charset="0"/>
                    </a:defRPr>
                  </a:pPr>
                  <a:endParaRPr lang="es-AR"/>
                </a:p>
              </c:txPr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3"/>
              <c:layout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400" b="0" i="0" u="none" strike="noStrike" kern="1200" baseline="0">
                        <a:solidFill>
                          <a:schemeClr val="bg1">
                            <a:lumMod val="100000"/>
                          </a:schemeClr>
                        </a:solidFill>
                        <a:latin typeface="Arial" panose="020B0604020202020204" pitchFamily="34" charset="0"/>
                        <a:ea typeface="+mn-ea"/>
                        <a:cs typeface="Arial" panose="020B0604020202020204" pitchFamily="34" charset="0"/>
                      </a:defRPr>
                    </a:pPr>
                    <a:r>
                      <a:rPr lang="en-US" sz="1400">
                        <a:latin typeface="Arial" panose="020B0604020202020204" pitchFamily="34" charset="0"/>
                        <a:cs typeface="Arial" panose="020B0604020202020204" pitchFamily="34" charset="0"/>
                      </a:rPr>
                      <a:t>16,9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400" b="0" i="0" u="none" strike="noStrike" kern="1200" baseline="0">
                      <a:solidFill>
                        <a:schemeClr val="bg1">
                          <a:lumMod val="100000"/>
                        </a:schemeClr>
                      </a:solidFill>
                      <a:latin typeface="Arial" panose="020B0604020202020204" pitchFamily="34" charset="0"/>
                      <a:ea typeface="+mn-ea"/>
                      <a:cs typeface="Arial" panose="020B0604020202020204" pitchFamily="34" charset="0"/>
                    </a:defRPr>
                  </a:pPr>
                  <a:endParaRPr lang="es-AR"/>
                </a:p>
              </c:txPr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4"/>
              <c:layout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400" b="0" i="0" u="none" strike="noStrike" kern="1200" baseline="0">
                        <a:solidFill>
                          <a:schemeClr val="bg1">
                            <a:lumMod val="100000"/>
                          </a:schemeClr>
                        </a:solidFill>
                        <a:latin typeface="Arial" panose="020B0604020202020204" pitchFamily="34" charset="0"/>
                        <a:ea typeface="+mn-ea"/>
                        <a:cs typeface="Arial" panose="020B0604020202020204" pitchFamily="34" charset="0"/>
                      </a:defRPr>
                    </a:pPr>
                    <a:r>
                      <a:rPr lang="en-US" sz="1400">
                        <a:latin typeface="Arial" panose="020B0604020202020204" pitchFamily="34" charset="0"/>
                        <a:cs typeface="Arial" panose="020B0604020202020204" pitchFamily="34" charset="0"/>
                      </a:rPr>
                      <a:t>8,2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400" b="0" i="0" u="none" strike="noStrike" kern="1200" baseline="0">
                      <a:solidFill>
                        <a:schemeClr val="bg1">
                          <a:lumMod val="100000"/>
                        </a:schemeClr>
                      </a:solidFill>
                      <a:latin typeface="Arial" panose="020B0604020202020204" pitchFamily="34" charset="0"/>
                      <a:ea typeface="+mn-ea"/>
                      <a:cs typeface="Arial" panose="020B0604020202020204" pitchFamily="34" charset="0"/>
                    </a:defRPr>
                  </a:pPr>
                  <a:endParaRPr lang="es-AR"/>
                </a:p>
              </c:txPr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5"/>
              <c:layout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400" b="0" i="0" u="none" strike="noStrike" kern="1200" baseline="0">
                        <a:solidFill>
                          <a:schemeClr val="bg1">
                            <a:lumMod val="100000"/>
                          </a:schemeClr>
                        </a:solidFill>
                        <a:latin typeface="Arial" panose="020B0604020202020204" pitchFamily="34" charset="0"/>
                        <a:ea typeface="+mn-ea"/>
                        <a:cs typeface="Arial" panose="020B0604020202020204" pitchFamily="34" charset="0"/>
                      </a:defRPr>
                    </a:pPr>
                    <a:r>
                      <a:rPr lang="en-US" sz="1400">
                        <a:latin typeface="Arial" panose="020B0604020202020204" pitchFamily="34" charset="0"/>
                        <a:cs typeface="Arial" panose="020B0604020202020204" pitchFamily="34" charset="0"/>
                      </a:rPr>
                      <a:t>9,1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400" b="0" i="0" u="none" strike="noStrike" kern="1200" baseline="0">
                      <a:solidFill>
                        <a:schemeClr val="bg1">
                          <a:lumMod val="100000"/>
                        </a:schemeClr>
                      </a:solidFill>
                      <a:latin typeface="Arial" panose="020B0604020202020204" pitchFamily="34" charset="0"/>
                      <a:ea typeface="+mn-ea"/>
                      <a:cs typeface="Arial" panose="020B0604020202020204" pitchFamily="34" charset="0"/>
                    </a:defRPr>
                  </a:pPr>
                  <a:endParaRPr lang="es-AR"/>
                </a:p>
              </c:txPr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6"/>
              <c:layout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400" b="0" i="0" u="none" strike="noStrike" kern="1200" baseline="0">
                        <a:solidFill>
                          <a:schemeClr val="bg1">
                            <a:lumMod val="100000"/>
                          </a:schemeClr>
                        </a:solidFill>
                        <a:latin typeface="Arial" panose="020B0604020202020204" pitchFamily="34" charset="0"/>
                        <a:ea typeface="+mn-ea"/>
                        <a:cs typeface="Arial" panose="020B0604020202020204" pitchFamily="34" charset="0"/>
                      </a:defRPr>
                    </a:pPr>
                    <a:r>
                      <a:rPr lang="en-US" sz="1400">
                        <a:latin typeface="Arial" panose="020B0604020202020204" pitchFamily="34" charset="0"/>
                        <a:cs typeface="Arial" panose="020B0604020202020204" pitchFamily="34" charset="0"/>
                      </a:rPr>
                      <a:t>11,4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400" b="0" i="0" u="none" strike="noStrike" kern="1200" baseline="0">
                      <a:solidFill>
                        <a:schemeClr val="bg1">
                          <a:lumMod val="100000"/>
                        </a:schemeClr>
                      </a:solidFill>
                      <a:latin typeface="Arial" panose="020B0604020202020204" pitchFamily="34" charset="0"/>
                      <a:ea typeface="+mn-ea"/>
                      <a:cs typeface="Arial" panose="020B0604020202020204" pitchFamily="34" charset="0"/>
                    </a:defRPr>
                  </a:pPr>
                  <a:endParaRPr lang="es-AR"/>
                </a:p>
              </c:txPr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7"/>
              <c:layout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400" b="0" i="0" u="none" strike="noStrike" kern="1200" baseline="0">
                        <a:solidFill>
                          <a:schemeClr val="bg1">
                            <a:lumMod val="100000"/>
                          </a:schemeClr>
                        </a:solidFill>
                        <a:latin typeface="Arial" panose="020B0604020202020204" pitchFamily="34" charset="0"/>
                        <a:ea typeface="+mn-ea"/>
                        <a:cs typeface="Arial" panose="020B0604020202020204" pitchFamily="34" charset="0"/>
                      </a:defRPr>
                    </a:pPr>
                    <a:r>
                      <a:rPr lang="en-US" sz="1400">
                        <a:latin typeface="Arial" panose="020B0604020202020204" pitchFamily="34" charset="0"/>
                        <a:cs typeface="Arial" panose="020B0604020202020204" pitchFamily="34" charset="0"/>
                      </a:rPr>
                      <a:t>18,7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400" b="0" i="0" u="none" strike="noStrike" kern="1200" baseline="0">
                      <a:solidFill>
                        <a:schemeClr val="bg1">
                          <a:lumMod val="100000"/>
                        </a:schemeClr>
                      </a:solidFill>
                      <a:latin typeface="Arial" panose="020B0604020202020204" pitchFamily="34" charset="0"/>
                      <a:ea typeface="+mn-ea"/>
                      <a:cs typeface="Arial" panose="020B0604020202020204" pitchFamily="34" charset="0"/>
                    </a:defRPr>
                  </a:pPr>
                  <a:endParaRPr lang="es-AR"/>
                </a:p>
              </c:txPr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8"/>
              <c:layout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400" b="0" i="0" u="none" strike="noStrike" kern="1200" baseline="0">
                        <a:solidFill>
                          <a:schemeClr val="bg1">
                            <a:lumMod val="100000"/>
                          </a:schemeClr>
                        </a:solidFill>
                        <a:latin typeface="Arial" panose="020B0604020202020204" pitchFamily="34" charset="0"/>
                        <a:ea typeface="+mn-ea"/>
                        <a:cs typeface="Arial" panose="020B0604020202020204" pitchFamily="34" charset="0"/>
                      </a:defRPr>
                    </a:pPr>
                    <a:r>
                      <a:rPr lang="en-US" sz="1400">
                        <a:latin typeface="Arial" panose="020B0604020202020204" pitchFamily="34" charset="0"/>
                        <a:cs typeface="Arial" panose="020B0604020202020204" pitchFamily="34" charset="0"/>
                      </a:rPr>
                      <a:t>8,4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400" b="0" i="0" u="none" strike="noStrike" kern="1200" baseline="0">
                      <a:solidFill>
                        <a:schemeClr val="bg1">
                          <a:lumMod val="100000"/>
                        </a:schemeClr>
                      </a:solidFill>
                      <a:latin typeface="Arial" panose="020B0604020202020204" pitchFamily="34" charset="0"/>
                      <a:ea typeface="+mn-ea"/>
                      <a:cs typeface="Arial" panose="020B0604020202020204" pitchFamily="34" charset="0"/>
                    </a:defRPr>
                  </a:pPr>
                  <a:endParaRPr lang="es-AR"/>
                </a:p>
              </c:txPr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9"/>
              <c:layout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400" b="0" i="0" u="none" strike="noStrike" kern="1200" baseline="0">
                        <a:solidFill>
                          <a:srgbClr val="000000">
                            <a:lumMod val="100000"/>
                          </a:srgbClr>
                        </a:solidFill>
                        <a:latin typeface="Arial" panose="020B0604020202020204" pitchFamily="34" charset="0"/>
                        <a:ea typeface="+mn-ea"/>
                        <a:cs typeface="Arial" panose="020B0604020202020204" pitchFamily="34" charset="0"/>
                      </a:defRPr>
                    </a:pPr>
                    <a:r>
                      <a:rPr lang="en-US" sz="1400">
                        <a:solidFill>
                          <a:srgbClr val="000000">
                            <a:lumMod val="100000"/>
                          </a:srgbClr>
                        </a:solidFill>
                        <a:latin typeface="Arial" panose="020B0604020202020204" pitchFamily="34" charset="0"/>
                        <a:cs typeface="Arial" panose="020B0604020202020204" pitchFamily="34" charset="0"/>
                      </a:rPr>
                      <a:t>0,9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400" b="0" i="0" u="none" strike="noStrike" kern="1200" baseline="0">
                      <a:solidFill>
                        <a:srgbClr val="000000">
                          <a:lumMod val="100000"/>
                        </a:srgbClr>
                      </a:solidFill>
                      <a:latin typeface="Arial" panose="020B0604020202020204" pitchFamily="34" charset="0"/>
                      <a:ea typeface="+mn-ea"/>
                      <a:cs typeface="Arial" panose="020B0604020202020204" pitchFamily="34" charset="0"/>
                    </a:defRPr>
                  </a:pPr>
                  <a:endParaRPr lang="es-AR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Demografía!$AA$2:$AJ$2</c:f>
              <c:strCache>
                <c:ptCount val="10"/>
                <c:pt idx="0">
                  <c:v>Director, Gerente General o Gerente (Nivel Hay 9 y superior)</c:v>
                </c:pt>
                <c:pt idx="1">
                  <c:v>Gte/Team leader/Jefe/Operador de Mesa (Nivel Hay 8)</c:v>
                </c:pt>
                <c:pt idx="2">
                  <c:v>Gerente/Jefe/Supervisor/RSC/T. Leader/Encargado/Tesorero/Supervisor Zonal/Líder/Coordinador (Nivel Hay 6 y 7)</c:v>
                </c:pt>
                <c:pt idx="3">
                  <c:v>Técnico/ Especialista/Analista (Analista, trainee, SSR, SR) / Administrativo /Asesor RRHH/Supervisor UVM</c:v>
                </c:pt>
                <c:pt idx="4">
                  <c:v>Oficiales Comerciales Áreas Centrales/Oficiales de Negocios/Oficial Banca Privada</c:v>
                </c:pt>
                <c:pt idx="5">
                  <c:v>Auxiliar/Asistente/Ordenanza/Recepcionista/Secretaria</c:v>
                </c:pt>
                <c:pt idx="6">
                  <c:v>Cajeros /Auxiliares de caja de seguridad/Cajero trainee comercial/Recepcionista Eminent</c:v>
                </c:pt>
                <c:pt idx="7">
                  <c:v>Oficiales Comerciales Sucursales/ Oficiales ventas minoristas</c:v>
                </c:pt>
                <c:pt idx="8">
                  <c:v>Centro de Contactos con clientes (Oficiales, Staff)</c:v>
                </c:pt>
                <c:pt idx="9">
                  <c:v>Joven Profesional</c:v>
                </c:pt>
              </c:strCache>
            </c:strRef>
          </c:cat>
          <c:val>
            <c:numRef>
              <c:f>Demografía!$AA$17:$AJ$17</c:f>
              <c:numCache>
                <c:formatCode>0.0</c:formatCode>
                <c:ptCount val="10"/>
                <c:pt idx="0">
                  <c:v>1.5751383567475523</c:v>
                </c:pt>
                <c:pt idx="1">
                  <c:v>2.9587058322690507</c:v>
                </c:pt>
                <c:pt idx="2">
                  <c:v>20.838654746700726</c:v>
                </c:pt>
                <c:pt idx="3">
                  <c:v>16.900808854831844</c:v>
                </c:pt>
                <c:pt idx="4">
                  <c:v>8.2162622392507441</c:v>
                </c:pt>
                <c:pt idx="5">
                  <c:v>9.0676883780332069</c:v>
                </c:pt>
                <c:pt idx="6">
                  <c:v>11.409110259684972</c:v>
                </c:pt>
                <c:pt idx="7">
                  <c:v>18.667518092805448</c:v>
                </c:pt>
                <c:pt idx="8">
                  <c:v>8.4291187739463602</c:v>
                </c:pt>
                <c:pt idx="9">
                  <c:v>0.89399744572158357</c:v>
                </c:pt>
              </c:numCache>
            </c:numRef>
          </c:val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0"/>
        <c:axId val="-1290520816"/>
        <c:axId val="-1290521904"/>
      </c:barChart>
      <c:catAx>
        <c:axId val="-1290520816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/>
                <a:ea typeface="Arial"/>
                <a:cs typeface="Arial"/>
              </a:defRPr>
            </a:pPr>
            <a:endParaRPr lang="es-AR"/>
          </a:p>
        </c:txPr>
        <c:crossAx val="-1290521904"/>
        <c:crosses val="autoZero"/>
        <c:auto val="1"/>
        <c:lblAlgn val="ctr"/>
        <c:lblOffset val="100"/>
        <c:noMultiLvlLbl val="0"/>
      </c:catAx>
      <c:valAx>
        <c:axId val="-1290521904"/>
        <c:scaling>
          <c:orientation val="minMax"/>
        </c:scaling>
        <c:delete val="1"/>
        <c:axPos val="b"/>
        <c:numFmt formatCode="0.0" sourceLinked="1"/>
        <c:majorTickMark val="none"/>
        <c:minorTickMark val="none"/>
        <c:tickLblPos val="nextTo"/>
        <c:crossAx val="-12905208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  <c:userShapes r:id="rId3"/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5.9701492537313433E-3"/>
          <c:y val="0.12"/>
          <c:w val="0.99402985074626871"/>
          <c:h val="0.8"/>
        </c:manualLayout>
      </c:layout>
      <c:barChart>
        <c:barDir val="col"/>
        <c:grouping val="clustered"/>
        <c:varyColors val="0"/>
        <c:ser>
          <c:idx val="0"/>
          <c:order val="0"/>
          <c:tx>
            <c:v>Promedio Actual</c:v>
          </c:tx>
          <c:spPr>
            <a:solidFill>
              <a:srgbClr val="86868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A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Demografías'!$D$324:$J$324</c:f>
              <c:numCache>
                <c:formatCode>0</c:formatCode>
                <c:ptCount val="7"/>
                <c:pt idx="0">
                  <c:v>92.75</c:v>
                </c:pt>
                <c:pt idx="1">
                  <c:v>89.82</c:v>
                </c:pt>
                <c:pt idx="2">
                  <c:v>87.04</c:v>
                </c:pt>
                <c:pt idx="3">
                  <c:v>82.03</c:v>
                </c:pt>
                <c:pt idx="4">
                  <c:v>80.510000000000005</c:v>
                </c:pt>
              </c:numCache>
            </c:numRef>
          </c:val>
        </c:ser>
        <c:ser>
          <c:idx val="1"/>
          <c:order val="1"/>
          <c:tx>
            <c:v>Promedio Anterior</c:v>
          </c:tx>
          <c:spPr>
            <a:solidFill>
              <a:srgbClr val="BD1933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A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Demografías'!$D$326:$J$326</c:f>
              <c:numCache>
                <c:formatCode>0</c:formatCode>
                <c:ptCount val="7"/>
                <c:pt idx="0">
                  <c:v>91.91</c:v>
                </c:pt>
                <c:pt idx="1">
                  <c:v>88.05</c:v>
                </c:pt>
                <c:pt idx="2">
                  <c:v>86.33</c:v>
                </c:pt>
                <c:pt idx="3">
                  <c:v>77.510000000000005</c:v>
                </c:pt>
                <c:pt idx="4">
                  <c:v>73.2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0"/>
        <c:overlap val="-15"/>
        <c:axId val="-1290525712"/>
        <c:axId val="-1290520272"/>
      </c:barChart>
      <c:lineChart>
        <c:grouping val="standard"/>
        <c:varyColors val="0"/>
        <c:ser>
          <c:idx val="2"/>
          <c:order val="2"/>
          <c:tx>
            <c:v>Prom. Gral. Cons</c:v>
          </c:tx>
          <c:spPr>
            <a:ln w="41275" cap="rnd" cmpd="sng" algn="ctr">
              <a:solidFill>
                <a:sysClr val="windowText" lastClr="000000">
                  <a:lumMod val="100000"/>
                </a:sys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val>
            <c:numRef>
              <c:f>'Gráficos Demografías'!$D$329:$J$329</c:f>
              <c:numCache>
                <c:formatCode>0</c:formatCode>
                <c:ptCount val="7"/>
                <c:pt idx="0">
                  <c:v>82.91</c:v>
                </c:pt>
                <c:pt idx="1">
                  <c:v>82.91</c:v>
                </c:pt>
                <c:pt idx="2">
                  <c:v>82.91</c:v>
                </c:pt>
                <c:pt idx="3">
                  <c:v>82.91</c:v>
                </c:pt>
                <c:pt idx="4">
                  <c:v>82.91</c:v>
                </c:pt>
              </c:numCache>
            </c:numRef>
          </c:val>
          <c:smooth val="0"/>
        </c:ser>
        <c:ser>
          <c:idx val="3"/>
          <c:order val="3"/>
          <c:tx>
            <c:v>Percepción Gral.</c:v>
          </c:tx>
          <c:spPr>
            <a:ln w="53975" cap="rnd" cmpd="sng" algn="ctr">
              <a:solidFill>
                <a:srgbClr val="006086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13"/>
            <c:spPr>
              <a:solidFill>
                <a:srgbClr val="FFFFFF"/>
              </a:solidFill>
              <a:ln w="53975" cap="rnd" cmpd="sng" algn="ctr">
                <a:solidFill>
                  <a:srgbClr val="006086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400" b="1" i="0" u="none" strike="noStrike" kern="1200" baseline="0">
                    <a:solidFill>
                      <a:srgbClr val="006086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A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Demografías'!$D$330:$J$330</c:f>
              <c:numCache>
                <c:formatCode>0</c:formatCode>
                <c:ptCount val="7"/>
                <c:pt idx="0">
                  <c:v>98.65</c:v>
                </c:pt>
                <c:pt idx="1">
                  <c:v>94.24</c:v>
                </c:pt>
                <c:pt idx="2">
                  <c:v>89.27</c:v>
                </c:pt>
                <c:pt idx="3">
                  <c:v>85.34</c:v>
                </c:pt>
                <c:pt idx="4">
                  <c:v>81.61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1290525712"/>
        <c:axId val="-1290520272"/>
      </c:lineChart>
      <c:catAx>
        <c:axId val="-1290525712"/>
        <c:scaling>
          <c:orientation val="minMax"/>
        </c:scaling>
        <c:delete val="1"/>
        <c:axPos val="b"/>
        <c:majorTickMark val="none"/>
        <c:minorTickMark val="none"/>
        <c:tickLblPos val="nextTo"/>
        <c:crossAx val="-1290520272"/>
        <c:crosses val="autoZero"/>
        <c:auto val="1"/>
        <c:lblAlgn val="ctr"/>
        <c:lblOffset val="100"/>
        <c:noMultiLvlLbl val="0"/>
      </c:catAx>
      <c:valAx>
        <c:axId val="-1290520272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-129052571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  <c:userShapes r:id="rId3"/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5.9701492537313433E-3"/>
          <c:y val="0.12"/>
          <c:w val="0.99402985074626871"/>
          <c:h val="0.8"/>
        </c:manualLayout>
      </c:layout>
      <c:barChart>
        <c:barDir val="col"/>
        <c:grouping val="clustered"/>
        <c:varyColors val="0"/>
        <c:ser>
          <c:idx val="0"/>
          <c:order val="0"/>
          <c:tx>
            <c:v>Promedio Actual</c:v>
          </c:tx>
          <c:spPr>
            <a:solidFill>
              <a:srgbClr val="86868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A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Demografías'!$D$355:$J$355</c:f>
              <c:numCache>
                <c:formatCode>0</c:formatCode>
                <c:ptCount val="7"/>
                <c:pt idx="0">
                  <c:v>75.88</c:v>
                </c:pt>
                <c:pt idx="1">
                  <c:v>81.69</c:v>
                </c:pt>
                <c:pt idx="2">
                  <c:v>83.78</c:v>
                </c:pt>
                <c:pt idx="3">
                  <c:v>85.39</c:v>
                </c:pt>
                <c:pt idx="4">
                  <c:v>77.95</c:v>
                </c:pt>
              </c:numCache>
            </c:numRef>
          </c:val>
        </c:ser>
        <c:ser>
          <c:idx val="1"/>
          <c:order val="1"/>
          <c:tx>
            <c:v>Promedio Anterior</c:v>
          </c:tx>
          <c:spPr>
            <a:solidFill>
              <a:srgbClr val="BD1933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A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Demografías'!$D$357:$J$357</c:f>
              <c:numCache>
                <c:formatCode>0</c:formatCode>
                <c:ptCount val="7"/>
                <c:pt idx="0">
                  <c:v>71.02</c:v>
                </c:pt>
                <c:pt idx="1">
                  <c:v>74.760000000000005</c:v>
                </c:pt>
                <c:pt idx="2">
                  <c:v>80.2</c:v>
                </c:pt>
                <c:pt idx="3">
                  <c:v>80.39</c:v>
                </c:pt>
                <c:pt idx="4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0"/>
        <c:overlap val="-15"/>
        <c:axId val="-1290526800"/>
        <c:axId val="-1290522448"/>
      </c:barChart>
      <c:lineChart>
        <c:grouping val="standard"/>
        <c:varyColors val="0"/>
        <c:ser>
          <c:idx val="2"/>
          <c:order val="2"/>
          <c:tx>
            <c:v>Prom. Gral. Cons</c:v>
          </c:tx>
          <c:spPr>
            <a:ln w="41275" cap="rnd" cmpd="sng" algn="ctr">
              <a:solidFill>
                <a:sysClr val="windowText" lastClr="000000">
                  <a:lumMod val="100000"/>
                </a:sys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val>
            <c:numRef>
              <c:f>'Gráficos Demografías'!$D$360:$J$360</c:f>
              <c:numCache>
                <c:formatCode>0</c:formatCode>
                <c:ptCount val="7"/>
                <c:pt idx="0">
                  <c:v>82.91</c:v>
                </c:pt>
                <c:pt idx="1">
                  <c:v>82.91</c:v>
                </c:pt>
                <c:pt idx="2">
                  <c:v>82.91</c:v>
                </c:pt>
                <c:pt idx="3">
                  <c:v>82.91</c:v>
                </c:pt>
                <c:pt idx="4">
                  <c:v>82.91</c:v>
                </c:pt>
              </c:numCache>
            </c:numRef>
          </c:val>
          <c:smooth val="0"/>
        </c:ser>
        <c:ser>
          <c:idx val="3"/>
          <c:order val="3"/>
          <c:tx>
            <c:v>Percepción Gral.</c:v>
          </c:tx>
          <c:spPr>
            <a:ln w="53975" cap="rnd" cmpd="sng" algn="ctr">
              <a:solidFill>
                <a:srgbClr val="006086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13"/>
            <c:spPr>
              <a:solidFill>
                <a:srgbClr val="FFFFFF"/>
              </a:solidFill>
              <a:ln w="53975" cap="rnd" cmpd="sng" algn="ctr">
                <a:solidFill>
                  <a:srgbClr val="006086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400" b="1" i="0" u="none" strike="noStrike" kern="1200" baseline="0">
                    <a:solidFill>
                      <a:srgbClr val="006086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A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Demografías'!$D$361:$J$361</c:f>
              <c:numCache>
                <c:formatCode>0</c:formatCode>
                <c:ptCount val="7"/>
                <c:pt idx="0">
                  <c:v>80</c:v>
                </c:pt>
                <c:pt idx="1">
                  <c:v>81.459999999999994</c:v>
                </c:pt>
                <c:pt idx="2">
                  <c:v>82.78</c:v>
                </c:pt>
                <c:pt idx="3">
                  <c:v>82.83</c:v>
                </c:pt>
                <c:pt idx="4">
                  <c:v>76.19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1290526800"/>
        <c:axId val="-1290522448"/>
      </c:lineChart>
      <c:catAx>
        <c:axId val="-1290526800"/>
        <c:scaling>
          <c:orientation val="minMax"/>
        </c:scaling>
        <c:delete val="1"/>
        <c:axPos val="b"/>
        <c:majorTickMark val="none"/>
        <c:minorTickMark val="none"/>
        <c:tickLblPos val="nextTo"/>
        <c:crossAx val="-1290522448"/>
        <c:crosses val="autoZero"/>
        <c:auto val="1"/>
        <c:lblAlgn val="ctr"/>
        <c:lblOffset val="100"/>
        <c:noMultiLvlLbl val="0"/>
      </c:catAx>
      <c:valAx>
        <c:axId val="-1290522448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-12905268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  <c:userShapes r:id="rId3"/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0.18074992125984252"/>
          <c:y val="9.0705027256208354E-2"/>
          <c:w val="0.55000000000000004"/>
          <c:h val="0.70512820512820518"/>
        </c:manualLayout>
      </c:layout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rgbClr val="BD195A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"/>
            <c:bubble3D val="0"/>
            <c:spPr>
              <a:solidFill>
                <a:srgbClr val="835376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"/>
            <c:bubble3D val="0"/>
            <c:spPr>
              <a:solidFill>
                <a:srgbClr val="71699A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"/>
            <c:bubble3D val="0"/>
            <c:spPr>
              <a:solidFill>
                <a:srgbClr val="7489B5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"/>
            <c:bubble3D val="0"/>
            <c:spPr>
              <a:solidFill>
                <a:srgbClr val="52A5DD"/>
              </a:solidFill>
              <a:ln w="19050">
                <a:solidFill>
                  <a:schemeClr val="lt1"/>
                </a:solidFill>
              </a:ln>
              <a:effectLst/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endParaRPr lang="es-A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eparator>
</c:separator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Demografía!$AL$2:$AQ$2</c:f>
              <c:strCache>
                <c:ptCount val="6"/>
                <c:pt idx="0">
                  <c:v>De 3 meses a 1 año</c:v>
                </c:pt>
                <c:pt idx="1">
                  <c:v>2 a 5 años</c:v>
                </c:pt>
                <c:pt idx="2">
                  <c:v>6 a 10 años</c:v>
                </c:pt>
                <c:pt idx="3">
                  <c:v>11 a 15 años</c:v>
                </c:pt>
                <c:pt idx="4">
                  <c:v>16 a 20 años</c:v>
                </c:pt>
                <c:pt idx="5">
                  <c:v>Más de 21 años</c:v>
                </c:pt>
              </c:strCache>
            </c:strRef>
          </c:cat>
          <c:val>
            <c:numRef>
              <c:f>Demografía!$AL$17:$AQ$17</c:f>
              <c:numCache>
                <c:formatCode>0.0</c:formatCode>
                <c:ptCount val="6"/>
                <c:pt idx="0">
                  <c:v>9.0464027245636451</c:v>
                </c:pt>
                <c:pt idx="1">
                  <c:v>23.946360153256705</c:v>
                </c:pt>
                <c:pt idx="2">
                  <c:v>25.500212856534691</c:v>
                </c:pt>
                <c:pt idx="3">
                  <c:v>8.7696892294593454</c:v>
                </c:pt>
                <c:pt idx="4">
                  <c:v>16.836951894423159</c:v>
                </c:pt>
                <c:pt idx="5">
                  <c:v>15.304384844614729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  <c:holeSize val="50"/>
      </c:doughnutChart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  <c:userShapes r:id="rId3"/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0.18096519685039369"/>
          <c:y val="9.5102564102564097E-2"/>
          <c:w val="0.55000000000000004"/>
          <c:h val="0.70512820512820518"/>
        </c:manualLayout>
      </c:layout>
      <c:pieChart>
        <c:varyColors val="1"/>
        <c:ser>
          <c:idx val="0"/>
          <c:order val="0"/>
          <c:spPr>
            <a:noFill/>
            <a:ln w="19050"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rgbClr val="4F81BD"/>
                  </a:solidFill>
                </a14:hiddenFill>
              </a:ext>
              <a:ext uri="{91240B29-F687-4F45-9708-019B960494DF}">
                <a14:hiddenLine xmlns:a14="http://schemas.microsoft.com/office/drawing/2010/main" w="19050">
                  <a:solidFill>
                    <a:sysClr val="window" lastClr="FFFFFF"/>
                  </a:solidFill>
                </a14:hiddenLine>
              </a:ext>
            </a:extLst>
          </c:spPr>
          <c:dPt>
            <c:idx val="0"/>
            <c:bubble3D val="0"/>
            <c:spPr>
              <a:noFill/>
              <a:ln w="19050">
                <a:noFill/>
              </a:ln>
              <a:effectLst/>
              <a:extLst>
                <a:ext uri="{909E8E84-426E-40DD-AFC4-6F175D3DCCD1}">
                  <a14:hiddenFill xmlns:a14="http://schemas.microsoft.com/office/drawing/2010/main">
                    <a:solidFill>
                      <a:srgbClr val="4F81BD"/>
                    </a:solidFill>
                  </a14:hiddenFill>
                </a:ext>
                <a:ext uri="{91240B29-F687-4F45-9708-019B960494DF}">
                  <a14:hiddenLine xmlns:a14="http://schemas.microsoft.com/office/drawing/2010/main" w="19050">
                    <a:solidFill>
                      <a:sysClr val="window" lastClr="FFFFFF"/>
                    </a:solidFill>
                  </a14:hiddenLine>
                </a:ext>
              </a:extLst>
            </c:spPr>
          </c:dPt>
          <c:dPt>
            <c:idx val="1"/>
            <c:bubble3D val="0"/>
            <c:spPr>
              <a:noFill/>
              <a:ln w="19050">
                <a:noFill/>
              </a:ln>
              <a:effectLst/>
              <a:extLst>
                <a:ext uri="{909E8E84-426E-40DD-AFC4-6F175D3DCCD1}">
                  <a14:hiddenFill xmlns:a14="http://schemas.microsoft.com/office/drawing/2010/main">
                    <a:solidFill>
                      <a:srgbClr val="4F81BD"/>
                    </a:solidFill>
                  </a14:hiddenFill>
                </a:ext>
                <a:ext uri="{91240B29-F687-4F45-9708-019B960494DF}">
                  <a14:hiddenLine xmlns:a14="http://schemas.microsoft.com/office/drawing/2010/main" w="19050">
                    <a:solidFill>
                      <a:sysClr val="window" lastClr="FFFFFF"/>
                    </a:solidFill>
                  </a14:hiddenLine>
                </a:ext>
              </a:extLst>
            </c:spPr>
          </c:dPt>
          <c:dPt>
            <c:idx val="2"/>
            <c:bubble3D val="0"/>
            <c:spPr>
              <a:noFill/>
              <a:ln w="19050">
                <a:noFill/>
              </a:ln>
              <a:effectLst/>
              <a:extLst>
                <a:ext uri="{909E8E84-426E-40DD-AFC4-6F175D3DCCD1}">
                  <a14:hiddenFill xmlns:a14="http://schemas.microsoft.com/office/drawing/2010/main">
                    <a:solidFill>
                      <a:srgbClr val="4F81BD"/>
                    </a:solidFill>
                  </a14:hiddenFill>
                </a:ext>
                <a:ext uri="{91240B29-F687-4F45-9708-019B960494DF}">
                  <a14:hiddenLine xmlns:a14="http://schemas.microsoft.com/office/drawing/2010/main" w="19050">
                    <a:solidFill>
                      <a:sysClr val="window" lastClr="FFFFFF"/>
                    </a:solidFill>
                  </a14:hiddenLine>
                </a:ext>
              </a:extLst>
            </c:spPr>
          </c:dPt>
          <c:dPt>
            <c:idx val="3"/>
            <c:bubble3D val="0"/>
            <c:spPr>
              <a:noFill/>
              <a:ln w="19050">
                <a:noFill/>
              </a:ln>
              <a:effectLst/>
              <a:extLst>
                <a:ext uri="{909E8E84-426E-40DD-AFC4-6F175D3DCCD1}">
                  <a14:hiddenFill xmlns:a14="http://schemas.microsoft.com/office/drawing/2010/main">
                    <a:solidFill>
                      <a:srgbClr val="4F81BD"/>
                    </a:solidFill>
                  </a14:hiddenFill>
                </a:ext>
                <a:ext uri="{91240B29-F687-4F45-9708-019B960494DF}">
                  <a14:hiddenLine xmlns:a14="http://schemas.microsoft.com/office/drawing/2010/main" w="19050">
                    <a:solidFill>
                      <a:sysClr val="window" lastClr="FFFFFF"/>
                    </a:solidFill>
                  </a14:hiddenLine>
                </a:ext>
              </a:extLst>
            </c:spPr>
          </c:dPt>
          <c:dPt>
            <c:idx val="4"/>
            <c:bubble3D val="0"/>
            <c:spPr>
              <a:noFill/>
              <a:ln w="19050">
                <a:noFill/>
              </a:ln>
              <a:effectLst/>
              <a:extLst>
                <a:ext uri="{909E8E84-426E-40DD-AFC4-6F175D3DCCD1}">
                  <a14:hiddenFill xmlns:a14="http://schemas.microsoft.com/office/drawing/2010/main">
                    <a:solidFill>
                      <a:srgbClr val="4F81BD"/>
                    </a:solidFill>
                  </a14:hiddenFill>
                </a:ext>
                <a:ext uri="{91240B29-F687-4F45-9708-019B960494DF}">
                  <a14:hiddenLine xmlns:a14="http://schemas.microsoft.com/office/drawing/2010/main" w="19050">
                    <a:solidFill>
                      <a:sysClr val="window" lastClr="FFFFFF"/>
                    </a:solidFill>
                  </a14:hiddenLine>
                </a:ext>
              </a:extLst>
            </c:spPr>
          </c:dPt>
          <c:dPt>
            <c:idx val="5"/>
            <c:bubble3D val="0"/>
            <c:spPr>
              <a:noFill/>
              <a:ln w="19050">
                <a:noFill/>
              </a:ln>
              <a:effectLst/>
              <a:extLst>
                <a:ext uri="{909E8E84-426E-40DD-AFC4-6F175D3DCCD1}">
                  <a14:hiddenFill xmlns:a14="http://schemas.microsoft.com/office/drawing/2010/main">
                    <a:solidFill>
                      <a:srgbClr val="4F81BD"/>
                    </a:solidFill>
                  </a14:hiddenFill>
                </a:ext>
                <a:ext uri="{91240B29-F687-4F45-9708-019B960494DF}">
                  <a14:hiddenLine xmlns:a14="http://schemas.microsoft.com/office/drawing/2010/main" w="19050">
                    <a:solidFill>
                      <a:sysClr val="window" lastClr="FFFFFF"/>
                    </a:solidFill>
                  </a14:hiddenLine>
                </a:ext>
              </a:extLst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endParaRPr lang="es-AR"/>
              </a:p>
            </c:txPr>
            <c:dLblPos val="outEnd"/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Demografía!$AL$2:$AQ$2</c:f>
              <c:strCache>
                <c:ptCount val="6"/>
                <c:pt idx="0">
                  <c:v>De 3 meses a 1 año</c:v>
                </c:pt>
                <c:pt idx="1">
                  <c:v>2 a 5 años</c:v>
                </c:pt>
                <c:pt idx="2">
                  <c:v>6 a 10 años</c:v>
                </c:pt>
                <c:pt idx="3">
                  <c:v>11 a 15 años</c:v>
                </c:pt>
                <c:pt idx="4">
                  <c:v>16 a 20 años</c:v>
                </c:pt>
                <c:pt idx="5">
                  <c:v>Más de 21 años</c:v>
                </c:pt>
              </c:strCache>
            </c:strRef>
          </c:cat>
          <c:val>
            <c:numRef>
              <c:f>Demografía!$AL$17:$AQ$17</c:f>
              <c:numCache>
                <c:formatCode>0.0</c:formatCode>
                <c:ptCount val="6"/>
                <c:pt idx="0">
                  <c:v>9.0464027245636451</c:v>
                </c:pt>
                <c:pt idx="1">
                  <c:v>23.946360153256705</c:v>
                </c:pt>
                <c:pt idx="2">
                  <c:v>25.500212856534691</c:v>
                </c:pt>
                <c:pt idx="3">
                  <c:v>8.7696892294593454</c:v>
                </c:pt>
                <c:pt idx="4">
                  <c:v>16.836951894423159</c:v>
                </c:pt>
                <c:pt idx="5">
                  <c:v>15.304384844614729</c:v>
                </c:pt>
              </c:numCache>
            </c:numRef>
          </c:val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5.9701492537313433E-3"/>
          <c:y val="0.12"/>
          <c:w val="0.99402985074626871"/>
          <c:h val="0.8"/>
        </c:manualLayout>
      </c:layout>
      <c:barChart>
        <c:barDir val="col"/>
        <c:grouping val="clustered"/>
        <c:varyColors val="0"/>
        <c:ser>
          <c:idx val="0"/>
          <c:order val="0"/>
          <c:tx>
            <c:v>Promedio Actual</c:v>
          </c:tx>
          <c:spPr>
            <a:solidFill>
              <a:srgbClr val="86868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A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Demografías'!$D$446:$J$446</c:f>
              <c:numCache>
                <c:formatCode>0</c:formatCode>
                <c:ptCount val="7"/>
                <c:pt idx="0">
                  <c:v>89.02</c:v>
                </c:pt>
                <c:pt idx="1">
                  <c:v>83.93</c:v>
                </c:pt>
                <c:pt idx="2">
                  <c:v>80.37</c:v>
                </c:pt>
                <c:pt idx="3">
                  <c:v>77.959999999999994</c:v>
                </c:pt>
                <c:pt idx="4">
                  <c:v>84.65</c:v>
                </c:pt>
                <c:pt idx="5">
                  <c:v>85.91</c:v>
                </c:pt>
              </c:numCache>
            </c:numRef>
          </c:val>
        </c:ser>
        <c:ser>
          <c:idx val="1"/>
          <c:order val="1"/>
          <c:tx>
            <c:v>Promedio Anterior</c:v>
          </c:tx>
          <c:spPr>
            <a:solidFill>
              <a:srgbClr val="BD1933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A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Demografías'!$D$448:$J$448</c:f>
              <c:numCache>
                <c:formatCode>0</c:formatCode>
                <c:ptCount val="7"/>
                <c:pt idx="0">
                  <c:v>83.99</c:v>
                </c:pt>
                <c:pt idx="1">
                  <c:v>78.19</c:v>
                </c:pt>
                <c:pt idx="2">
                  <c:v>76.42</c:v>
                </c:pt>
                <c:pt idx="3">
                  <c:v>76.36</c:v>
                </c:pt>
                <c:pt idx="4">
                  <c:v>80.75</c:v>
                </c:pt>
                <c:pt idx="5">
                  <c:v>84.02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0"/>
        <c:overlap val="-15"/>
        <c:axId val="-1384346896"/>
        <c:axId val="-1384347984"/>
      </c:barChart>
      <c:lineChart>
        <c:grouping val="standard"/>
        <c:varyColors val="0"/>
        <c:ser>
          <c:idx val="2"/>
          <c:order val="2"/>
          <c:tx>
            <c:v>Prom. Gral. Cons</c:v>
          </c:tx>
          <c:spPr>
            <a:ln w="41275" cap="rnd" cmpd="sng" algn="ctr">
              <a:solidFill>
                <a:sysClr val="windowText" lastClr="000000">
                  <a:lumMod val="100000"/>
                </a:sys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val>
            <c:numRef>
              <c:f>'Gráficos Demografías'!$D$451:$J$451</c:f>
              <c:numCache>
                <c:formatCode>0</c:formatCode>
                <c:ptCount val="7"/>
                <c:pt idx="0">
                  <c:v>82.91</c:v>
                </c:pt>
                <c:pt idx="1">
                  <c:v>82.91</c:v>
                </c:pt>
                <c:pt idx="2">
                  <c:v>82.91</c:v>
                </c:pt>
                <c:pt idx="3">
                  <c:v>82.91</c:v>
                </c:pt>
                <c:pt idx="4">
                  <c:v>82.91</c:v>
                </c:pt>
                <c:pt idx="5">
                  <c:v>82.91</c:v>
                </c:pt>
              </c:numCache>
            </c:numRef>
          </c:val>
          <c:smooth val="0"/>
        </c:ser>
        <c:ser>
          <c:idx val="3"/>
          <c:order val="3"/>
          <c:tx>
            <c:v>Percepción Gral.</c:v>
          </c:tx>
          <c:spPr>
            <a:ln w="53975" cap="rnd" cmpd="sng" algn="ctr">
              <a:solidFill>
                <a:srgbClr val="006086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13"/>
            <c:spPr>
              <a:solidFill>
                <a:srgbClr val="FFFFFF"/>
              </a:solidFill>
              <a:ln w="53975" cap="rnd" cmpd="sng" algn="ctr">
                <a:solidFill>
                  <a:srgbClr val="006086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400" b="1" i="0" u="none" strike="noStrike" kern="1200" baseline="0">
                    <a:solidFill>
                      <a:srgbClr val="006086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A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Demografías'!$D$452:$J$452</c:f>
              <c:numCache>
                <c:formatCode>0</c:formatCode>
                <c:ptCount val="7"/>
                <c:pt idx="0">
                  <c:v>90.59</c:v>
                </c:pt>
                <c:pt idx="1">
                  <c:v>84.53</c:v>
                </c:pt>
                <c:pt idx="2">
                  <c:v>80.75</c:v>
                </c:pt>
                <c:pt idx="3">
                  <c:v>79.08</c:v>
                </c:pt>
                <c:pt idx="4">
                  <c:v>86.71</c:v>
                </c:pt>
                <c:pt idx="5">
                  <c:v>89.28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1384346896"/>
        <c:axId val="-1384347984"/>
      </c:lineChart>
      <c:catAx>
        <c:axId val="-1384346896"/>
        <c:scaling>
          <c:orientation val="minMax"/>
        </c:scaling>
        <c:delete val="1"/>
        <c:axPos val="b"/>
        <c:majorTickMark val="none"/>
        <c:minorTickMark val="none"/>
        <c:tickLblPos val="nextTo"/>
        <c:crossAx val="-1384347984"/>
        <c:crosses val="autoZero"/>
        <c:auto val="1"/>
        <c:lblAlgn val="ctr"/>
        <c:lblOffset val="100"/>
        <c:noMultiLvlLbl val="0"/>
      </c:catAx>
      <c:valAx>
        <c:axId val="-1384347984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-13843468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  <c:userShapes r:id="rId3"/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clustered"/>
        <c:varyColors val="1"/>
        <c:ser>
          <c:idx val="0"/>
          <c:order val="0"/>
          <c:invertIfNegative val="0"/>
          <c:dPt>
            <c:idx val="0"/>
            <c:invertIfNegative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invertIfNegative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"/>
            <c:invertIfNegative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"/>
            <c:invertIfNegative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"/>
            <c:invertIfNegative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"/>
            <c:invertIfNegative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6"/>
            <c:invertIfNegative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7"/>
            <c:invertIfNegative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8"/>
            <c:invertIfNegative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9"/>
            <c:invertIfNegative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0"/>
            <c:invertIfNegative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1"/>
            <c:invertIfNegative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2"/>
            <c:invertIfNegative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3"/>
            <c:invertIfNegative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Lbls>
            <c:dLbl>
              <c:idx val="0"/>
              <c:layout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400" b="0" i="0" u="none" strike="noStrike" kern="1200" baseline="0">
                        <a:solidFill>
                          <a:srgbClr val="000000">
                            <a:lumMod val="100000"/>
                          </a:srgbClr>
                        </a:solidFill>
                        <a:latin typeface="Arial" panose="020B0604020202020204" pitchFamily="34" charset="0"/>
                        <a:ea typeface="+mn-ea"/>
                        <a:cs typeface="Arial" panose="020B0604020202020204" pitchFamily="34" charset="0"/>
                      </a:defRPr>
                    </a:pPr>
                    <a:r>
                      <a:rPr lang="en-US" sz="1400">
                        <a:solidFill>
                          <a:srgbClr val="000000">
                            <a:lumMod val="100000"/>
                          </a:srgbClr>
                        </a:solidFill>
                        <a:latin typeface="Arial" panose="020B0604020202020204" pitchFamily="34" charset="0"/>
                        <a:cs typeface="Arial" panose="020B0604020202020204" pitchFamily="34" charset="0"/>
                      </a:rPr>
                      <a:t>0,2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400" b="0" i="0" u="none" strike="noStrike" kern="1200" baseline="0">
                      <a:solidFill>
                        <a:srgbClr val="000000">
                          <a:lumMod val="100000"/>
                        </a:srgbClr>
                      </a:solidFill>
                      <a:latin typeface="Arial" panose="020B0604020202020204" pitchFamily="34" charset="0"/>
                      <a:ea typeface="+mn-ea"/>
                      <a:cs typeface="Arial" panose="020B0604020202020204" pitchFamily="34" charset="0"/>
                    </a:defRPr>
                  </a:pPr>
                  <a:endParaRPr lang="es-AR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1"/>
              <c:layout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400" b="0" i="0" u="none" strike="noStrike" kern="1200" baseline="0">
                        <a:solidFill>
                          <a:srgbClr val="000000">
                            <a:lumMod val="100000"/>
                          </a:srgbClr>
                        </a:solidFill>
                        <a:latin typeface="Arial" panose="020B0604020202020204" pitchFamily="34" charset="0"/>
                        <a:ea typeface="+mn-ea"/>
                        <a:cs typeface="Arial" panose="020B0604020202020204" pitchFamily="34" charset="0"/>
                      </a:defRPr>
                    </a:pPr>
                    <a:r>
                      <a:rPr lang="en-US" sz="1400">
                        <a:solidFill>
                          <a:srgbClr val="000000">
                            <a:lumMod val="100000"/>
                          </a:srgbClr>
                        </a:solidFill>
                        <a:latin typeface="Arial" panose="020B0604020202020204" pitchFamily="34" charset="0"/>
                        <a:cs typeface="Arial" panose="020B0604020202020204" pitchFamily="34" charset="0"/>
                      </a:rPr>
                      <a:t>0,2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400" b="0" i="0" u="none" strike="noStrike" kern="1200" baseline="0">
                      <a:solidFill>
                        <a:srgbClr val="000000">
                          <a:lumMod val="100000"/>
                        </a:srgbClr>
                      </a:solidFill>
                      <a:latin typeface="Arial" panose="020B0604020202020204" pitchFamily="34" charset="0"/>
                      <a:ea typeface="+mn-ea"/>
                      <a:cs typeface="Arial" panose="020B0604020202020204" pitchFamily="34" charset="0"/>
                    </a:defRPr>
                  </a:pPr>
                  <a:endParaRPr lang="es-AR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2"/>
              <c:layout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400" b="0" i="0" u="none" strike="noStrike" kern="1200" baseline="0">
                        <a:solidFill>
                          <a:srgbClr val="000000">
                            <a:lumMod val="100000"/>
                          </a:srgbClr>
                        </a:solidFill>
                        <a:latin typeface="Arial" panose="020B0604020202020204" pitchFamily="34" charset="0"/>
                        <a:ea typeface="+mn-ea"/>
                        <a:cs typeface="Arial" panose="020B0604020202020204" pitchFamily="34" charset="0"/>
                      </a:defRPr>
                    </a:pPr>
                    <a:r>
                      <a:rPr lang="en-US" sz="1400">
                        <a:solidFill>
                          <a:srgbClr val="000000">
                            <a:lumMod val="100000"/>
                          </a:srgbClr>
                        </a:solidFill>
                        <a:latin typeface="Arial" panose="020B0604020202020204" pitchFamily="34" charset="0"/>
                        <a:cs typeface="Arial" panose="020B0604020202020204" pitchFamily="34" charset="0"/>
                      </a:rPr>
                      <a:t>0,2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400" b="0" i="0" u="none" strike="noStrike" kern="1200" baseline="0">
                      <a:solidFill>
                        <a:srgbClr val="000000">
                          <a:lumMod val="100000"/>
                        </a:srgbClr>
                      </a:solidFill>
                      <a:latin typeface="Arial" panose="020B0604020202020204" pitchFamily="34" charset="0"/>
                      <a:ea typeface="+mn-ea"/>
                      <a:cs typeface="Arial" panose="020B0604020202020204" pitchFamily="34" charset="0"/>
                    </a:defRPr>
                  </a:pPr>
                  <a:endParaRPr lang="es-AR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3"/>
              <c:layout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400" b="0" i="0" u="none" strike="noStrike" kern="1200" baseline="0">
                        <a:solidFill>
                          <a:srgbClr val="000000">
                            <a:lumMod val="100000"/>
                          </a:srgbClr>
                        </a:solidFill>
                        <a:latin typeface="Arial" panose="020B0604020202020204" pitchFamily="34" charset="0"/>
                        <a:ea typeface="+mn-ea"/>
                        <a:cs typeface="Arial" panose="020B0604020202020204" pitchFamily="34" charset="0"/>
                      </a:defRPr>
                    </a:pPr>
                    <a:r>
                      <a:rPr lang="en-US" sz="1400">
                        <a:solidFill>
                          <a:srgbClr val="000000">
                            <a:lumMod val="100000"/>
                          </a:srgbClr>
                        </a:solidFill>
                        <a:latin typeface="Arial" panose="020B0604020202020204" pitchFamily="34" charset="0"/>
                        <a:cs typeface="Arial" panose="020B0604020202020204" pitchFamily="34" charset="0"/>
                      </a:rPr>
                      <a:t>0,2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400" b="0" i="0" u="none" strike="noStrike" kern="1200" baseline="0">
                      <a:solidFill>
                        <a:srgbClr val="000000">
                          <a:lumMod val="100000"/>
                        </a:srgbClr>
                      </a:solidFill>
                      <a:latin typeface="Arial" panose="020B0604020202020204" pitchFamily="34" charset="0"/>
                      <a:ea typeface="+mn-ea"/>
                      <a:cs typeface="Arial" panose="020B0604020202020204" pitchFamily="34" charset="0"/>
                    </a:defRPr>
                  </a:pPr>
                  <a:endParaRPr lang="es-AR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4"/>
              <c:layout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400" b="0" i="0" u="none" strike="noStrike" kern="1200" baseline="0">
                        <a:solidFill>
                          <a:schemeClr val="bg1">
                            <a:lumMod val="100000"/>
                          </a:schemeClr>
                        </a:solidFill>
                        <a:latin typeface="Arial" panose="020B0604020202020204" pitchFamily="34" charset="0"/>
                        <a:ea typeface="+mn-ea"/>
                        <a:cs typeface="Arial" panose="020B0604020202020204" pitchFamily="34" charset="0"/>
                      </a:defRPr>
                    </a:pPr>
                    <a:r>
                      <a:rPr lang="en-US" sz="1400">
                        <a:latin typeface="Arial" panose="020B0604020202020204" pitchFamily="34" charset="0"/>
                        <a:cs typeface="Arial" panose="020B0604020202020204" pitchFamily="34" charset="0"/>
                      </a:rPr>
                      <a:t>55,6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400" b="0" i="0" u="none" strike="noStrike" kern="1200" baseline="0">
                      <a:solidFill>
                        <a:schemeClr val="bg1">
                          <a:lumMod val="100000"/>
                        </a:schemeClr>
                      </a:solidFill>
                      <a:latin typeface="Arial" panose="020B0604020202020204" pitchFamily="34" charset="0"/>
                      <a:ea typeface="+mn-ea"/>
                      <a:cs typeface="Arial" panose="020B0604020202020204" pitchFamily="34" charset="0"/>
                    </a:defRPr>
                  </a:pPr>
                  <a:endParaRPr lang="es-AR"/>
                </a:p>
              </c:txPr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5"/>
              <c:layout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400" b="0" i="0" u="none" strike="noStrike" kern="1200" baseline="0">
                        <a:solidFill>
                          <a:srgbClr val="000000">
                            <a:lumMod val="100000"/>
                          </a:srgbClr>
                        </a:solidFill>
                        <a:latin typeface="Arial" panose="020B0604020202020204" pitchFamily="34" charset="0"/>
                        <a:ea typeface="+mn-ea"/>
                        <a:cs typeface="Arial" panose="020B0604020202020204" pitchFamily="34" charset="0"/>
                      </a:defRPr>
                    </a:pPr>
                    <a:r>
                      <a:rPr lang="en-US" sz="1400">
                        <a:solidFill>
                          <a:srgbClr val="000000">
                            <a:lumMod val="100000"/>
                          </a:srgbClr>
                        </a:solidFill>
                        <a:latin typeface="Arial" panose="020B0604020202020204" pitchFamily="34" charset="0"/>
                        <a:cs typeface="Arial" panose="020B0604020202020204" pitchFamily="34" charset="0"/>
                      </a:rPr>
                      <a:t>0,2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400" b="0" i="0" u="none" strike="noStrike" kern="1200" baseline="0">
                      <a:solidFill>
                        <a:srgbClr val="000000">
                          <a:lumMod val="100000"/>
                        </a:srgbClr>
                      </a:solidFill>
                      <a:latin typeface="Arial" panose="020B0604020202020204" pitchFamily="34" charset="0"/>
                      <a:ea typeface="+mn-ea"/>
                      <a:cs typeface="Arial" panose="020B0604020202020204" pitchFamily="34" charset="0"/>
                    </a:defRPr>
                  </a:pPr>
                  <a:endParaRPr lang="es-AR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6"/>
              <c:layout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400" b="0" i="0" u="none" strike="noStrike" kern="1200" baseline="0">
                        <a:solidFill>
                          <a:srgbClr val="000000">
                            <a:lumMod val="100000"/>
                          </a:srgbClr>
                        </a:solidFill>
                        <a:latin typeface="Arial" panose="020B0604020202020204" pitchFamily="34" charset="0"/>
                        <a:ea typeface="+mn-ea"/>
                        <a:cs typeface="Arial" panose="020B0604020202020204" pitchFamily="34" charset="0"/>
                      </a:defRPr>
                    </a:pPr>
                    <a:r>
                      <a:rPr lang="en-US" sz="1400">
                        <a:solidFill>
                          <a:srgbClr val="000000">
                            <a:lumMod val="100000"/>
                          </a:srgbClr>
                        </a:solidFill>
                        <a:latin typeface="Arial" panose="020B0604020202020204" pitchFamily="34" charset="0"/>
                        <a:cs typeface="Arial" panose="020B0604020202020204" pitchFamily="34" charset="0"/>
                      </a:rPr>
                      <a:t>0,2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400" b="0" i="0" u="none" strike="noStrike" kern="1200" baseline="0">
                      <a:solidFill>
                        <a:srgbClr val="000000">
                          <a:lumMod val="100000"/>
                        </a:srgbClr>
                      </a:solidFill>
                      <a:latin typeface="Arial" panose="020B0604020202020204" pitchFamily="34" charset="0"/>
                      <a:ea typeface="+mn-ea"/>
                      <a:cs typeface="Arial" panose="020B0604020202020204" pitchFamily="34" charset="0"/>
                    </a:defRPr>
                  </a:pPr>
                  <a:endParaRPr lang="es-AR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7"/>
              <c:layout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400" b="0" i="0" u="none" strike="noStrike" kern="1200" baseline="0">
                        <a:solidFill>
                          <a:srgbClr val="000000">
                            <a:lumMod val="100000"/>
                          </a:srgbClr>
                        </a:solidFill>
                        <a:latin typeface="Arial" panose="020B0604020202020204" pitchFamily="34" charset="0"/>
                        <a:ea typeface="+mn-ea"/>
                        <a:cs typeface="Arial" panose="020B0604020202020204" pitchFamily="34" charset="0"/>
                      </a:defRPr>
                    </a:pPr>
                    <a:r>
                      <a:rPr lang="en-US" sz="1400">
                        <a:solidFill>
                          <a:srgbClr val="000000">
                            <a:lumMod val="100000"/>
                          </a:srgbClr>
                        </a:solidFill>
                        <a:latin typeface="Arial" panose="020B0604020202020204" pitchFamily="34" charset="0"/>
                        <a:cs typeface="Arial" panose="020B0604020202020204" pitchFamily="34" charset="0"/>
                      </a:rPr>
                      <a:t>0,2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400" b="0" i="0" u="none" strike="noStrike" kern="1200" baseline="0">
                      <a:solidFill>
                        <a:srgbClr val="000000">
                          <a:lumMod val="100000"/>
                        </a:srgbClr>
                      </a:solidFill>
                      <a:latin typeface="Arial" panose="020B0604020202020204" pitchFamily="34" charset="0"/>
                      <a:ea typeface="+mn-ea"/>
                      <a:cs typeface="Arial" panose="020B0604020202020204" pitchFamily="34" charset="0"/>
                    </a:defRPr>
                  </a:pPr>
                  <a:endParaRPr lang="es-AR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8"/>
              <c:layout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400" b="0" i="0" u="none" strike="noStrike" kern="1200" baseline="0">
                        <a:solidFill>
                          <a:srgbClr val="000000">
                            <a:lumMod val="100000"/>
                          </a:srgbClr>
                        </a:solidFill>
                        <a:latin typeface="Arial" panose="020B0604020202020204" pitchFamily="34" charset="0"/>
                        <a:ea typeface="+mn-ea"/>
                        <a:cs typeface="Arial" panose="020B0604020202020204" pitchFamily="34" charset="0"/>
                      </a:defRPr>
                    </a:pPr>
                    <a:r>
                      <a:rPr lang="en-US" sz="1400">
                        <a:solidFill>
                          <a:srgbClr val="000000">
                            <a:lumMod val="100000"/>
                          </a:srgbClr>
                        </a:solidFill>
                        <a:latin typeface="Arial" panose="020B0604020202020204" pitchFamily="34" charset="0"/>
                        <a:cs typeface="Arial" panose="020B0604020202020204" pitchFamily="34" charset="0"/>
                      </a:rPr>
                      <a:t>0,2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400" b="0" i="0" u="none" strike="noStrike" kern="1200" baseline="0">
                      <a:solidFill>
                        <a:srgbClr val="000000">
                          <a:lumMod val="100000"/>
                        </a:srgbClr>
                      </a:solidFill>
                      <a:latin typeface="Arial" panose="020B0604020202020204" pitchFamily="34" charset="0"/>
                      <a:ea typeface="+mn-ea"/>
                      <a:cs typeface="Arial" panose="020B0604020202020204" pitchFamily="34" charset="0"/>
                    </a:defRPr>
                  </a:pPr>
                  <a:endParaRPr lang="es-AR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9"/>
              <c:layout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400" b="0" i="0" u="none" strike="noStrike" kern="1200" baseline="0">
                        <a:solidFill>
                          <a:srgbClr val="000000">
                            <a:lumMod val="100000"/>
                          </a:srgbClr>
                        </a:solidFill>
                        <a:latin typeface="Arial" panose="020B0604020202020204" pitchFamily="34" charset="0"/>
                        <a:ea typeface="+mn-ea"/>
                        <a:cs typeface="Arial" panose="020B0604020202020204" pitchFamily="34" charset="0"/>
                      </a:defRPr>
                    </a:pPr>
                    <a:r>
                      <a:rPr lang="en-US" sz="1400">
                        <a:solidFill>
                          <a:srgbClr val="000000">
                            <a:lumMod val="100000"/>
                          </a:srgbClr>
                        </a:solidFill>
                        <a:latin typeface="Arial" panose="020B0604020202020204" pitchFamily="34" charset="0"/>
                        <a:cs typeface="Arial" panose="020B0604020202020204" pitchFamily="34" charset="0"/>
                      </a:rPr>
                      <a:t>0,2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400" b="0" i="0" u="none" strike="noStrike" kern="1200" baseline="0">
                      <a:solidFill>
                        <a:srgbClr val="000000">
                          <a:lumMod val="100000"/>
                        </a:srgbClr>
                      </a:solidFill>
                      <a:latin typeface="Arial" panose="020B0604020202020204" pitchFamily="34" charset="0"/>
                      <a:ea typeface="+mn-ea"/>
                      <a:cs typeface="Arial" panose="020B0604020202020204" pitchFamily="34" charset="0"/>
                    </a:defRPr>
                  </a:pPr>
                  <a:endParaRPr lang="es-AR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10"/>
              <c:layout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400" b="0" i="0" u="none" strike="noStrike" kern="1200" baseline="0">
                        <a:solidFill>
                          <a:schemeClr val="bg1">
                            <a:lumMod val="100000"/>
                          </a:schemeClr>
                        </a:solidFill>
                        <a:latin typeface="Arial" panose="020B0604020202020204" pitchFamily="34" charset="0"/>
                        <a:ea typeface="+mn-ea"/>
                        <a:cs typeface="Arial" panose="020B0604020202020204" pitchFamily="34" charset="0"/>
                      </a:defRPr>
                    </a:pPr>
                    <a:r>
                      <a:rPr lang="en-US" sz="1400">
                        <a:latin typeface="Arial" panose="020B0604020202020204" pitchFamily="34" charset="0"/>
                        <a:cs typeface="Arial" panose="020B0604020202020204" pitchFamily="34" charset="0"/>
                      </a:rPr>
                      <a:t>31,5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400" b="0" i="0" u="none" strike="noStrike" kern="1200" baseline="0">
                      <a:solidFill>
                        <a:schemeClr val="bg1">
                          <a:lumMod val="100000"/>
                        </a:schemeClr>
                      </a:solidFill>
                      <a:latin typeface="Arial" panose="020B0604020202020204" pitchFamily="34" charset="0"/>
                      <a:ea typeface="+mn-ea"/>
                      <a:cs typeface="Arial" panose="020B0604020202020204" pitchFamily="34" charset="0"/>
                    </a:defRPr>
                  </a:pPr>
                  <a:endParaRPr lang="es-AR"/>
                </a:p>
              </c:txPr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11"/>
              <c:layout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400" b="0" i="0" u="none" strike="noStrike" kern="1200" baseline="0">
                        <a:solidFill>
                          <a:srgbClr val="000000">
                            <a:lumMod val="100000"/>
                          </a:srgbClr>
                        </a:solidFill>
                        <a:latin typeface="Arial" panose="020B0604020202020204" pitchFamily="34" charset="0"/>
                        <a:ea typeface="+mn-ea"/>
                        <a:cs typeface="Arial" panose="020B0604020202020204" pitchFamily="34" charset="0"/>
                      </a:defRPr>
                    </a:pPr>
                    <a:r>
                      <a:rPr lang="en-US" sz="1400">
                        <a:solidFill>
                          <a:srgbClr val="000000">
                            <a:lumMod val="100000"/>
                          </a:srgbClr>
                        </a:solidFill>
                        <a:latin typeface="Arial" panose="020B0604020202020204" pitchFamily="34" charset="0"/>
                        <a:cs typeface="Arial" panose="020B0604020202020204" pitchFamily="34" charset="0"/>
                      </a:rPr>
                      <a:t>0,2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400" b="0" i="0" u="none" strike="noStrike" kern="1200" baseline="0">
                      <a:solidFill>
                        <a:srgbClr val="000000">
                          <a:lumMod val="100000"/>
                        </a:srgbClr>
                      </a:solidFill>
                      <a:latin typeface="Arial" panose="020B0604020202020204" pitchFamily="34" charset="0"/>
                      <a:ea typeface="+mn-ea"/>
                      <a:cs typeface="Arial" panose="020B0604020202020204" pitchFamily="34" charset="0"/>
                    </a:defRPr>
                  </a:pPr>
                  <a:endParaRPr lang="es-AR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12"/>
              <c:layout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400" b="0" i="0" u="none" strike="noStrike" kern="1200" baseline="0">
                        <a:solidFill>
                          <a:srgbClr val="000000">
                            <a:lumMod val="100000"/>
                          </a:srgbClr>
                        </a:solidFill>
                        <a:latin typeface="Arial" panose="020B0604020202020204" pitchFamily="34" charset="0"/>
                        <a:ea typeface="+mn-ea"/>
                        <a:cs typeface="Arial" panose="020B0604020202020204" pitchFamily="34" charset="0"/>
                      </a:defRPr>
                    </a:pPr>
                    <a:r>
                      <a:rPr lang="en-US" sz="1400">
                        <a:solidFill>
                          <a:srgbClr val="000000">
                            <a:lumMod val="100000"/>
                          </a:srgbClr>
                        </a:solidFill>
                        <a:latin typeface="Arial" panose="020B0604020202020204" pitchFamily="34" charset="0"/>
                        <a:cs typeface="Arial" panose="020B0604020202020204" pitchFamily="34" charset="0"/>
                      </a:rPr>
                      <a:t>0,2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400" b="0" i="0" u="none" strike="noStrike" kern="1200" baseline="0">
                      <a:solidFill>
                        <a:srgbClr val="000000">
                          <a:lumMod val="100000"/>
                        </a:srgbClr>
                      </a:solidFill>
                      <a:latin typeface="Arial" panose="020B0604020202020204" pitchFamily="34" charset="0"/>
                      <a:ea typeface="+mn-ea"/>
                      <a:cs typeface="Arial" panose="020B0604020202020204" pitchFamily="34" charset="0"/>
                    </a:defRPr>
                  </a:pPr>
                  <a:endParaRPr lang="es-AR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13"/>
              <c:layout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400" b="0" i="0" u="none" strike="noStrike" kern="1200" baseline="0">
                        <a:solidFill>
                          <a:srgbClr val="000000">
                            <a:lumMod val="100000"/>
                          </a:srgbClr>
                        </a:solidFill>
                        <a:latin typeface="Arial" panose="020B0604020202020204" pitchFamily="34" charset="0"/>
                        <a:ea typeface="+mn-ea"/>
                        <a:cs typeface="Arial" panose="020B0604020202020204" pitchFamily="34" charset="0"/>
                      </a:defRPr>
                    </a:pPr>
                    <a:r>
                      <a:rPr lang="en-US" sz="1400">
                        <a:solidFill>
                          <a:srgbClr val="000000">
                            <a:lumMod val="100000"/>
                          </a:srgbClr>
                        </a:solidFill>
                        <a:latin typeface="Arial" panose="020B0604020202020204" pitchFamily="34" charset="0"/>
                        <a:cs typeface="Arial" panose="020B0604020202020204" pitchFamily="34" charset="0"/>
                      </a:rPr>
                      <a:t>0,2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400" b="0" i="0" u="none" strike="noStrike" kern="1200" baseline="0">
                      <a:solidFill>
                        <a:srgbClr val="000000">
                          <a:lumMod val="100000"/>
                        </a:srgbClr>
                      </a:solidFill>
                      <a:latin typeface="Arial" panose="020B0604020202020204" pitchFamily="34" charset="0"/>
                      <a:ea typeface="+mn-ea"/>
                      <a:cs typeface="Arial" panose="020B0604020202020204" pitchFamily="34" charset="0"/>
                    </a:defRPr>
                  </a:pPr>
                  <a:endParaRPr lang="es-AR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Demografía!$AS$2:$BF$2</c:f>
              <c:strCache>
                <c:ptCount val="14"/>
                <c:pt idx="0">
                  <c:v>Directorio</c:v>
                </c:pt>
                <c:pt idx="1">
                  <c:v>Gerencia General</c:v>
                </c:pt>
                <c:pt idx="2">
                  <c:v>Auditoría</c:v>
                </c:pt>
                <c:pt idx="3">
                  <c:v>Banca Mayorista</c:v>
                </c:pt>
                <c:pt idx="4">
                  <c:v>Banca Minorista</c:v>
                </c:pt>
                <c:pt idx="5">
                  <c:v>Desarrollo Org. Y Rec. Humanos</c:v>
                </c:pt>
                <c:pt idx="6">
                  <c:v>Experiencia Del Cliente</c:v>
                </c:pt>
                <c:pt idx="7">
                  <c:v>Créditos</c:v>
                </c:pt>
                <c:pt idx="8">
                  <c:v>Planeamiento</c:v>
                </c:pt>
                <c:pt idx="9">
                  <c:v>Gestión Del Riesgo</c:v>
                </c:pt>
                <c:pt idx="10">
                  <c:v>Servicios Corporativos Integrados</c:v>
                </c:pt>
                <c:pt idx="11">
                  <c:v>Banca Financiera</c:v>
                </c:pt>
                <c:pt idx="12">
                  <c:v>Relaciones Institucionales</c:v>
                </c:pt>
                <c:pt idx="13">
                  <c:v>Tarjetas Regionales</c:v>
                </c:pt>
              </c:strCache>
            </c:strRef>
          </c:cat>
          <c:val>
            <c:numRef>
              <c:f>Demografía!$AS$17:$BF$17</c:f>
              <c:numCache>
                <c:formatCode>0.0</c:formatCode>
                <c:ptCount val="14"/>
                <c:pt idx="0">
                  <c:v>0.17028522775649213</c:v>
                </c:pt>
                <c:pt idx="1">
                  <c:v>0.29799914857386123</c:v>
                </c:pt>
                <c:pt idx="2">
                  <c:v>0.87271179225202211</c:v>
                </c:pt>
                <c:pt idx="3">
                  <c:v>4.235845040442741</c:v>
                </c:pt>
                <c:pt idx="4">
                  <c:v>55.598126862494681</c:v>
                </c:pt>
                <c:pt idx="5">
                  <c:v>2.0221370796083442</c:v>
                </c:pt>
                <c:pt idx="6">
                  <c:v>0.44699872286079179</c:v>
                </c:pt>
                <c:pt idx="7">
                  <c:v>3.6185610898254574</c:v>
                </c:pt>
                <c:pt idx="8">
                  <c:v>2.1711366538952745</c:v>
                </c:pt>
                <c:pt idx="9">
                  <c:v>1.277139208173691</c:v>
                </c:pt>
                <c:pt idx="10">
                  <c:v>31.460195828011923</c:v>
                </c:pt>
                <c:pt idx="11">
                  <c:v>1.5538527032779907</c:v>
                </c:pt>
                <c:pt idx="12">
                  <c:v>6.3856960408684549E-2</c:v>
                </c:pt>
                <c:pt idx="13">
                  <c:v>0.21285653469561516</c:v>
                </c:pt>
              </c:numCache>
            </c:numRef>
          </c:val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0"/>
        <c:axId val="-1384347440"/>
        <c:axId val="-1384343632"/>
      </c:barChart>
      <c:catAx>
        <c:axId val="-1384347440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/>
                <a:ea typeface="Arial"/>
                <a:cs typeface="Arial"/>
              </a:defRPr>
            </a:pPr>
            <a:endParaRPr lang="es-AR"/>
          </a:p>
        </c:txPr>
        <c:crossAx val="-1384343632"/>
        <c:crosses val="autoZero"/>
        <c:auto val="1"/>
        <c:lblAlgn val="ctr"/>
        <c:lblOffset val="100"/>
        <c:noMultiLvlLbl val="0"/>
      </c:catAx>
      <c:valAx>
        <c:axId val="-1384343632"/>
        <c:scaling>
          <c:orientation val="minMax"/>
        </c:scaling>
        <c:delete val="1"/>
        <c:axPos val="b"/>
        <c:numFmt formatCode="0.0" sourceLinked="1"/>
        <c:majorTickMark val="none"/>
        <c:minorTickMark val="none"/>
        <c:tickLblPos val="nextTo"/>
        <c:crossAx val="-13843474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5.9701492537313433E-3"/>
          <c:y val="0.12"/>
          <c:w val="0.99402985074626871"/>
          <c:h val="0.8"/>
        </c:manualLayout>
      </c:layout>
      <c:barChart>
        <c:barDir val="col"/>
        <c:grouping val="clustered"/>
        <c:varyColors val="0"/>
        <c:ser>
          <c:idx val="0"/>
          <c:order val="0"/>
          <c:tx>
            <c:v>Promedio Actual</c:v>
          </c:tx>
          <c:spPr>
            <a:solidFill>
              <a:srgbClr val="86868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A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Demografías'!$D$507:$J$507</c:f>
              <c:numCache>
                <c:formatCode>0</c:formatCode>
                <c:ptCount val="7"/>
                <c:pt idx="0">
                  <c:v>66.8</c:v>
                </c:pt>
                <c:pt idx="1">
                  <c:v>94.93</c:v>
                </c:pt>
                <c:pt idx="2">
                  <c:v>79.16</c:v>
                </c:pt>
                <c:pt idx="3">
                  <c:v>83.16</c:v>
                </c:pt>
                <c:pt idx="4">
                  <c:v>83.39</c:v>
                </c:pt>
                <c:pt idx="5">
                  <c:v>84.44</c:v>
                </c:pt>
                <c:pt idx="6">
                  <c:v>91.35</c:v>
                </c:pt>
              </c:numCache>
            </c:numRef>
          </c:val>
        </c:ser>
        <c:ser>
          <c:idx val="1"/>
          <c:order val="1"/>
          <c:tx>
            <c:v>Promedio Anterior</c:v>
          </c:tx>
          <c:spPr>
            <a:solidFill>
              <a:srgbClr val="BD1933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A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Demografías'!$D$509:$J$509</c:f>
              <c:numCache>
                <c:formatCode>0</c:formatCode>
                <c:ptCount val="7"/>
                <c:pt idx="0">
                  <c:v>71.709999999999994</c:v>
                </c:pt>
                <c:pt idx="1">
                  <c:v>94.66</c:v>
                </c:pt>
                <c:pt idx="2">
                  <c:v>78.58</c:v>
                </c:pt>
                <c:pt idx="3">
                  <c:v>74.38</c:v>
                </c:pt>
                <c:pt idx="4">
                  <c:v>80.41</c:v>
                </c:pt>
                <c:pt idx="5">
                  <c:v>84.16</c:v>
                </c:pt>
                <c:pt idx="6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0"/>
        <c:overlap val="-15"/>
        <c:axId val="-1384344720"/>
        <c:axId val="-1384343088"/>
      </c:barChart>
      <c:lineChart>
        <c:grouping val="standard"/>
        <c:varyColors val="0"/>
        <c:ser>
          <c:idx val="2"/>
          <c:order val="2"/>
          <c:tx>
            <c:v>Prom. Gral. Cons</c:v>
          </c:tx>
          <c:spPr>
            <a:ln w="41275" cap="rnd" cmpd="sng" algn="ctr">
              <a:solidFill>
                <a:sysClr val="windowText" lastClr="000000">
                  <a:lumMod val="100000"/>
                </a:sys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val>
            <c:numRef>
              <c:f>'Gráficos Demografías'!$D$512:$J$512</c:f>
              <c:numCache>
                <c:formatCode>0</c:formatCode>
                <c:ptCount val="7"/>
                <c:pt idx="0">
                  <c:v>82.91</c:v>
                </c:pt>
                <c:pt idx="1">
                  <c:v>82.91</c:v>
                </c:pt>
                <c:pt idx="2">
                  <c:v>82.91</c:v>
                </c:pt>
                <c:pt idx="3">
                  <c:v>82.91</c:v>
                </c:pt>
                <c:pt idx="4">
                  <c:v>82.91</c:v>
                </c:pt>
                <c:pt idx="5">
                  <c:v>82.91</c:v>
                </c:pt>
                <c:pt idx="6">
                  <c:v>82.91</c:v>
                </c:pt>
              </c:numCache>
            </c:numRef>
          </c:val>
          <c:smooth val="0"/>
        </c:ser>
        <c:ser>
          <c:idx val="3"/>
          <c:order val="3"/>
          <c:tx>
            <c:v>Percepción Gral.</c:v>
          </c:tx>
          <c:spPr>
            <a:ln w="53975" cap="rnd" cmpd="sng" algn="ctr">
              <a:solidFill>
                <a:srgbClr val="006086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13"/>
            <c:spPr>
              <a:solidFill>
                <a:srgbClr val="FFFFFF"/>
              </a:solidFill>
              <a:ln w="53975" cap="rnd" cmpd="sng" algn="ctr">
                <a:solidFill>
                  <a:srgbClr val="006086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400" b="1" i="0" u="none" strike="noStrike" kern="1200" baseline="0">
                    <a:solidFill>
                      <a:srgbClr val="006086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A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Demografías'!$D$513:$J$513</c:f>
              <c:numCache>
                <c:formatCode>0</c:formatCode>
                <c:ptCount val="7"/>
                <c:pt idx="0">
                  <c:v>75</c:v>
                </c:pt>
                <c:pt idx="1">
                  <c:v>100</c:v>
                </c:pt>
                <c:pt idx="2">
                  <c:v>75.61</c:v>
                </c:pt>
                <c:pt idx="3">
                  <c:v>86.36</c:v>
                </c:pt>
                <c:pt idx="4">
                  <c:v>83.41</c:v>
                </c:pt>
                <c:pt idx="5">
                  <c:v>91.58</c:v>
                </c:pt>
                <c:pt idx="6">
                  <c:v>100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1384344720"/>
        <c:axId val="-1384343088"/>
      </c:lineChart>
      <c:catAx>
        <c:axId val="-1384344720"/>
        <c:scaling>
          <c:orientation val="minMax"/>
        </c:scaling>
        <c:delete val="1"/>
        <c:axPos val="b"/>
        <c:majorTickMark val="none"/>
        <c:minorTickMark val="none"/>
        <c:tickLblPos val="nextTo"/>
        <c:crossAx val="-1384343088"/>
        <c:crosses val="autoZero"/>
        <c:auto val="1"/>
        <c:lblAlgn val="ctr"/>
        <c:lblOffset val="100"/>
        <c:noMultiLvlLbl val="0"/>
      </c:catAx>
      <c:valAx>
        <c:axId val="-1384343088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-13843447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  <c:userShapes r:id="rId3"/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5.9701492537313433E-3"/>
          <c:y val="0.12"/>
          <c:w val="0.99402985074626871"/>
          <c:h val="0.8"/>
        </c:manualLayout>
      </c:layout>
      <c:barChart>
        <c:barDir val="col"/>
        <c:grouping val="clustered"/>
        <c:varyColors val="0"/>
        <c:ser>
          <c:idx val="0"/>
          <c:order val="0"/>
          <c:tx>
            <c:v>Promedio Actual</c:v>
          </c:tx>
          <c:spPr>
            <a:solidFill>
              <a:srgbClr val="86868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A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Demografías'!$D$538:$J$538</c:f>
              <c:numCache>
                <c:formatCode>0</c:formatCode>
                <c:ptCount val="7"/>
                <c:pt idx="0">
                  <c:v>88.51</c:v>
                </c:pt>
                <c:pt idx="1">
                  <c:v>77.03</c:v>
                </c:pt>
                <c:pt idx="2">
                  <c:v>87.77</c:v>
                </c:pt>
                <c:pt idx="3">
                  <c:v>81.510000000000005</c:v>
                </c:pt>
                <c:pt idx="4">
                  <c:v>81.52</c:v>
                </c:pt>
                <c:pt idx="5">
                  <c:v>0</c:v>
                </c:pt>
                <c:pt idx="6">
                  <c:v>93.1</c:v>
                </c:pt>
              </c:numCache>
            </c:numRef>
          </c:val>
        </c:ser>
        <c:ser>
          <c:idx val="1"/>
          <c:order val="1"/>
          <c:tx>
            <c:v>Promedio Anterior</c:v>
          </c:tx>
          <c:spPr>
            <a:solidFill>
              <a:srgbClr val="BD1933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A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Demografías'!$D$540:$J$540</c:f>
              <c:numCache>
                <c:formatCode>0</c:formatCode>
                <c:ptCount val="7"/>
                <c:pt idx="0">
                  <c:v>87.49</c:v>
                </c:pt>
                <c:pt idx="1">
                  <c:v>80.099999999999994</c:v>
                </c:pt>
                <c:pt idx="2">
                  <c:v>77.22</c:v>
                </c:pt>
                <c:pt idx="3">
                  <c:v>75.45</c:v>
                </c:pt>
                <c:pt idx="4">
                  <c:v>82.2</c:v>
                </c:pt>
                <c:pt idx="5">
                  <c:v>0</c:v>
                </c:pt>
                <c:pt idx="6">
                  <c:v>91.82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0"/>
        <c:overlap val="-15"/>
        <c:axId val="-1289544720"/>
        <c:axId val="-1289551248"/>
      </c:barChart>
      <c:lineChart>
        <c:grouping val="standard"/>
        <c:varyColors val="0"/>
        <c:ser>
          <c:idx val="2"/>
          <c:order val="2"/>
          <c:tx>
            <c:v>Prom. Gral. Cons</c:v>
          </c:tx>
          <c:spPr>
            <a:ln w="41275" cap="rnd" cmpd="sng" algn="ctr">
              <a:solidFill>
                <a:sysClr val="windowText" lastClr="000000">
                  <a:lumMod val="100000"/>
                </a:sys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val>
            <c:numRef>
              <c:f>'Gráficos Demografías'!$D$543:$J$543</c:f>
              <c:numCache>
                <c:formatCode>0</c:formatCode>
                <c:ptCount val="7"/>
                <c:pt idx="0">
                  <c:v>82.91</c:v>
                </c:pt>
                <c:pt idx="1">
                  <c:v>82.91</c:v>
                </c:pt>
                <c:pt idx="2">
                  <c:v>82.91</c:v>
                </c:pt>
                <c:pt idx="3">
                  <c:v>82.91</c:v>
                </c:pt>
                <c:pt idx="4">
                  <c:v>82.91</c:v>
                </c:pt>
                <c:pt idx="5">
                  <c:v>82.91</c:v>
                </c:pt>
                <c:pt idx="6">
                  <c:v>82.91</c:v>
                </c:pt>
              </c:numCache>
            </c:numRef>
          </c:val>
          <c:smooth val="0"/>
        </c:ser>
        <c:ser>
          <c:idx val="3"/>
          <c:order val="3"/>
          <c:tx>
            <c:v>Percepción Gral.</c:v>
          </c:tx>
          <c:spPr>
            <a:ln w="53975" cap="rnd" cmpd="sng" algn="ctr">
              <a:solidFill>
                <a:srgbClr val="006086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13"/>
            <c:spPr>
              <a:solidFill>
                <a:srgbClr val="FFFFFF"/>
              </a:solidFill>
              <a:ln w="53975" cap="rnd" cmpd="sng" algn="ctr">
                <a:solidFill>
                  <a:srgbClr val="006086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400" b="1" i="0" u="none" strike="noStrike" kern="1200" baseline="0">
                    <a:solidFill>
                      <a:srgbClr val="006086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A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Demografías'!$D$544:$J$544</c:f>
              <c:numCache>
                <c:formatCode>0</c:formatCode>
                <c:ptCount val="7"/>
                <c:pt idx="0">
                  <c:v>91.12</c:v>
                </c:pt>
                <c:pt idx="1">
                  <c:v>81.37</c:v>
                </c:pt>
                <c:pt idx="2">
                  <c:v>91.53</c:v>
                </c:pt>
                <c:pt idx="3">
                  <c:v>83.23</c:v>
                </c:pt>
                <c:pt idx="4">
                  <c:v>87.67</c:v>
                </c:pt>
                <c:pt idx="5">
                  <c:v>0</c:v>
                </c:pt>
                <c:pt idx="6">
                  <c:v>100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1289544720"/>
        <c:axId val="-1289551248"/>
      </c:lineChart>
      <c:catAx>
        <c:axId val="-1289544720"/>
        <c:scaling>
          <c:orientation val="minMax"/>
        </c:scaling>
        <c:delete val="1"/>
        <c:axPos val="b"/>
        <c:majorTickMark val="none"/>
        <c:minorTickMark val="none"/>
        <c:tickLblPos val="nextTo"/>
        <c:crossAx val="-1289551248"/>
        <c:crosses val="autoZero"/>
        <c:auto val="1"/>
        <c:lblAlgn val="ctr"/>
        <c:lblOffset val="100"/>
        <c:noMultiLvlLbl val="0"/>
      </c:catAx>
      <c:valAx>
        <c:axId val="-1289551248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-12895447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  <c:userShapes r:id="rId3"/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0.18074992125984252"/>
          <c:y val="9.0705027256208354E-2"/>
          <c:w val="0.55000000000000004"/>
          <c:h val="0.70512820512820518"/>
        </c:manualLayout>
      </c:layout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rgbClr val="BD195A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"/>
            <c:bubble3D val="0"/>
            <c:spPr>
              <a:solidFill>
                <a:srgbClr val="835376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"/>
            <c:bubble3D val="0"/>
            <c:spPr>
              <a:solidFill>
                <a:srgbClr val="71699A"/>
              </a:solidFill>
              <a:ln w="19050">
                <a:solidFill>
                  <a:schemeClr val="lt1"/>
                </a:solidFill>
              </a:ln>
              <a:effectLst/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endParaRPr lang="es-A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eparator>
</c:separator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Demografía!$BH$2:$BK$2</c:f>
              <c:strCache>
                <c:ptCount val="4"/>
                <c:pt idx="0">
                  <c:v>Más de dos</c:v>
                </c:pt>
                <c:pt idx="1">
                  <c:v>Dos</c:v>
                </c:pt>
                <c:pt idx="2">
                  <c:v>Una</c:v>
                </c:pt>
                <c:pt idx="3">
                  <c:v>Ninguna</c:v>
                </c:pt>
              </c:strCache>
            </c:strRef>
          </c:cat>
          <c:val>
            <c:numRef>
              <c:f>Demografía!$BH$17:$BK$17</c:f>
              <c:numCache>
                <c:formatCode>0.0</c:formatCode>
                <c:ptCount val="4"/>
                <c:pt idx="0">
                  <c:v>52.022137079608342</c:v>
                </c:pt>
                <c:pt idx="1">
                  <c:v>23.15879097488293</c:v>
                </c:pt>
                <c:pt idx="2">
                  <c:v>10.664112388250318</c:v>
                </c:pt>
                <c:pt idx="3">
                  <c:v>2.4691358024691357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  <c:holeSize val="50"/>
      </c:doughnutChart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  <c:userShapes r:id="rId3"/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0.18096519685039369"/>
          <c:y val="9.5102564102564097E-2"/>
          <c:w val="0.55000000000000004"/>
          <c:h val="0.70512820512820518"/>
        </c:manualLayout>
      </c:layout>
      <c:pieChart>
        <c:varyColors val="1"/>
        <c:ser>
          <c:idx val="0"/>
          <c:order val="0"/>
          <c:spPr>
            <a:noFill/>
            <a:ln w="19050"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rgbClr val="4F81BD"/>
                  </a:solidFill>
                </a14:hiddenFill>
              </a:ext>
              <a:ext uri="{91240B29-F687-4F45-9708-019B960494DF}">
                <a14:hiddenLine xmlns:a14="http://schemas.microsoft.com/office/drawing/2010/main" w="19050">
                  <a:solidFill>
                    <a:sysClr val="window" lastClr="FFFFFF"/>
                  </a:solidFill>
                </a14:hiddenLine>
              </a:ext>
            </a:extLst>
          </c:spPr>
          <c:dPt>
            <c:idx val="0"/>
            <c:bubble3D val="0"/>
            <c:spPr>
              <a:noFill/>
              <a:ln w="19050">
                <a:noFill/>
              </a:ln>
              <a:effectLst/>
              <a:extLst>
                <a:ext uri="{909E8E84-426E-40DD-AFC4-6F175D3DCCD1}">
                  <a14:hiddenFill xmlns:a14="http://schemas.microsoft.com/office/drawing/2010/main">
                    <a:solidFill>
                      <a:srgbClr val="4F81BD"/>
                    </a:solidFill>
                  </a14:hiddenFill>
                </a:ext>
                <a:ext uri="{91240B29-F687-4F45-9708-019B960494DF}">
                  <a14:hiddenLine xmlns:a14="http://schemas.microsoft.com/office/drawing/2010/main" w="19050">
                    <a:solidFill>
                      <a:sysClr val="window" lastClr="FFFFFF"/>
                    </a:solidFill>
                  </a14:hiddenLine>
                </a:ext>
              </a:extLst>
            </c:spPr>
          </c:dPt>
          <c:dPt>
            <c:idx val="1"/>
            <c:bubble3D val="0"/>
            <c:spPr>
              <a:noFill/>
              <a:ln w="19050">
                <a:noFill/>
              </a:ln>
              <a:effectLst/>
              <a:extLst>
                <a:ext uri="{909E8E84-426E-40DD-AFC4-6F175D3DCCD1}">
                  <a14:hiddenFill xmlns:a14="http://schemas.microsoft.com/office/drawing/2010/main">
                    <a:solidFill>
                      <a:srgbClr val="4F81BD"/>
                    </a:solidFill>
                  </a14:hiddenFill>
                </a:ext>
                <a:ext uri="{91240B29-F687-4F45-9708-019B960494DF}">
                  <a14:hiddenLine xmlns:a14="http://schemas.microsoft.com/office/drawing/2010/main" w="19050">
                    <a:solidFill>
                      <a:sysClr val="window" lastClr="FFFFFF"/>
                    </a:solidFill>
                  </a14:hiddenLine>
                </a:ext>
              </a:extLst>
            </c:spPr>
          </c:dPt>
          <c:dPt>
            <c:idx val="2"/>
            <c:bubble3D val="0"/>
            <c:spPr>
              <a:noFill/>
              <a:ln w="19050">
                <a:noFill/>
              </a:ln>
              <a:effectLst/>
              <a:extLst>
                <a:ext uri="{909E8E84-426E-40DD-AFC4-6F175D3DCCD1}">
                  <a14:hiddenFill xmlns:a14="http://schemas.microsoft.com/office/drawing/2010/main">
                    <a:solidFill>
                      <a:srgbClr val="4F81BD"/>
                    </a:solidFill>
                  </a14:hiddenFill>
                </a:ext>
                <a:ext uri="{91240B29-F687-4F45-9708-019B960494DF}">
                  <a14:hiddenLine xmlns:a14="http://schemas.microsoft.com/office/drawing/2010/main" w="19050">
                    <a:solidFill>
                      <a:sysClr val="window" lastClr="FFFFFF"/>
                    </a:solidFill>
                  </a14:hiddenLine>
                </a:ext>
              </a:extLst>
            </c:spPr>
          </c:dPt>
          <c:dPt>
            <c:idx val="3"/>
            <c:bubble3D val="0"/>
            <c:spPr>
              <a:noFill/>
              <a:ln w="19050">
                <a:noFill/>
              </a:ln>
              <a:effectLst/>
              <a:extLst>
                <a:ext uri="{909E8E84-426E-40DD-AFC4-6F175D3DCCD1}">
                  <a14:hiddenFill xmlns:a14="http://schemas.microsoft.com/office/drawing/2010/main">
                    <a:solidFill>
                      <a:srgbClr val="4F81BD"/>
                    </a:solidFill>
                  </a14:hiddenFill>
                </a:ext>
                <a:ext uri="{91240B29-F687-4F45-9708-019B960494DF}">
                  <a14:hiddenLine xmlns:a14="http://schemas.microsoft.com/office/drawing/2010/main" w="19050">
                    <a:solidFill>
                      <a:sysClr val="window" lastClr="FFFFFF"/>
                    </a:solidFill>
                  </a14:hiddenLine>
                </a:ext>
              </a:extLst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endParaRPr lang="es-AR"/>
              </a:p>
            </c:txPr>
            <c:dLblPos val="outEnd"/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Demografía!$BH$2:$BK$2</c:f>
              <c:strCache>
                <c:ptCount val="4"/>
                <c:pt idx="0">
                  <c:v>Más de dos</c:v>
                </c:pt>
                <c:pt idx="1">
                  <c:v>Dos</c:v>
                </c:pt>
                <c:pt idx="2">
                  <c:v>Una</c:v>
                </c:pt>
                <c:pt idx="3">
                  <c:v>Ninguna</c:v>
                </c:pt>
              </c:strCache>
            </c:strRef>
          </c:cat>
          <c:val>
            <c:numRef>
              <c:f>Demografía!$BH$17:$BK$17</c:f>
              <c:numCache>
                <c:formatCode>0.0</c:formatCode>
                <c:ptCount val="4"/>
                <c:pt idx="0">
                  <c:v>52.022137079608342</c:v>
                </c:pt>
                <c:pt idx="1">
                  <c:v>23.15879097488293</c:v>
                </c:pt>
                <c:pt idx="2">
                  <c:v>10.664112388250318</c:v>
                </c:pt>
                <c:pt idx="3">
                  <c:v>2.4691358024691357</c:v>
                </c:pt>
              </c:numCache>
            </c:numRef>
          </c:val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5.9701492537313433E-3"/>
          <c:y val="0.12"/>
          <c:w val="0.99402985074626871"/>
          <c:h val="0.8"/>
        </c:manualLayout>
      </c:layout>
      <c:barChart>
        <c:barDir val="col"/>
        <c:grouping val="clustered"/>
        <c:varyColors val="0"/>
        <c:ser>
          <c:idx val="0"/>
          <c:order val="0"/>
          <c:tx>
            <c:v>Promedio Actual</c:v>
          </c:tx>
          <c:spPr>
            <a:solidFill>
              <a:srgbClr val="86868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A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Demografías'!$D$629:$J$629</c:f>
              <c:numCache>
                <c:formatCode>0</c:formatCode>
                <c:ptCount val="7"/>
                <c:pt idx="0">
                  <c:v>88.39</c:v>
                </c:pt>
                <c:pt idx="1">
                  <c:v>80.150000000000006</c:v>
                </c:pt>
                <c:pt idx="2">
                  <c:v>71.099999999999994</c:v>
                </c:pt>
                <c:pt idx="3">
                  <c:v>59.77</c:v>
                </c:pt>
              </c:numCache>
            </c:numRef>
          </c:val>
        </c:ser>
        <c:ser>
          <c:idx val="1"/>
          <c:order val="1"/>
          <c:tx>
            <c:v>Promedio Anterior</c:v>
          </c:tx>
          <c:spPr>
            <a:solidFill>
              <a:srgbClr val="BD1933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A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Demografías'!$D$631:$J$631</c:f>
              <c:numCache>
                <c:formatCode>0</c:formatCode>
                <c:ptCount val="7"/>
                <c:pt idx="0">
                  <c:v>84.86</c:v>
                </c:pt>
                <c:pt idx="1">
                  <c:v>74.510000000000005</c:v>
                </c:pt>
                <c:pt idx="2">
                  <c:v>66.599999999999994</c:v>
                </c:pt>
                <c:pt idx="3">
                  <c:v>55.18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0"/>
        <c:overlap val="-15"/>
        <c:axId val="-1289548528"/>
        <c:axId val="-1289547984"/>
      </c:barChart>
      <c:lineChart>
        <c:grouping val="standard"/>
        <c:varyColors val="0"/>
        <c:ser>
          <c:idx val="2"/>
          <c:order val="2"/>
          <c:tx>
            <c:v>Prom. Gral. Cons</c:v>
          </c:tx>
          <c:spPr>
            <a:ln w="41275" cap="rnd" cmpd="sng" algn="ctr">
              <a:solidFill>
                <a:sysClr val="windowText" lastClr="000000">
                  <a:lumMod val="100000"/>
                </a:sys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val>
            <c:numRef>
              <c:f>'Gráficos Demografías'!$D$634:$J$634</c:f>
              <c:numCache>
                <c:formatCode>0</c:formatCode>
                <c:ptCount val="7"/>
                <c:pt idx="0">
                  <c:v>82.91</c:v>
                </c:pt>
                <c:pt idx="1">
                  <c:v>82.91</c:v>
                </c:pt>
                <c:pt idx="2">
                  <c:v>82.91</c:v>
                </c:pt>
                <c:pt idx="3">
                  <c:v>82.91</c:v>
                </c:pt>
              </c:numCache>
            </c:numRef>
          </c:val>
          <c:smooth val="0"/>
        </c:ser>
        <c:ser>
          <c:idx val="3"/>
          <c:order val="3"/>
          <c:tx>
            <c:v>Percepción Gral.</c:v>
          </c:tx>
          <c:spPr>
            <a:ln w="53975" cap="rnd" cmpd="sng" algn="ctr">
              <a:solidFill>
                <a:srgbClr val="006086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13"/>
            <c:spPr>
              <a:solidFill>
                <a:srgbClr val="FFFFFF"/>
              </a:solidFill>
              <a:ln w="53975" cap="rnd" cmpd="sng" algn="ctr">
                <a:solidFill>
                  <a:srgbClr val="006086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400" b="1" i="0" u="none" strike="noStrike" kern="1200" baseline="0">
                    <a:solidFill>
                      <a:srgbClr val="006086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A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Demografías'!$D$635:$J$635</c:f>
              <c:numCache>
                <c:formatCode>0</c:formatCode>
                <c:ptCount val="7"/>
                <c:pt idx="0">
                  <c:v>89.51</c:v>
                </c:pt>
                <c:pt idx="1">
                  <c:v>82.26</c:v>
                </c:pt>
                <c:pt idx="2">
                  <c:v>70.599999999999994</c:v>
                </c:pt>
                <c:pt idx="3">
                  <c:v>68.099999999999994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1289548528"/>
        <c:axId val="-1289547984"/>
      </c:lineChart>
      <c:catAx>
        <c:axId val="-1289548528"/>
        <c:scaling>
          <c:orientation val="minMax"/>
        </c:scaling>
        <c:delete val="1"/>
        <c:axPos val="b"/>
        <c:majorTickMark val="none"/>
        <c:minorTickMark val="none"/>
        <c:tickLblPos val="nextTo"/>
        <c:crossAx val="-1289547984"/>
        <c:crosses val="autoZero"/>
        <c:auto val="1"/>
        <c:lblAlgn val="ctr"/>
        <c:lblOffset val="100"/>
        <c:noMultiLvlLbl val="0"/>
      </c:catAx>
      <c:valAx>
        <c:axId val="-1289547984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-12895485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  <c:userShapes r:id="rId3"/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0.18074992125984252"/>
          <c:y val="9.0705027256208354E-2"/>
          <c:w val="0.55000000000000004"/>
          <c:h val="0.70512820512820518"/>
        </c:manualLayout>
      </c:layout>
      <c:doughnutChart>
        <c:varyColors val="1"/>
        <c:ser>
          <c:idx val="0"/>
          <c:order val="0"/>
          <c:spPr>
            <a:ln w="63500"/>
          </c:spPr>
          <c:dPt>
            <c:idx val="0"/>
            <c:bubble3D val="0"/>
            <c:spPr>
              <a:solidFill>
                <a:srgbClr val="BD1934">
                  <a:alpha val="50000"/>
                </a:srgbClr>
              </a:solidFill>
              <a:ln w="6350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rgbClr val="BD195A">
                  <a:alpha val="50000"/>
                </a:srgbClr>
              </a:solidFill>
              <a:ln w="63500">
                <a:solidFill>
                  <a:schemeClr val="lt1"/>
                </a:solidFill>
              </a:ln>
              <a:effectLst/>
            </c:spPr>
          </c:dPt>
          <c:dPt>
            <c:idx val="2"/>
            <c:bubble3D val="0"/>
            <c:spPr>
              <a:solidFill>
                <a:srgbClr val="835376">
                  <a:alpha val="50000"/>
                </a:srgbClr>
              </a:solidFill>
              <a:ln w="63500">
                <a:solidFill>
                  <a:schemeClr val="lt1"/>
                </a:solidFill>
              </a:ln>
              <a:effectLst/>
            </c:spPr>
          </c:dPt>
          <c:dPt>
            <c:idx val="3"/>
            <c:bubble3D val="0"/>
            <c:spPr>
              <a:solidFill>
                <a:srgbClr val="71699A">
                  <a:alpha val="50000"/>
                </a:srgbClr>
              </a:solidFill>
              <a:ln w="63500">
                <a:solidFill>
                  <a:schemeClr val="lt1"/>
                </a:solidFill>
              </a:ln>
              <a:effectLst/>
            </c:spPr>
          </c:dPt>
          <c:dPt>
            <c:idx val="4"/>
            <c:bubble3D val="0"/>
            <c:spPr>
              <a:solidFill>
                <a:srgbClr val="7489B5">
                  <a:alpha val="50000"/>
                </a:srgbClr>
              </a:solidFill>
              <a:ln w="63500">
                <a:solidFill>
                  <a:schemeClr val="lt1"/>
                </a:solidFill>
              </a:ln>
              <a:effectLst/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0" i="0" u="none" strike="noStrike" kern="1200" baseline="0">
                    <a:solidFill>
                      <a:srgbClr val="262626"/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endParaRPr lang="es-A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eparator>
</c:separator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Demografía!$BM$2:$BQ$2</c:f>
              <c:strCache>
                <c:ptCount val="5"/>
                <c:pt idx="0">
                  <c:v>El hecho de que puedo armonizar el trabajo con mi vida personal</c:v>
                </c:pt>
                <c:pt idx="1">
                  <c:v>La remuneración y los beneficios que me brinda la empresa</c:v>
                </c:pt>
                <c:pt idx="2">
                  <c:v>El saber que el despido es un recurso de última instancia</c:v>
                </c:pt>
                <c:pt idx="3">
                  <c:v>La oportunidad de crecer y desarrollarme profesionalmente</c:v>
                </c:pt>
                <c:pt idx="4">
                  <c:v>Otro motivo</c:v>
                </c:pt>
              </c:strCache>
            </c:strRef>
          </c:cat>
          <c:val>
            <c:numRef>
              <c:f>Demografía!$BM$17:$BQ$17</c:f>
              <c:numCache>
                <c:formatCode>0.0</c:formatCode>
                <c:ptCount val="5"/>
                <c:pt idx="0">
                  <c:v>14.47424435930183</c:v>
                </c:pt>
                <c:pt idx="1">
                  <c:v>20.008514261387823</c:v>
                </c:pt>
                <c:pt idx="2">
                  <c:v>2.1498510004257132</c:v>
                </c:pt>
                <c:pt idx="3">
                  <c:v>42.422307364836101</c:v>
                </c:pt>
                <c:pt idx="4">
                  <c:v>4.6402724563644107</c:v>
                </c:pt>
              </c:numCache>
            </c:numRef>
          </c:val>
        </c:ser>
        <c:ser>
          <c:idx val="1"/>
          <c:order val="1"/>
          <c:spPr>
            <a:ln w="63500"/>
          </c:spPr>
          <c:dPt>
            <c:idx val="0"/>
            <c:bubble3D val="0"/>
            <c:spPr>
              <a:solidFill>
                <a:srgbClr val="BD1934"/>
              </a:solidFill>
              <a:ln w="6350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rgbClr val="BD195A"/>
              </a:solidFill>
              <a:ln w="63500">
                <a:solidFill>
                  <a:schemeClr val="lt1"/>
                </a:solidFill>
              </a:ln>
              <a:effectLst/>
            </c:spPr>
          </c:dPt>
          <c:dPt>
            <c:idx val="2"/>
            <c:bubble3D val="0"/>
            <c:spPr>
              <a:solidFill>
                <a:srgbClr val="835376"/>
              </a:solidFill>
              <a:ln w="63500">
                <a:solidFill>
                  <a:schemeClr val="lt1"/>
                </a:solidFill>
              </a:ln>
              <a:effectLst/>
            </c:spPr>
          </c:dPt>
          <c:dPt>
            <c:idx val="3"/>
            <c:bubble3D val="0"/>
            <c:spPr>
              <a:solidFill>
                <a:srgbClr val="71699A"/>
              </a:solidFill>
              <a:ln w="63500">
                <a:solidFill>
                  <a:schemeClr val="lt1"/>
                </a:solidFill>
              </a:ln>
              <a:effectLst/>
            </c:spPr>
          </c:dPt>
          <c:dPt>
            <c:idx val="4"/>
            <c:bubble3D val="0"/>
            <c:spPr>
              <a:solidFill>
                <a:srgbClr val="7489B5"/>
              </a:solidFill>
              <a:ln w="63500">
                <a:solidFill>
                  <a:schemeClr val="lt1"/>
                </a:solidFill>
              </a:ln>
              <a:effectLst/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0" i="0" u="none" strike="noStrike" kern="1200" baseline="0">
                    <a:solidFill>
                      <a:srgbClr val="262626"/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endParaRPr lang="es-A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eparator>
</c:separator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Demografía!$BM$2:$BQ$2</c:f>
              <c:strCache>
                <c:ptCount val="5"/>
                <c:pt idx="0">
                  <c:v>El hecho de que puedo armonizar el trabajo con mi vida personal</c:v>
                </c:pt>
                <c:pt idx="1">
                  <c:v>La remuneración y los beneficios que me brinda la empresa</c:v>
                </c:pt>
                <c:pt idx="2">
                  <c:v>El saber que el despido es un recurso de última instancia</c:v>
                </c:pt>
                <c:pt idx="3">
                  <c:v>La oportunidad de crecer y desarrollarme profesionalmente</c:v>
                </c:pt>
                <c:pt idx="4">
                  <c:v>Otro motivo</c:v>
                </c:pt>
              </c:strCache>
            </c:strRef>
          </c:cat>
          <c:val>
            <c:numRef>
              <c:f>Demografía!$BM$20:$BQ$20</c:f>
              <c:numCache>
                <c:formatCode>0.0</c:formatCode>
                <c:ptCount val="5"/>
                <c:pt idx="0">
                  <c:v>16.692156434345641</c:v>
                </c:pt>
                <c:pt idx="1">
                  <c:v>26.982739785885951</c:v>
                </c:pt>
                <c:pt idx="2">
                  <c:v>2.8839851431068384</c:v>
                </c:pt>
                <c:pt idx="3">
                  <c:v>46.952152064671182</c:v>
                </c:pt>
                <c:pt idx="4">
                  <c:v>6.4889665719903871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  <c:holeSize val="54"/>
      </c:doughnutChart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  <c:userShapes r:id="rId3"/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0.18096519685039369"/>
          <c:y val="9.5102564102564097E-2"/>
          <c:w val="0.55000000000000004"/>
          <c:h val="0.70512820512820518"/>
        </c:manualLayout>
      </c:layout>
      <c:pieChart>
        <c:varyColors val="1"/>
        <c:ser>
          <c:idx val="0"/>
          <c:order val="0"/>
          <c:spPr>
            <a:noFill/>
            <a:ln w="19050"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rgbClr val="4F81BD"/>
                  </a:solidFill>
                </a14:hiddenFill>
              </a:ext>
              <a:ext uri="{91240B29-F687-4F45-9708-019B960494DF}">
                <a14:hiddenLine xmlns:a14="http://schemas.microsoft.com/office/drawing/2010/main" w="19050">
                  <a:solidFill>
                    <a:sysClr val="window" lastClr="FFFFFF"/>
                  </a:solidFill>
                </a14:hiddenLine>
              </a:ext>
            </a:extLst>
          </c:spPr>
          <c:dPt>
            <c:idx val="0"/>
            <c:bubble3D val="0"/>
            <c:spPr>
              <a:noFill/>
              <a:ln w="19050">
                <a:noFill/>
              </a:ln>
              <a:effectLst/>
              <a:extLst>
                <a:ext uri="{909E8E84-426E-40DD-AFC4-6F175D3DCCD1}">
                  <a14:hiddenFill xmlns:a14="http://schemas.microsoft.com/office/drawing/2010/main">
                    <a:solidFill>
                      <a:srgbClr val="4F81BD"/>
                    </a:solidFill>
                  </a14:hiddenFill>
                </a:ext>
                <a:ext uri="{91240B29-F687-4F45-9708-019B960494DF}">
                  <a14:hiddenLine xmlns:a14="http://schemas.microsoft.com/office/drawing/2010/main" w="19050">
                    <a:solidFill>
                      <a:sysClr val="window" lastClr="FFFFFF"/>
                    </a:solidFill>
                  </a14:hiddenLine>
                </a:ext>
              </a:extLst>
            </c:spPr>
          </c:dPt>
          <c:dPt>
            <c:idx val="1"/>
            <c:bubble3D val="0"/>
            <c:spPr>
              <a:noFill/>
              <a:ln w="19050">
                <a:noFill/>
              </a:ln>
              <a:effectLst/>
              <a:extLst>
                <a:ext uri="{909E8E84-426E-40DD-AFC4-6F175D3DCCD1}">
                  <a14:hiddenFill xmlns:a14="http://schemas.microsoft.com/office/drawing/2010/main">
                    <a:solidFill>
                      <a:srgbClr val="4F81BD"/>
                    </a:solidFill>
                  </a14:hiddenFill>
                </a:ext>
                <a:ext uri="{91240B29-F687-4F45-9708-019B960494DF}">
                  <a14:hiddenLine xmlns:a14="http://schemas.microsoft.com/office/drawing/2010/main" w="19050">
                    <a:solidFill>
                      <a:sysClr val="window" lastClr="FFFFFF"/>
                    </a:solidFill>
                  </a14:hiddenLine>
                </a:ext>
              </a:extLst>
            </c:spPr>
          </c:dPt>
          <c:dPt>
            <c:idx val="2"/>
            <c:bubble3D val="0"/>
            <c:spPr>
              <a:noFill/>
              <a:ln w="19050">
                <a:noFill/>
              </a:ln>
              <a:effectLst/>
              <a:extLst>
                <a:ext uri="{909E8E84-426E-40DD-AFC4-6F175D3DCCD1}">
                  <a14:hiddenFill xmlns:a14="http://schemas.microsoft.com/office/drawing/2010/main">
                    <a:solidFill>
                      <a:srgbClr val="4F81BD"/>
                    </a:solidFill>
                  </a14:hiddenFill>
                </a:ext>
                <a:ext uri="{91240B29-F687-4F45-9708-019B960494DF}">
                  <a14:hiddenLine xmlns:a14="http://schemas.microsoft.com/office/drawing/2010/main" w="19050">
                    <a:solidFill>
                      <a:sysClr val="window" lastClr="FFFFFF"/>
                    </a:solidFill>
                  </a14:hiddenLine>
                </a:ext>
              </a:extLst>
            </c:spPr>
          </c:dPt>
          <c:dPt>
            <c:idx val="3"/>
            <c:bubble3D val="0"/>
            <c:spPr>
              <a:noFill/>
              <a:ln w="19050">
                <a:noFill/>
              </a:ln>
              <a:effectLst/>
              <a:extLst>
                <a:ext uri="{909E8E84-426E-40DD-AFC4-6F175D3DCCD1}">
                  <a14:hiddenFill xmlns:a14="http://schemas.microsoft.com/office/drawing/2010/main">
                    <a:solidFill>
                      <a:srgbClr val="4F81BD"/>
                    </a:solidFill>
                  </a14:hiddenFill>
                </a:ext>
                <a:ext uri="{91240B29-F687-4F45-9708-019B960494DF}">
                  <a14:hiddenLine xmlns:a14="http://schemas.microsoft.com/office/drawing/2010/main" w="19050">
                    <a:solidFill>
                      <a:sysClr val="window" lastClr="FFFFFF"/>
                    </a:solidFill>
                  </a14:hiddenLine>
                </a:ext>
              </a:extLst>
            </c:spPr>
          </c:dPt>
          <c:dPt>
            <c:idx val="4"/>
            <c:bubble3D val="0"/>
            <c:spPr>
              <a:noFill/>
              <a:ln w="19050">
                <a:noFill/>
              </a:ln>
              <a:effectLst/>
              <a:extLst>
                <a:ext uri="{909E8E84-426E-40DD-AFC4-6F175D3DCCD1}">
                  <a14:hiddenFill xmlns:a14="http://schemas.microsoft.com/office/drawing/2010/main">
                    <a:solidFill>
                      <a:srgbClr val="4F81BD"/>
                    </a:solidFill>
                  </a14:hiddenFill>
                </a:ext>
                <a:ext uri="{91240B29-F687-4F45-9708-019B960494DF}">
                  <a14:hiddenLine xmlns:a14="http://schemas.microsoft.com/office/drawing/2010/main" w="19050">
                    <a:solidFill>
                      <a:sysClr val="window" lastClr="FFFFFF"/>
                    </a:solidFill>
                  </a14:hiddenLine>
                </a:ext>
              </a:extLst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endParaRPr lang="es-AR"/>
              </a:p>
            </c:txPr>
            <c:dLblPos val="outEnd"/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Demografía!$BM$2:$BQ$2</c:f>
              <c:strCache>
                <c:ptCount val="5"/>
                <c:pt idx="0">
                  <c:v>El hecho de que puedo armonizar el trabajo con mi vida personal</c:v>
                </c:pt>
                <c:pt idx="1">
                  <c:v>La remuneración y los beneficios que me brinda la empresa</c:v>
                </c:pt>
                <c:pt idx="2">
                  <c:v>El saber que el despido es un recurso de última instancia</c:v>
                </c:pt>
                <c:pt idx="3">
                  <c:v>La oportunidad de crecer y desarrollarme profesionalmente</c:v>
                </c:pt>
                <c:pt idx="4">
                  <c:v>Otro motivo</c:v>
                </c:pt>
              </c:strCache>
            </c:strRef>
          </c:cat>
          <c:val>
            <c:numRef>
              <c:f>Demografía!$BM$17:$BQ$17</c:f>
              <c:numCache>
                <c:formatCode>0.0</c:formatCode>
                <c:ptCount val="5"/>
                <c:pt idx="0">
                  <c:v>14.47424435930183</c:v>
                </c:pt>
                <c:pt idx="1">
                  <c:v>20.008514261387823</c:v>
                </c:pt>
                <c:pt idx="2">
                  <c:v>2.1498510004257132</c:v>
                </c:pt>
                <c:pt idx="3">
                  <c:v>42.422307364836101</c:v>
                </c:pt>
                <c:pt idx="4">
                  <c:v>4.6402724563644107</c:v>
                </c:pt>
              </c:numCache>
            </c:numRef>
          </c:val>
        </c:ser>
        <c:ser>
          <c:idx val="1"/>
          <c:order val="1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Demografía!$BM$2:$BQ$2</c:f>
              <c:strCache>
                <c:ptCount val="5"/>
                <c:pt idx="0">
                  <c:v>El hecho de que puedo armonizar el trabajo con mi vida personal</c:v>
                </c:pt>
                <c:pt idx="1">
                  <c:v>La remuneración y los beneficios que me brinda la empresa</c:v>
                </c:pt>
                <c:pt idx="2">
                  <c:v>El saber que el despido es un recurso de última instancia</c:v>
                </c:pt>
                <c:pt idx="3">
                  <c:v>La oportunidad de crecer y desarrollarme profesionalmente</c:v>
                </c:pt>
                <c:pt idx="4">
                  <c:v>Otro motivo</c:v>
                </c:pt>
              </c:strCache>
            </c:strRef>
          </c:cat>
          <c:val>
            <c:numRef>
              <c:f>Demografía!$BM$20:$BQ$20</c:f>
              <c:numCache>
                <c:formatCode>0.0</c:formatCode>
                <c:ptCount val="5"/>
                <c:pt idx="0">
                  <c:v>16.692156434345641</c:v>
                </c:pt>
                <c:pt idx="1">
                  <c:v>26.982739785885951</c:v>
                </c:pt>
                <c:pt idx="2">
                  <c:v>2.8839851431068384</c:v>
                </c:pt>
                <c:pt idx="3">
                  <c:v>46.952152064671182</c:v>
                </c:pt>
                <c:pt idx="4">
                  <c:v>6.4889665719903871</c:v>
                </c:pt>
              </c:numCache>
            </c:numRef>
          </c:val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5.9701492537313433E-3"/>
          <c:y val="0.12"/>
          <c:w val="0.99402985074626871"/>
          <c:h val="0.8"/>
        </c:manualLayout>
      </c:layout>
      <c:barChart>
        <c:barDir val="col"/>
        <c:grouping val="clustered"/>
        <c:varyColors val="0"/>
        <c:ser>
          <c:idx val="0"/>
          <c:order val="0"/>
          <c:tx>
            <c:v>Promedio Actual</c:v>
          </c:tx>
          <c:spPr>
            <a:solidFill>
              <a:srgbClr val="86868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A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Demografías'!$D$720:$J$720</c:f>
              <c:numCache>
                <c:formatCode>0</c:formatCode>
                <c:ptCount val="7"/>
                <c:pt idx="0">
                  <c:v>85.13</c:v>
                </c:pt>
                <c:pt idx="1">
                  <c:v>77.69</c:v>
                </c:pt>
                <c:pt idx="2">
                  <c:v>65.31</c:v>
                </c:pt>
                <c:pt idx="3">
                  <c:v>88.38</c:v>
                </c:pt>
                <c:pt idx="4">
                  <c:v>67.58</c:v>
                </c:pt>
              </c:numCache>
            </c:numRef>
          </c:val>
        </c:ser>
        <c:ser>
          <c:idx val="1"/>
          <c:order val="1"/>
          <c:tx>
            <c:v>Promedio Anterior</c:v>
          </c:tx>
          <c:spPr>
            <a:solidFill>
              <a:srgbClr val="BD1933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A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Demografías'!$D$722:$J$722</c:f>
              <c:numCache>
                <c:formatCode>0</c:formatCode>
                <c:ptCount val="7"/>
                <c:pt idx="0">
                  <c:v>80.739999999999995</c:v>
                </c:pt>
                <c:pt idx="1">
                  <c:v>74.11</c:v>
                </c:pt>
                <c:pt idx="2">
                  <c:v>60.51</c:v>
                </c:pt>
                <c:pt idx="3">
                  <c:v>85.59</c:v>
                </c:pt>
                <c:pt idx="4">
                  <c:v>59.82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0"/>
        <c:overlap val="-15"/>
        <c:axId val="-1289546352"/>
        <c:axId val="-1289541456"/>
      </c:barChart>
      <c:lineChart>
        <c:grouping val="standard"/>
        <c:varyColors val="0"/>
        <c:ser>
          <c:idx val="2"/>
          <c:order val="2"/>
          <c:tx>
            <c:v>Prom. Gral. Cons</c:v>
          </c:tx>
          <c:spPr>
            <a:ln w="41275" cap="rnd" cmpd="sng" algn="ctr">
              <a:solidFill>
                <a:sysClr val="windowText" lastClr="000000">
                  <a:lumMod val="100000"/>
                </a:sys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val>
            <c:numRef>
              <c:f>'Gráficos Demografías'!$D$725:$J$725</c:f>
              <c:numCache>
                <c:formatCode>0</c:formatCode>
                <c:ptCount val="7"/>
                <c:pt idx="0">
                  <c:v>82.91</c:v>
                </c:pt>
                <c:pt idx="1">
                  <c:v>82.91</c:v>
                </c:pt>
                <c:pt idx="2">
                  <c:v>82.91</c:v>
                </c:pt>
                <c:pt idx="3">
                  <c:v>82.91</c:v>
                </c:pt>
                <c:pt idx="4">
                  <c:v>82.91</c:v>
                </c:pt>
              </c:numCache>
            </c:numRef>
          </c:val>
          <c:smooth val="0"/>
        </c:ser>
        <c:ser>
          <c:idx val="3"/>
          <c:order val="3"/>
          <c:tx>
            <c:v>Percepción Gral.</c:v>
          </c:tx>
          <c:spPr>
            <a:ln w="53975" cap="rnd" cmpd="sng" algn="ctr">
              <a:solidFill>
                <a:srgbClr val="006086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13"/>
            <c:spPr>
              <a:solidFill>
                <a:srgbClr val="FFFFFF"/>
              </a:solidFill>
              <a:ln w="53975" cap="rnd" cmpd="sng" algn="ctr">
                <a:solidFill>
                  <a:srgbClr val="006086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400" b="1" i="0" u="none" strike="noStrike" kern="1200" baseline="0">
                    <a:solidFill>
                      <a:srgbClr val="006086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A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Demografías'!$D$726:$J$726</c:f>
              <c:numCache>
                <c:formatCode>0</c:formatCode>
                <c:ptCount val="7"/>
                <c:pt idx="0">
                  <c:v>87.3</c:v>
                </c:pt>
                <c:pt idx="1">
                  <c:v>77.290000000000006</c:v>
                </c:pt>
                <c:pt idx="2">
                  <c:v>65.349999999999994</c:v>
                </c:pt>
                <c:pt idx="3">
                  <c:v>91.62</c:v>
                </c:pt>
                <c:pt idx="4">
                  <c:v>61.47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1289546352"/>
        <c:axId val="-1289541456"/>
      </c:lineChart>
      <c:catAx>
        <c:axId val="-1289546352"/>
        <c:scaling>
          <c:orientation val="minMax"/>
        </c:scaling>
        <c:delete val="1"/>
        <c:axPos val="b"/>
        <c:majorTickMark val="none"/>
        <c:minorTickMark val="none"/>
        <c:tickLblPos val="nextTo"/>
        <c:crossAx val="-1289541456"/>
        <c:crosses val="autoZero"/>
        <c:auto val="1"/>
        <c:lblAlgn val="ctr"/>
        <c:lblOffset val="100"/>
        <c:noMultiLvlLbl val="0"/>
      </c:catAx>
      <c:valAx>
        <c:axId val="-1289541456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-12895463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  <c:userShapes r:id="rId3"/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0.18074992125984252"/>
          <c:y val="9.0705027256208354E-2"/>
          <c:w val="0.55000000000000004"/>
          <c:h val="0.70512820512820518"/>
        </c:manualLayout>
      </c:layout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rgbClr val="BD195A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"/>
            <c:bubble3D val="0"/>
            <c:spPr>
              <a:solidFill>
                <a:srgbClr val="835376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"/>
            <c:bubble3D val="0"/>
            <c:spPr>
              <a:solidFill>
                <a:srgbClr val="71699A"/>
              </a:solidFill>
              <a:ln w="19050">
                <a:solidFill>
                  <a:schemeClr val="lt1"/>
                </a:solidFill>
              </a:ln>
              <a:effectLst/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endParaRPr lang="es-A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eparator>
</c:separator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Demografía!$BS$2:$BV$2</c:f>
              <c:strCache>
                <c:ptCount val="4"/>
                <c:pt idx="0">
                  <c:v>Mas de dos</c:v>
                </c:pt>
                <c:pt idx="1">
                  <c:v>Dos</c:v>
                </c:pt>
                <c:pt idx="2">
                  <c:v>Una</c:v>
                </c:pt>
                <c:pt idx="3">
                  <c:v>Ninguna</c:v>
                </c:pt>
              </c:strCache>
            </c:strRef>
          </c:cat>
          <c:val>
            <c:numRef>
              <c:f>Demografía!$BS$17:$BV$17</c:f>
              <c:numCache>
                <c:formatCode>0.0</c:formatCode>
                <c:ptCount val="4"/>
                <c:pt idx="0">
                  <c:v>16.794380587484035</c:v>
                </c:pt>
                <c:pt idx="1">
                  <c:v>6.0238399318859086</c:v>
                </c:pt>
                <c:pt idx="2">
                  <c:v>9.5785440613026829</c:v>
                </c:pt>
                <c:pt idx="3">
                  <c:v>6.7475521498510007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  <c:holeSize val="50"/>
      </c:doughnutChart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  <c:userShapes r:id="rId3"/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0.18096519685039369"/>
          <c:y val="9.5102564102564097E-2"/>
          <c:w val="0.55000000000000004"/>
          <c:h val="0.70512820512820518"/>
        </c:manualLayout>
      </c:layout>
      <c:pieChart>
        <c:varyColors val="1"/>
        <c:ser>
          <c:idx val="0"/>
          <c:order val="0"/>
          <c:spPr>
            <a:noFill/>
            <a:ln w="19050"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rgbClr val="4F81BD"/>
                  </a:solidFill>
                </a14:hiddenFill>
              </a:ext>
              <a:ext uri="{91240B29-F687-4F45-9708-019B960494DF}">
                <a14:hiddenLine xmlns:a14="http://schemas.microsoft.com/office/drawing/2010/main" w="19050">
                  <a:solidFill>
                    <a:sysClr val="window" lastClr="FFFFFF"/>
                  </a:solidFill>
                </a14:hiddenLine>
              </a:ext>
            </a:extLst>
          </c:spPr>
          <c:dPt>
            <c:idx val="0"/>
            <c:bubble3D val="0"/>
            <c:spPr>
              <a:noFill/>
              <a:ln w="19050">
                <a:noFill/>
              </a:ln>
              <a:effectLst/>
              <a:extLst>
                <a:ext uri="{909E8E84-426E-40DD-AFC4-6F175D3DCCD1}">
                  <a14:hiddenFill xmlns:a14="http://schemas.microsoft.com/office/drawing/2010/main">
                    <a:solidFill>
                      <a:srgbClr val="4F81BD"/>
                    </a:solidFill>
                  </a14:hiddenFill>
                </a:ext>
                <a:ext uri="{91240B29-F687-4F45-9708-019B960494DF}">
                  <a14:hiddenLine xmlns:a14="http://schemas.microsoft.com/office/drawing/2010/main" w="19050">
                    <a:solidFill>
                      <a:sysClr val="window" lastClr="FFFFFF"/>
                    </a:solidFill>
                  </a14:hiddenLine>
                </a:ext>
              </a:extLst>
            </c:spPr>
          </c:dPt>
          <c:dPt>
            <c:idx val="1"/>
            <c:bubble3D val="0"/>
            <c:spPr>
              <a:noFill/>
              <a:ln w="19050">
                <a:noFill/>
              </a:ln>
              <a:effectLst/>
              <a:extLst>
                <a:ext uri="{909E8E84-426E-40DD-AFC4-6F175D3DCCD1}">
                  <a14:hiddenFill xmlns:a14="http://schemas.microsoft.com/office/drawing/2010/main">
                    <a:solidFill>
                      <a:srgbClr val="4F81BD"/>
                    </a:solidFill>
                  </a14:hiddenFill>
                </a:ext>
                <a:ext uri="{91240B29-F687-4F45-9708-019B960494DF}">
                  <a14:hiddenLine xmlns:a14="http://schemas.microsoft.com/office/drawing/2010/main" w="19050">
                    <a:solidFill>
                      <a:sysClr val="window" lastClr="FFFFFF"/>
                    </a:solidFill>
                  </a14:hiddenLine>
                </a:ext>
              </a:extLst>
            </c:spPr>
          </c:dPt>
          <c:dPt>
            <c:idx val="2"/>
            <c:bubble3D val="0"/>
            <c:spPr>
              <a:noFill/>
              <a:ln w="19050">
                <a:noFill/>
              </a:ln>
              <a:effectLst/>
              <a:extLst>
                <a:ext uri="{909E8E84-426E-40DD-AFC4-6F175D3DCCD1}">
                  <a14:hiddenFill xmlns:a14="http://schemas.microsoft.com/office/drawing/2010/main">
                    <a:solidFill>
                      <a:srgbClr val="4F81BD"/>
                    </a:solidFill>
                  </a14:hiddenFill>
                </a:ext>
                <a:ext uri="{91240B29-F687-4F45-9708-019B960494DF}">
                  <a14:hiddenLine xmlns:a14="http://schemas.microsoft.com/office/drawing/2010/main" w="19050">
                    <a:solidFill>
                      <a:sysClr val="window" lastClr="FFFFFF"/>
                    </a:solidFill>
                  </a14:hiddenLine>
                </a:ext>
              </a:extLst>
            </c:spPr>
          </c:dPt>
          <c:dPt>
            <c:idx val="3"/>
            <c:bubble3D val="0"/>
            <c:spPr>
              <a:noFill/>
              <a:ln w="19050">
                <a:noFill/>
              </a:ln>
              <a:effectLst/>
              <a:extLst>
                <a:ext uri="{909E8E84-426E-40DD-AFC4-6F175D3DCCD1}">
                  <a14:hiddenFill xmlns:a14="http://schemas.microsoft.com/office/drawing/2010/main">
                    <a:solidFill>
                      <a:srgbClr val="4F81BD"/>
                    </a:solidFill>
                  </a14:hiddenFill>
                </a:ext>
                <a:ext uri="{91240B29-F687-4F45-9708-019B960494DF}">
                  <a14:hiddenLine xmlns:a14="http://schemas.microsoft.com/office/drawing/2010/main" w="19050">
                    <a:solidFill>
                      <a:sysClr val="window" lastClr="FFFFFF"/>
                    </a:solidFill>
                  </a14:hiddenLine>
                </a:ext>
              </a:extLst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endParaRPr lang="es-AR"/>
              </a:p>
            </c:txPr>
            <c:dLblPos val="outEnd"/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Demografía!$BS$2:$BV$2</c:f>
              <c:strCache>
                <c:ptCount val="4"/>
                <c:pt idx="0">
                  <c:v>Mas de dos</c:v>
                </c:pt>
                <c:pt idx="1">
                  <c:v>Dos</c:v>
                </c:pt>
                <c:pt idx="2">
                  <c:v>Una</c:v>
                </c:pt>
                <c:pt idx="3">
                  <c:v>Ninguna</c:v>
                </c:pt>
              </c:strCache>
            </c:strRef>
          </c:cat>
          <c:val>
            <c:numRef>
              <c:f>Demografía!$BS$17:$BV$17</c:f>
              <c:numCache>
                <c:formatCode>0.0</c:formatCode>
                <c:ptCount val="4"/>
                <c:pt idx="0">
                  <c:v>16.794380587484035</c:v>
                </c:pt>
                <c:pt idx="1">
                  <c:v>6.0238399318859086</c:v>
                </c:pt>
                <c:pt idx="2">
                  <c:v>9.5785440613026829</c:v>
                </c:pt>
                <c:pt idx="3">
                  <c:v>6.7475521498510007</c:v>
                </c:pt>
              </c:numCache>
            </c:numRef>
          </c:val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5.9701492537313433E-3"/>
          <c:y val="0.12"/>
          <c:w val="0.99402985074626871"/>
          <c:h val="0.8"/>
        </c:manualLayout>
      </c:layout>
      <c:barChart>
        <c:barDir val="col"/>
        <c:grouping val="clustered"/>
        <c:varyColors val="0"/>
        <c:ser>
          <c:idx val="0"/>
          <c:order val="0"/>
          <c:tx>
            <c:v>Promedio Actual</c:v>
          </c:tx>
          <c:spPr>
            <a:solidFill>
              <a:srgbClr val="86868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A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Demografías'!$D$811:$J$811</c:f>
              <c:numCache>
                <c:formatCode>0</c:formatCode>
                <c:ptCount val="7"/>
                <c:pt idx="0">
                  <c:v>90.42</c:v>
                </c:pt>
                <c:pt idx="1">
                  <c:v>84.77</c:v>
                </c:pt>
                <c:pt idx="2">
                  <c:v>79.48</c:v>
                </c:pt>
                <c:pt idx="3">
                  <c:v>64.67</c:v>
                </c:pt>
              </c:numCache>
            </c:numRef>
          </c:val>
        </c:ser>
        <c:ser>
          <c:idx val="1"/>
          <c:order val="1"/>
          <c:tx>
            <c:v>Promedio Anterior</c:v>
          </c:tx>
          <c:spPr>
            <a:solidFill>
              <a:srgbClr val="BD1933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A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Demografías'!$D$813:$J$813</c:f>
              <c:numCache>
                <c:formatCode>0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0"/>
        <c:overlap val="-15"/>
        <c:axId val="-1289542544"/>
        <c:axId val="-1289542000"/>
      </c:barChart>
      <c:lineChart>
        <c:grouping val="standard"/>
        <c:varyColors val="0"/>
        <c:ser>
          <c:idx val="2"/>
          <c:order val="2"/>
          <c:tx>
            <c:v>Prom. Gral. Cons</c:v>
          </c:tx>
          <c:spPr>
            <a:ln w="41275" cap="rnd" cmpd="sng" algn="ctr">
              <a:solidFill>
                <a:sysClr val="windowText" lastClr="000000">
                  <a:lumMod val="100000"/>
                </a:sys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val>
            <c:numRef>
              <c:f>'Gráficos Demografías'!$D$816:$J$816</c:f>
              <c:numCache>
                <c:formatCode>0</c:formatCode>
                <c:ptCount val="7"/>
                <c:pt idx="0">
                  <c:v>82.91</c:v>
                </c:pt>
                <c:pt idx="1">
                  <c:v>82.91</c:v>
                </c:pt>
                <c:pt idx="2">
                  <c:v>82.91</c:v>
                </c:pt>
                <c:pt idx="3">
                  <c:v>82.91</c:v>
                </c:pt>
              </c:numCache>
            </c:numRef>
          </c:val>
          <c:smooth val="0"/>
        </c:ser>
        <c:ser>
          <c:idx val="3"/>
          <c:order val="3"/>
          <c:tx>
            <c:v>Percepción Gral.</c:v>
          </c:tx>
          <c:spPr>
            <a:ln w="53975" cap="rnd" cmpd="sng" algn="ctr">
              <a:solidFill>
                <a:srgbClr val="006086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13"/>
            <c:spPr>
              <a:solidFill>
                <a:srgbClr val="FFFFFF"/>
              </a:solidFill>
              <a:ln w="53975" cap="rnd" cmpd="sng" algn="ctr">
                <a:solidFill>
                  <a:srgbClr val="006086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400" b="1" i="0" u="none" strike="noStrike" kern="1200" baseline="0">
                    <a:solidFill>
                      <a:srgbClr val="006086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A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Demografías'!$D$817:$J$817</c:f>
              <c:numCache>
                <c:formatCode>0</c:formatCode>
                <c:ptCount val="7"/>
                <c:pt idx="0">
                  <c:v>93.54</c:v>
                </c:pt>
                <c:pt idx="1">
                  <c:v>87.99</c:v>
                </c:pt>
                <c:pt idx="2">
                  <c:v>81.739999999999995</c:v>
                </c:pt>
                <c:pt idx="3">
                  <c:v>63.29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1289542544"/>
        <c:axId val="-1289542000"/>
      </c:lineChart>
      <c:catAx>
        <c:axId val="-1289542544"/>
        <c:scaling>
          <c:orientation val="minMax"/>
        </c:scaling>
        <c:delete val="1"/>
        <c:axPos val="b"/>
        <c:majorTickMark val="none"/>
        <c:minorTickMark val="none"/>
        <c:tickLblPos val="nextTo"/>
        <c:crossAx val="-1289542000"/>
        <c:crosses val="autoZero"/>
        <c:auto val="1"/>
        <c:lblAlgn val="ctr"/>
        <c:lblOffset val="100"/>
        <c:noMultiLvlLbl val="0"/>
      </c:catAx>
      <c:valAx>
        <c:axId val="-1289542000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-12895425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  <c:userShapes r:id="rId3"/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1.6923076923076923E-2"/>
          <c:y val="2.7742749054224466E-2"/>
          <c:w val="0.96615384615384614"/>
          <c:h val="0.65983354350567469"/>
        </c:manualLayout>
      </c:layout>
      <c:barChart>
        <c:barDir val="col"/>
        <c:grouping val="clustered"/>
        <c:varyColors val="0"/>
        <c:ser>
          <c:idx val="0"/>
          <c:order val="0"/>
          <c:tx>
            <c:v>2016</c:v>
          </c:tx>
          <c:spPr>
            <a:solidFill>
              <a:srgbClr val="86868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200" b="0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A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Lit>
              <c:formatCode>General</c:formatCode>
              <c:ptCount val="3"/>
              <c:pt idx="0">
                <c:v>94</c:v>
              </c:pt>
              <c:pt idx="1">
                <c:v>95</c:v>
              </c:pt>
              <c:pt idx="2">
                <c:v>98</c:v>
              </c:pt>
            </c:numLit>
          </c:val>
        </c:ser>
        <c:ser>
          <c:idx val="1"/>
          <c:order val="1"/>
          <c:tx>
            <c:v>2016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rgbClr val="D36F67"/>
              </a:solidFill>
              <a:ln>
                <a:noFill/>
              </a:ln>
              <a:effectLst/>
            </c:spPr>
          </c:dPt>
          <c:dPt>
            <c:idx val="1"/>
            <c:invertIfNegative val="0"/>
            <c:bubble3D val="0"/>
            <c:spPr>
              <a:solidFill>
                <a:srgbClr val="9C242C"/>
              </a:solidFill>
              <a:ln>
                <a:noFill/>
              </a:ln>
              <a:effectLst/>
            </c:spPr>
          </c:dPt>
          <c:dPt>
            <c:idx val="2"/>
            <c:invertIfNegative val="0"/>
            <c:bubble3D val="0"/>
            <c:spPr>
              <a:solidFill>
                <a:srgbClr val="006086"/>
              </a:solidFill>
              <a:ln>
                <a:noFill/>
              </a:ln>
              <a:effectLst/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200" b="0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A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Lit>
              <c:formatCode>General</c:formatCode>
              <c:ptCount val="3"/>
              <c:pt idx="0">
                <c:v>82</c:v>
              </c:pt>
              <c:pt idx="1">
                <c:v>83</c:v>
              </c:pt>
              <c:pt idx="2">
                <c:v>84</c:v>
              </c:pt>
            </c:numLit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8"/>
        <c:overlap val="-25"/>
        <c:axId val="-1288489136"/>
        <c:axId val="-1288495120"/>
      </c:barChart>
      <c:lineChart>
        <c:grouping val="standard"/>
        <c:varyColors val="0"/>
        <c:ser>
          <c:idx val="2"/>
          <c:order val="2"/>
          <c:tx>
            <c:v>BMK Mejores Argentina 2016</c:v>
          </c:tx>
          <c:spPr>
            <a:ln w="38100" cap="rnd" cmpd="sng" algn="ctr">
              <a:solidFill>
                <a:srgbClr val="C00000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16"/>
            <c:spPr>
              <a:solidFill>
                <a:srgbClr val="F2F2F2"/>
              </a:solidFill>
              <a:ln w="38100" cap="rnd" cmpd="sng" algn="ctr">
                <a:solidFill>
                  <a:srgbClr val="C00000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dLbls>
            <c:dLbl>
              <c:idx val="0"/>
              <c:layout/>
              <c:dLblPos val="b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1"/>
              <c:layout/>
              <c:dLblPos val="b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2"/>
              <c:layout/>
              <c:dLblPos val="b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200" b="1" i="0" u="none" strike="noStrike" kern="1200" baseline="0">
                    <a:solidFill>
                      <a:srgbClr val="C00000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A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Lit>
              <c:formatCode>General</c:formatCode>
              <c:ptCount val="3"/>
              <c:pt idx="0">
                <c:v>77</c:v>
              </c:pt>
              <c:pt idx="1">
                <c:v>79</c:v>
              </c:pt>
              <c:pt idx="2">
                <c:v>82</c:v>
              </c:pt>
            </c:numLit>
          </c:val>
          <c:smooth val="0"/>
        </c:ser>
        <c:ser>
          <c:idx val="3"/>
          <c:order val="3"/>
          <c:tx>
            <c:v>BMK Personalizado 2016 MARS</c:v>
          </c:tx>
          <c:spPr>
            <a:ln w="38100" cap="rnd">
              <a:solidFill>
                <a:srgbClr val="292B30"/>
              </a:solidFill>
              <a:prstDash val="sysDash"/>
              <a:round/>
            </a:ln>
            <a:effectLst/>
          </c:spPr>
          <c:marker>
            <c:symbol val="circle"/>
            <c:size val="16"/>
            <c:spPr>
              <a:solidFill>
                <a:srgbClr val="F2F2F2"/>
              </a:solidFill>
              <a:ln w="38100">
                <a:solidFill>
                  <a:srgbClr val="292B30"/>
                </a:solidFill>
                <a:prstDash val="solid"/>
              </a:ln>
              <a:effectLst/>
            </c:spPr>
          </c:marker>
          <c:dLbls>
            <c:dLbl>
              <c:idx val="0"/>
              <c:layout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1"/>
              <c:layout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2"/>
              <c:layout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200" b="1" i="0" u="none" strike="noStrike" kern="1200" baseline="0">
                    <a:solidFill>
                      <a:srgbClr val="292B30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AR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Lit>
              <c:formatCode>General</c:formatCode>
              <c:ptCount val="3"/>
              <c:pt idx="0">
                <c:v>87</c:v>
              </c:pt>
              <c:pt idx="1">
                <c:v>89</c:v>
              </c:pt>
              <c:pt idx="2">
                <c:v>93</c:v>
              </c:pt>
            </c:numLit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1288489136"/>
        <c:axId val="-1288495120"/>
      </c:lineChart>
      <c:catAx>
        <c:axId val="-1288489136"/>
        <c:scaling>
          <c:orientation val="minMax"/>
        </c:scaling>
        <c:delete val="1"/>
        <c:axPos val="b"/>
        <c:majorTickMark val="none"/>
        <c:minorTickMark val="none"/>
        <c:tickLblPos val="nextTo"/>
        <c:crossAx val="-1288495120"/>
        <c:crosses val="autoZero"/>
        <c:auto val="1"/>
        <c:lblAlgn val="ctr"/>
        <c:lblOffset val="100"/>
        <c:noMultiLvlLbl val="0"/>
      </c:catAx>
      <c:valAx>
        <c:axId val="-1288495120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-128848913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AR"/>
        </a:p>
      </c:txPr>
    </c:legend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spPr>
            <a:ln w="19050" cap="rnd">
              <a:solidFill>
                <a:srgbClr val="A6A6A6"/>
              </a:solidFill>
              <a:prstDash val="sysDash"/>
              <a:round/>
            </a:ln>
            <a:effectLst/>
          </c:spPr>
          <c:marker>
            <c:symbol val="circle"/>
            <c:size val="15"/>
            <c:spPr>
              <a:solidFill>
                <a:srgbClr val="D36F67"/>
              </a:solidFill>
              <a:ln w="19050">
                <a:solidFill>
                  <a:srgbClr val="D36F67"/>
                </a:solidFill>
                <a:prstDash val="soli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1" i="0" u="none" strike="noStrike" kern="1200" baseline="0">
                    <a:solidFill>
                      <a:srgbClr val="D36F67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A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Lit>
              <c:formatCode>General</c:formatCode>
              <c:ptCount val="12"/>
              <c:pt idx="0">
                <c:v>2005</c:v>
              </c:pt>
              <c:pt idx="1">
                <c:v>2006</c:v>
              </c:pt>
              <c:pt idx="2">
                <c:v>2007</c:v>
              </c:pt>
              <c:pt idx="3">
                <c:v>2008</c:v>
              </c:pt>
              <c:pt idx="4">
                <c:v>2009</c:v>
              </c:pt>
              <c:pt idx="5">
                <c:v>2010</c:v>
              </c:pt>
              <c:pt idx="6">
                <c:v>2011</c:v>
              </c:pt>
              <c:pt idx="7">
                <c:v>2012</c:v>
              </c:pt>
              <c:pt idx="8">
                <c:v>2013</c:v>
              </c:pt>
              <c:pt idx="9">
                <c:v>2014</c:v>
              </c:pt>
              <c:pt idx="10">
                <c:v>2015</c:v>
              </c:pt>
              <c:pt idx="11">
                <c:v>2016</c:v>
              </c:pt>
            </c:numLit>
          </c:cat>
          <c:val>
            <c:numLit>
              <c:formatCode>General</c:formatCode>
              <c:ptCount val="12"/>
              <c:pt idx="0">
                <c:v>69</c:v>
              </c:pt>
              <c:pt idx="1">
                <c:v>73</c:v>
              </c:pt>
              <c:pt idx="2">
                <c:v>66</c:v>
              </c:pt>
              <c:pt idx="3">
                <c:v>64</c:v>
              </c:pt>
              <c:pt idx="4">
                <c:v>64</c:v>
              </c:pt>
              <c:pt idx="5">
                <c:v>63</c:v>
              </c:pt>
              <c:pt idx="6">
                <c:v>61</c:v>
              </c:pt>
              <c:pt idx="7">
                <c:v>67</c:v>
              </c:pt>
              <c:pt idx="8">
                <c:v>64</c:v>
              </c:pt>
              <c:pt idx="9">
                <c:v>60</c:v>
              </c:pt>
              <c:pt idx="10">
                <c:v>62</c:v>
              </c:pt>
              <c:pt idx="11">
                <c:v>82</c:v>
              </c:pt>
            </c:numLit>
          </c:val>
          <c:smooth val="0"/>
        </c:ser>
        <c:ser>
          <c:idx val="1"/>
          <c:order val="1"/>
          <c:spPr>
            <a:ln w="19050" cap="rnd">
              <a:solidFill>
                <a:srgbClr val="A6A6A6"/>
              </a:solidFill>
              <a:prstDash val="sysDash"/>
              <a:round/>
            </a:ln>
            <a:effectLst/>
          </c:spPr>
          <c:marker>
            <c:symbol val="circle"/>
            <c:size val="15"/>
            <c:spPr>
              <a:solidFill>
                <a:srgbClr val="9C242C"/>
              </a:solidFill>
              <a:ln w="19050">
                <a:solidFill>
                  <a:srgbClr val="9C242C"/>
                </a:solidFill>
                <a:prstDash val="soli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1" i="0" u="none" strike="noStrike" kern="1200" baseline="0">
                    <a:solidFill>
                      <a:srgbClr val="9C242C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AR"/>
              </a:p>
            </c:txPr>
            <c:dLblPos val="l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Lit>
              <c:formatCode>General</c:formatCode>
              <c:ptCount val="12"/>
              <c:pt idx="0">
                <c:v>2005</c:v>
              </c:pt>
              <c:pt idx="1">
                <c:v>2006</c:v>
              </c:pt>
              <c:pt idx="2">
                <c:v>2007</c:v>
              </c:pt>
              <c:pt idx="3">
                <c:v>2008</c:v>
              </c:pt>
              <c:pt idx="4">
                <c:v>2009</c:v>
              </c:pt>
              <c:pt idx="5">
                <c:v>2010</c:v>
              </c:pt>
              <c:pt idx="6">
                <c:v>2011</c:v>
              </c:pt>
              <c:pt idx="7">
                <c:v>2012</c:v>
              </c:pt>
              <c:pt idx="8">
                <c:v>2013</c:v>
              </c:pt>
              <c:pt idx="9">
                <c:v>2014</c:v>
              </c:pt>
              <c:pt idx="10">
                <c:v>2015</c:v>
              </c:pt>
              <c:pt idx="11">
                <c:v>2016</c:v>
              </c:pt>
            </c:numLit>
          </c:cat>
          <c:val>
            <c:numLit>
              <c:formatCode>General</c:formatCode>
              <c:ptCount val="12"/>
              <c:pt idx="0">
                <c:v>69</c:v>
              </c:pt>
              <c:pt idx="1">
                <c:v>73</c:v>
              </c:pt>
              <c:pt idx="2">
                <c:v>65</c:v>
              </c:pt>
              <c:pt idx="3">
                <c:v>62</c:v>
              </c:pt>
              <c:pt idx="4">
                <c:v>62</c:v>
              </c:pt>
              <c:pt idx="5">
                <c:v>63</c:v>
              </c:pt>
              <c:pt idx="6">
                <c:v>62</c:v>
              </c:pt>
              <c:pt idx="7">
                <c:v>67</c:v>
              </c:pt>
              <c:pt idx="8">
                <c:v>64</c:v>
              </c:pt>
              <c:pt idx="9">
                <c:v>61</c:v>
              </c:pt>
              <c:pt idx="10">
                <c:v>63</c:v>
              </c:pt>
              <c:pt idx="11">
                <c:v>83</c:v>
              </c:pt>
            </c:numLit>
          </c:val>
          <c:smooth val="0"/>
        </c:ser>
        <c:ser>
          <c:idx val="2"/>
          <c:order val="2"/>
          <c:spPr>
            <a:ln w="19050" cap="rnd">
              <a:solidFill>
                <a:srgbClr val="A6A6A6"/>
              </a:solidFill>
              <a:prstDash val="sysDash"/>
              <a:round/>
            </a:ln>
            <a:effectLst/>
          </c:spPr>
          <c:marker>
            <c:symbol val="circle"/>
            <c:size val="15"/>
            <c:spPr>
              <a:solidFill>
                <a:srgbClr val="006086"/>
              </a:solidFill>
              <a:ln w="19050">
                <a:solidFill>
                  <a:srgbClr val="006086"/>
                </a:solidFill>
                <a:prstDash val="soli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1" i="0" u="none" strike="noStrike" kern="1200" baseline="0">
                    <a:solidFill>
                      <a:srgbClr val="006086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AR"/>
              </a:p>
            </c:txPr>
            <c:dLblPos val="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Lit>
              <c:formatCode>General</c:formatCode>
              <c:ptCount val="12"/>
              <c:pt idx="0">
                <c:v>2005</c:v>
              </c:pt>
              <c:pt idx="1">
                <c:v>2006</c:v>
              </c:pt>
              <c:pt idx="2">
                <c:v>2007</c:v>
              </c:pt>
              <c:pt idx="3">
                <c:v>2008</c:v>
              </c:pt>
              <c:pt idx="4">
                <c:v>2009</c:v>
              </c:pt>
              <c:pt idx="5">
                <c:v>2010</c:v>
              </c:pt>
              <c:pt idx="6">
                <c:v>2011</c:v>
              </c:pt>
              <c:pt idx="7">
                <c:v>2012</c:v>
              </c:pt>
              <c:pt idx="8">
                <c:v>2013</c:v>
              </c:pt>
              <c:pt idx="9">
                <c:v>2014</c:v>
              </c:pt>
              <c:pt idx="10">
                <c:v>2015</c:v>
              </c:pt>
              <c:pt idx="11">
                <c:v>2016</c:v>
              </c:pt>
            </c:numLit>
          </c:cat>
          <c:val>
            <c:numLit>
              <c:formatCode>General</c:formatCode>
              <c:ptCount val="12"/>
              <c:pt idx="0">
                <c:v>66</c:v>
              </c:pt>
              <c:pt idx="1">
                <c:v>71</c:v>
              </c:pt>
              <c:pt idx="2">
                <c:v>57</c:v>
              </c:pt>
              <c:pt idx="3">
                <c:v>48</c:v>
              </c:pt>
              <c:pt idx="4">
                <c:v>52</c:v>
              </c:pt>
              <c:pt idx="5">
                <c:v>55</c:v>
              </c:pt>
              <c:pt idx="6">
                <c:v>51</c:v>
              </c:pt>
              <c:pt idx="7">
                <c:v>62</c:v>
              </c:pt>
              <c:pt idx="8">
                <c:v>57</c:v>
              </c:pt>
              <c:pt idx="9">
                <c:v>51</c:v>
              </c:pt>
              <c:pt idx="10">
                <c:v>57</c:v>
              </c:pt>
              <c:pt idx="11">
                <c:v>84</c:v>
              </c:pt>
            </c:numLit>
          </c:val>
          <c:smooth val="0"/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-1288494576"/>
        <c:axId val="-1288493488"/>
      </c:lineChart>
      <c:catAx>
        <c:axId val="-12884945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  <a:extLst>
            <a:ext uri="{91240B29-F687-4F45-9708-019B960494DF}">
              <a14:hiddenLine xmlns:a14="http://schemas.microsoft.com/office/drawing/2010/main" w="9525" cap="flat" cmpd="sng" algn="ctr">
                <a:solidFill>
                  <a:sysClr val="windowText" lastClr="000000">
                    <a:lumMod val="15000"/>
                    <a:lumOff val="85000"/>
                  </a:sysClr>
                </a:solidFill>
                <a:round/>
              </a14:hiddenLine>
            </a:ext>
          </a:extLst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AR"/>
          </a:p>
        </c:txPr>
        <c:crossAx val="-1288493488"/>
        <c:crosses val="autoZero"/>
        <c:auto val="1"/>
        <c:lblAlgn val="ctr"/>
        <c:lblOffset val="100"/>
        <c:noMultiLvlLbl val="0"/>
      </c:catAx>
      <c:valAx>
        <c:axId val="-1288493488"/>
        <c:scaling>
          <c:orientation val="minMax"/>
          <c:min val="47"/>
        </c:scaling>
        <c:delete val="1"/>
        <c:axPos val="l"/>
        <c:numFmt formatCode="General" sourceLinked="1"/>
        <c:majorTickMark val="none"/>
        <c:minorTickMark val="none"/>
        <c:tickLblPos val="nextTo"/>
        <c:crossAx val="-12884945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1.6923076923076923E-2"/>
          <c:y val="2.7742749054224466E-2"/>
          <c:w val="0.96615384615384614"/>
          <c:h val="0.56399495586380832"/>
        </c:manualLayout>
      </c:layout>
      <c:barChart>
        <c:barDir val="col"/>
        <c:grouping val="clustered"/>
        <c:varyColors val="0"/>
        <c:ser>
          <c:idx val="0"/>
          <c:order val="0"/>
          <c:tx>
            <c:v>2016</c:v>
          </c:tx>
          <c:spPr>
            <a:solidFill>
              <a:srgbClr val="86868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200" b="0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A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Indicadores!$O$78:$O$82</c:f>
              <c:numCache>
                <c:formatCode>0</c:formatCode>
                <c:ptCount val="5"/>
                <c:pt idx="0">
                  <c:v>94.88</c:v>
                </c:pt>
                <c:pt idx="1">
                  <c:v>94.96</c:v>
                </c:pt>
                <c:pt idx="2">
                  <c:v>92.86</c:v>
                </c:pt>
                <c:pt idx="3">
                  <c:v>95.95</c:v>
                </c:pt>
                <c:pt idx="4">
                  <c:v>96.91</c:v>
                </c:pt>
              </c:numCache>
            </c:numRef>
          </c:val>
        </c:ser>
        <c:ser>
          <c:idx val="1"/>
          <c:order val="1"/>
          <c:tx>
            <c:v>2016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rgbClr val="FDB533"/>
              </a:solidFill>
              <a:ln>
                <a:noFill/>
              </a:ln>
              <a:effectLst/>
            </c:spPr>
          </c:dPt>
          <c:dPt>
            <c:idx val="1"/>
            <c:invertIfNegative val="0"/>
            <c:bubble3D val="0"/>
            <c:spPr>
              <a:solidFill>
                <a:srgbClr val="AA272F"/>
              </a:solidFill>
              <a:ln>
                <a:noFill/>
              </a:ln>
              <a:effectLst/>
            </c:spPr>
          </c:dPt>
          <c:dPt>
            <c:idx val="2"/>
            <c:invertIfNegative val="0"/>
            <c:bubble3D val="0"/>
            <c:spPr>
              <a:solidFill>
                <a:srgbClr val="005172"/>
              </a:solidFill>
              <a:ln>
                <a:noFill/>
              </a:ln>
              <a:effectLst/>
            </c:spPr>
          </c:dPt>
          <c:dPt>
            <c:idx val="3"/>
            <c:invertIfNegative val="0"/>
            <c:bubble3D val="0"/>
            <c:spPr>
              <a:solidFill>
                <a:srgbClr val="658D1B"/>
              </a:solidFill>
              <a:ln>
                <a:noFill/>
              </a:ln>
              <a:effectLst/>
            </c:spPr>
          </c:dPt>
          <c:dPt>
            <c:idx val="4"/>
            <c:invertIfNegative val="0"/>
            <c:bubble3D val="0"/>
            <c:spPr>
              <a:solidFill>
                <a:srgbClr val="612141"/>
              </a:solidFill>
              <a:ln>
                <a:noFill/>
              </a:ln>
              <a:effectLst/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200" b="0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A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Indicadores!$N$78:$N$82</c:f>
              <c:numCache>
                <c:formatCode>0</c:formatCode>
                <c:ptCount val="5"/>
                <c:pt idx="0">
                  <c:v>85.93</c:v>
                </c:pt>
                <c:pt idx="1">
                  <c:v>81.56</c:v>
                </c:pt>
                <c:pt idx="2">
                  <c:v>77.78</c:v>
                </c:pt>
                <c:pt idx="3">
                  <c:v>83.3</c:v>
                </c:pt>
                <c:pt idx="4">
                  <c:v>86.19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8"/>
        <c:overlap val="-25"/>
        <c:axId val="-1288491312"/>
        <c:axId val="-1288497840"/>
      </c:barChart>
      <c:lineChart>
        <c:grouping val="standard"/>
        <c:varyColors val="0"/>
        <c:ser>
          <c:idx val="2"/>
          <c:order val="2"/>
          <c:tx>
            <c:v>BMK Mejores Argentina 2016</c:v>
          </c:tx>
          <c:spPr>
            <a:ln w="38100" cap="rnd" cmpd="sng" algn="ctr">
              <a:solidFill>
                <a:srgbClr val="C00000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16"/>
            <c:spPr>
              <a:solidFill>
                <a:srgbClr val="F2F2F2"/>
              </a:solidFill>
              <a:ln w="38100" cap="rnd" cmpd="sng" algn="ctr">
                <a:solidFill>
                  <a:srgbClr val="C00000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dLbls>
            <c:dLbl>
              <c:idx val="0"/>
              <c:layout/>
              <c:dLblPos val="b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1"/>
              <c:layout/>
              <c:dLblPos val="b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2"/>
              <c:layout/>
              <c:dLblPos val="b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3"/>
              <c:layout/>
              <c:dLblPos val="b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4"/>
              <c:layout/>
              <c:dLblPos val="b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200" b="1" i="0" u="none" strike="noStrike" kern="1200" baseline="0">
                    <a:solidFill>
                      <a:srgbClr val="C00000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A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Indicadores!$P$78:$P$82</c:f>
              <c:numCache>
                <c:formatCode>0</c:formatCode>
                <c:ptCount val="5"/>
                <c:pt idx="0">
                  <c:v>78.73</c:v>
                </c:pt>
                <c:pt idx="1">
                  <c:v>77.39</c:v>
                </c:pt>
                <c:pt idx="2">
                  <c:v>74.680000000000007</c:v>
                </c:pt>
                <c:pt idx="3">
                  <c:v>79.47</c:v>
                </c:pt>
                <c:pt idx="4">
                  <c:v>83.49</c:v>
                </c:pt>
              </c:numCache>
            </c:numRef>
          </c:val>
          <c:smooth val="0"/>
        </c:ser>
        <c:ser>
          <c:idx val="3"/>
          <c:order val="3"/>
          <c:tx>
            <c:v>BMK Personalizado 2016 MARS</c:v>
          </c:tx>
          <c:spPr>
            <a:ln w="38100" cap="rnd">
              <a:solidFill>
                <a:srgbClr val="292B30"/>
              </a:solidFill>
              <a:prstDash val="sysDash"/>
              <a:round/>
            </a:ln>
            <a:effectLst/>
          </c:spPr>
          <c:marker>
            <c:symbol val="circle"/>
            <c:size val="16"/>
            <c:spPr>
              <a:solidFill>
                <a:srgbClr val="F2F2F2"/>
              </a:solidFill>
              <a:ln w="38100">
                <a:solidFill>
                  <a:srgbClr val="292B30"/>
                </a:solidFill>
                <a:prstDash val="solid"/>
              </a:ln>
              <a:effectLst/>
            </c:spPr>
          </c:marker>
          <c:dLbls>
            <c:dLbl>
              <c:idx val="0"/>
              <c:layout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1"/>
              <c:layout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2"/>
              <c:layout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3"/>
              <c:layout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4"/>
              <c:layout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200" b="1" i="0" u="none" strike="noStrike" kern="1200" baseline="0">
                    <a:solidFill>
                      <a:srgbClr val="292B30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AR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Indicadores!$Q$78:$Q$82</c:f>
              <c:numCache>
                <c:formatCode>0</c:formatCode>
                <c:ptCount val="5"/>
                <c:pt idx="0">
                  <c:v>88.43</c:v>
                </c:pt>
                <c:pt idx="1">
                  <c:v>87.95</c:v>
                </c:pt>
                <c:pt idx="2">
                  <c:v>84.65</c:v>
                </c:pt>
                <c:pt idx="3">
                  <c:v>90.98</c:v>
                </c:pt>
                <c:pt idx="4">
                  <c:v>92.72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1288491312"/>
        <c:axId val="-1288497840"/>
      </c:lineChart>
      <c:catAx>
        <c:axId val="-1288491312"/>
        <c:scaling>
          <c:orientation val="minMax"/>
        </c:scaling>
        <c:delete val="1"/>
        <c:axPos val="b"/>
        <c:majorTickMark val="none"/>
        <c:minorTickMark val="none"/>
        <c:tickLblPos val="nextTo"/>
        <c:crossAx val="-1288497840"/>
        <c:crosses val="autoZero"/>
        <c:auto val="1"/>
        <c:lblAlgn val="ctr"/>
        <c:lblOffset val="100"/>
        <c:noMultiLvlLbl val="0"/>
      </c:catAx>
      <c:valAx>
        <c:axId val="-1288497840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-128849131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AR"/>
        </a:p>
      </c:txPr>
    </c:legend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spPr>
            <a:ln w="12700" cap="rnd">
              <a:solidFill>
                <a:srgbClr val="A6A6A6"/>
              </a:solidFill>
              <a:prstDash val="sysDash"/>
              <a:round/>
            </a:ln>
            <a:effectLst/>
          </c:spPr>
          <c:marker>
            <c:symbol val="circle"/>
            <c:size val="18"/>
            <c:spPr>
              <a:solidFill>
                <a:srgbClr val="FFC000"/>
              </a:solidFill>
              <a:ln w="12700">
                <a:solidFill>
                  <a:srgbClr val="FFC000"/>
                </a:solidFill>
                <a:prstDash val="soli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1" i="0" u="none" strike="noStrike" kern="1200" baseline="0">
                    <a:solidFill>
                      <a:srgbClr val="FFC000"/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Lit>
              <c:formatCode>General</c:formatCode>
              <c:ptCount val="12"/>
              <c:pt idx="0">
                <c:v>2005</c:v>
              </c:pt>
              <c:pt idx="1">
                <c:v>2006</c:v>
              </c:pt>
              <c:pt idx="2">
                <c:v>2007</c:v>
              </c:pt>
              <c:pt idx="3">
                <c:v>2008</c:v>
              </c:pt>
              <c:pt idx="4">
                <c:v>2009</c:v>
              </c:pt>
              <c:pt idx="5">
                <c:v>2010</c:v>
              </c:pt>
              <c:pt idx="6">
                <c:v>2011</c:v>
              </c:pt>
              <c:pt idx="7">
                <c:v>2012</c:v>
              </c:pt>
              <c:pt idx="8">
                <c:v>2013</c:v>
              </c:pt>
              <c:pt idx="9">
                <c:v>2014</c:v>
              </c:pt>
              <c:pt idx="10">
                <c:v>2015</c:v>
              </c:pt>
              <c:pt idx="11">
                <c:v>2016</c:v>
              </c:pt>
            </c:numLit>
          </c:cat>
          <c:val>
            <c:numLit>
              <c:formatCode>General</c:formatCode>
              <c:ptCount val="12"/>
              <c:pt idx="0">
                <c:v>70</c:v>
              </c:pt>
              <c:pt idx="1">
                <c:v>74</c:v>
              </c:pt>
              <c:pt idx="2">
                <c:v>67</c:v>
              </c:pt>
              <c:pt idx="3">
                <c:v>66</c:v>
              </c:pt>
              <c:pt idx="4">
                <c:v>66</c:v>
              </c:pt>
              <c:pt idx="5">
                <c:v>65</c:v>
              </c:pt>
              <c:pt idx="6">
                <c:v>62</c:v>
              </c:pt>
              <c:pt idx="7">
                <c:v>69</c:v>
              </c:pt>
              <c:pt idx="8">
                <c:v>66</c:v>
              </c:pt>
              <c:pt idx="9">
                <c:v>62</c:v>
              </c:pt>
              <c:pt idx="10">
                <c:v>67</c:v>
              </c:pt>
              <c:pt idx="11">
                <c:v>86</c:v>
              </c:pt>
            </c:numLit>
          </c:val>
          <c:smooth val="0"/>
        </c:ser>
        <c:ser>
          <c:idx val="1"/>
          <c:order val="1"/>
          <c:spPr>
            <a:ln w="12700" cap="rnd">
              <a:solidFill>
                <a:srgbClr val="A6A6A6"/>
              </a:solidFill>
              <a:prstDash val="sysDash"/>
              <a:round/>
            </a:ln>
            <a:effectLst/>
          </c:spPr>
          <c:marker>
            <c:symbol val="circle"/>
            <c:size val="18"/>
            <c:spPr>
              <a:solidFill>
                <a:srgbClr val="AA272F"/>
              </a:solidFill>
              <a:ln w="12700">
                <a:solidFill>
                  <a:srgbClr val="AA272F"/>
                </a:solidFill>
                <a:prstDash val="soli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1" i="0" u="none" strike="noStrike" kern="1200" baseline="0">
                    <a:solidFill>
                      <a:srgbClr val="AA272F"/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l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Lit>
              <c:formatCode>General</c:formatCode>
              <c:ptCount val="12"/>
              <c:pt idx="0">
                <c:v>2005</c:v>
              </c:pt>
              <c:pt idx="1">
                <c:v>2006</c:v>
              </c:pt>
              <c:pt idx="2">
                <c:v>2007</c:v>
              </c:pt>
              <c:pt idx="3">
                <c:v>2008</c:v>
              </c:pt>
              <c:pt idx="4">
                <c:v>2009</c:v>
              </c:pt>
              <c:pt idx="5">
                <c:v>2010</c:v>
              </c:pt>
              <c:pt idx="6">
                <c:v>2011</c:v>
              </c:pt>
              <c:pt idx="7">
                <c:v>2012</c:v>
              </c:pt>
              <c:pt idx="8">
                <c:v>2013</c:v>
              </c:pt>
              <c:pt idx="9">
                <c:v>2014</c:v>
              </c:pt>
              <c:pt idx="10">
                <c:v>2015</c:v>
              </c:pt>
              <c:pt idx="11">
                <c:v>2016</c:v>
              </c:pt>
            </c:numLit>
          </c:cat>
          <c:val>
            <c:numLit>
              <c:formatCode>General</c:formatCode>
              <c:ptCount val="12"/>
              <c:pt idx="0">
                <c:v>71</c:v>
              </c:pt>
              <c:pt idx="1">
                <c:v>74</c:v>
              </c:pt>
              <c:pt idx="2">
                <c:v>67</c:v>
              </c:pt>
              <c:pt idx="3">
                <c:v>64</c:v>
              </c:pt>
              <c:pt idx="4">
                <c:v>64</c:v>
              </c:pt>
              <c:pt idx="5">
                <c:v>63</c:v>
              </c:pt>
              <c:pt idx="6">
                <c:v>61</c:v>
              </c:pt>
              <c:pt idx="7">
                <c:v>67</c:v>
              </c:pt>
              <c:pt idx="8">
                <c:v>62</c:v>
              </c:pt>
              <c:pt idx="9">
                <c:v>60</c:v>
              </c:pt>
              <c:pt idx="10">
                <c:v>61</c:v>
              </c:pt>
              <c:pt idx="11">
                <c:v>82</c:v>
              </c:pt>
            </c:numLit>
          </c:val>
          <c:smooth val="0"/>
        </c:ser>
        <c:ser>
          <c:idx val="2"/>
          <c:order val="2"/>
          <c:spPr>
            <a:ln w="12700" cap="rnd">
              <a:solidFill>
                <a:srgbClr val="A6A6A6"/>
              </a:solidFill>
              <a:prstDash val="sysDash"/>
              <a:round/>
            </a:ln>
            <a:effectLst/>
          </c:spPr>
          <c:marker>
            <c:symbol val="circle"/>
            <c:size val="18"/>
            <c:spPr>
              <a:solidFill>
                <a:srgbClr val="005172"/>
              </a:solidFill>
              <a:ln w="12700">
                <a:solidFill>
                  <a:srgbClr val="005172"/>
                </a:solidFill>
                <a:prstDash val="soli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1" i="0" u="none" strike="noStrike" kern="1200" baseline="0">
                    <a:solidFill>
                      <a:srgbClr val="005172"/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Lit>
              <c:formatCode>General</c:formatCode>
              <c:ptCount val="12"/>
              <c:pt idx="0">
                <c:v>2005</c:v>
              </c:pt>
              <c:pt idx="1">
                <c:v>2006</c:v>
              </c:pt>
              <c:pt idx="2">
                <c:v>2007</c:v>
              </c:pt>
              <c:pt idx="3">
                <c:v>2008</c:v>
              </c:pt>
              <c:pt idx="4">
                <c:v>2009</c:v>
              </c:pt>
              <c:pt idx="5">
                <c:v>2010</c:v>
              </c:pt>
              <c:pt idx="6">
                <c:v>2011</c:v>
              </c:pt>
              <c:pt idx="7">
                <c:v>2012</c:v>
              </c:pt>
              <c:pt idx="8">
                <c:v>2013</c:v>
              </c:pt>
              <c:pt idx="9">
                <c:v>2014</c:v>
              </c:pt>
              <c:pt idx="10">
                <c:v>2015</c:v>
              </c:pt>
              <c:pt idx="11">
                <c:v>2016</c:v>
              </c:pt>
            </c:numLit>
          </c:cat>
          <c:val>
            <c:numLit>
              <c:formatCode>General</c:formatCode>
              <c:ptCount val="12"/>
              <c:pt idx="0">
                <c:v>66</c:v>
              </c:pt>
              <c:pt idx="1">
                <c:v>70</c:v>
              </c:pt>
              <c:pt idx="2">
                <c:v>64</c:v>
              </c:pt>
              <c:pt idx="3">
                <c:v>61</c:v>
              </c:pt>
              <c:pt idx="4">
                <c:v>61</c:v>
              </c:pt>
              <c:pt idx="5">
                <c:v>61</c:v>
              </c:pt>
              <c:pt idx="6">
                <c:v>60</c:v>
              </c:pt>
              <c:pt idx="7">
                <c:v>66</c:v>
              </c:pt>
              <c:pt idx="8">
                <c:v>63</c:v>
              </c:pt>
              <c:pt idx="9">
                <c:v>58</c:v>
              </c:pt>
              <c:pt idx="10">
                <c:v>59</c:v>
              </c:pt>
              <c:pt idx="11">
                <c:v>78</c:v>
              </c:pt>
            </c:numLit>
          </c:val>
          <c:smooth val="0"/>
        </c:ser>
        <c:ser>
          <c:idx val="3"/>
          <c:order val="3"/>
          <c:spPr>
            <a:ln w="12700" cap="rnd">
              <a:solidFill>
                <a:srgbClr val="A6A6A6"/>
              </a:solidFill>
              <a:prstDash val="sysDash"/>
              <a:round/>
            </a:ln>
            <a:effectLst/>
          </c:spPr>
          <c:marker>
            <c:symbol val="circle"/>
            <c:size val="18"/>
            <c:spPr>
              <a:solidFill>
                <a:srgbClr val="73A11F"/>
              </a:solidFill>
              <a:ln w="12700">
                <a:solidFill>
                  <a:srgbClr val="73A11F"/>
                </a:solidFill>
                <a:prstDash val="soli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1" i="0" u="none" strike="noStrike" kern="1200" baseline="0">
                    <a:solidFill>
                      <a:srgbClr val="73A11F"/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Lit>
              <c:formatCode>General</c:formatCode>
              <c:ptCount val="12"/>
              <c:pt idx="0">
                <c:v>2005</c:v>
              </c:pt>
              <c:pt idx="1">
                <c:v>2006</c:v>
              </c:pt>
              <c:pt idx="2">
                <c:v>2007</c:v>
              </c:pt>
              <c:pt idx="3">
                <c:v>2008</c:v>
              </c:pt>
              <c:pt idx="4">
                <c:v>2009</c:v>
              </c:pt>
              <c:pt idx="5">
                <c:v>2010</c:v>
              </c:pt>
              <c:pt idx="6">
                <c:v>2011</c:v>
              </c:pt>
              <c:pt idx="7">
                <c:v>2012</c:v>
              </c:pt>
              <c:pt idx="8">
                <c:v>2013</c:v>
              </c:pt>
              <c:pt idx="9">
                <c:v>2014</c:v>
              </c:pt>
              <c:pt idx="10">
                <c:v>2015</c:v>
              </c:pt>
              <c:pt idx="11">
                <c:v>2016</c:v>
              </c:pt>
            </c:numLit>
          </c:cat>
          <c:val>
            <c:numLit>
              <c:formatCode>General</c:formatCode>
              <c:ptCount val="12"/>
              <c:pt idx="0">
                <c:v>67</c:v>
              </c:pt>
              <c:pt idx="1">
                <c:v>71</c:v>
              </c:pt>
              <c:pt idx="2">
                <c:v>61</c:v>
              </c:pt>
              <c:pt idx="3">
                <c:v>59</c:v>
              </c:pt>
              <c:pt idx="4">
                <c:v>58</c:v>
              </c:pt>
              <c:pt idx="5">
                <c:v>61</c:v>
              </c:pt>
              <c:pt idx="6">
                <c:v>62</c:v>
              </c:pt>
              <c:pt idx="7">
                <c:v>68</c:v>
              </c:pt>
              <c:pt idx="8">
                <c:v>66</c:v>
              </c:pt>
              <c:pt idx="9">
                <c:v>64</c:v>
              </c:pt>
              <c:pt idx="10">
                <c:v>65</c:v>
              </c:pt>
              <c:pt idx="11">
                <c:v>83</c:v>
              </c:pt>
            </c:numLit>
          </c:val>
          <c:smooth val="0"/>
        </c:ser>
        <c:ser>
          <c:idx val="4"/>
          <c:order val="4"/>
          <c:spPr>
            <a:ln w="12700" cap="rnd">
              <a:solidFill>
                <a:srgbClr val="A6A6A6"/>
              </a:solidFill>
              <a:prstDash val="sysDash"/>
              <a:round/>
            </a:ln>
            <a:effectLst/>
          </c:spPr>
          <c:marker>
            <c:symbol val="circle"/>
            <c:size val="18"/>
            <c:spPr>
              <a:solidFill>
                <a:srgbClr val="612141"/>
              </a:solidFill>
              <a:ln w="12700">
                <a:solidFill>
                  <a:srgbClr val="612141"/>
                </a:solidFill>
                <a:prstDash val="soli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1" i="0" u="none" strike="noStrike" kern="1200" baseline="0">
                    <a:solidFill>
                      <a:srgbClr val="612141"/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l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Lit>
              <c:formatCode>General</c:formatCode>
              <c:ptCount val="12"/>
              <c:pt idx="0">
                <c:v>2005</c:v>
              </c:pt>
              <c:pt idx="1">
                <c:v>2006</c:v>
              </c:pt>
              <c:pt idx="2">
                <c:v>2007</c:v>
              </c:pt>
              <c:pt idx="3">
                <c:v>2008</c:v>
              </c:pt>
              <c:pt idx="4">
                <c:v>2009</c:v>
              </c:pt>
              <c:pt idx="5">
                <c:v>2010</c:v>
              </c:pt>
              <c:pt idx="6">
                <c:v>2011</c:v>
              </c:pt>
              <c:pt idx="7">
                <c:v>2012</c:v>
              </c:pt>
              <c:pt idx="8">
                <c:v>2013</c:v>
              </c:pt>
              <c:pt idx="9">
                <c:v>2014</c:v>
              </c:pt>
              <c:pt idx="10">
                <c:v>2015</c:v>
              </c:pt>
              <c:pt idx="11">
                <c:v>2016</c:v>
              </c:pt>
            </c:numLit>
          </c:cat>
          <c:val>
            <c:numLit>
              <c:formatCode>General</c:formatCode>
              <c:ptCount val="12"/>
              <c:pt idx="0">
                <c:v>69</c:v>
              </c:pt>
              <c:pt idx="1">
                <c:v>73</c:v>
              </c:pt>
              <c:pt idx="2">
                <c:v>65</c:v>
              </c:pt>
              <c:pt idx="3">
                <c:v>62</c:v>
              </c:pt>
              <c:pt idx="4">
                <c:v>62</c:v>
              </c:pt>
              <c:pt idx="5">
                <c:v>63</c:v>
              </c:pt>
              <c:pt idx="6">
                <c:v>66</c:v>
              </c:pt>
              <c:pt idx="7">
                <c:v>68</c:v>
              </c:pt>
              <c:pt idx="8">
                <c:v>65</c:v>
              </c:pt>
              <c:pt idx="9">
                <c:v>64</c:v>
              </c:pt>
              <c:pt idx="10">
                <c:v>62</c:v>
              </c:pt>
              <c:pt idx="11">
                <c:v>86</c:v>
              </c:pt>
            </c:numLit>
          </c:val>
          <c:smooth val="0"/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-1288498384"/>
        <c:axId val="-1288499472"/>
      </c:lineChart>
      <c:catAx>
        <c:axId val="-128849838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  <a:extLst>
            <a:ext uri="{91240B29-F687-4F45-9708-019B960494DF}">
              <a14:hiddenLine xmlns:a14="http://schemas.microsoft.com/office/drawing/2010/main" w="9525" cap="flat" cmpd="sng" algn="ctr">
                <a:solidFill>
                  <a:sysClr val="windowText" lastClr="000000">
                    <a:lumMod val="15000"/>
                    <a:lumOff val="85000"/>
                  </a:sysClr>
                </a:solidFill>
                <a:round/>
              </a14:hiddenLine>
            </a:ext>
          </a:extLst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AR"/>
          </a:p>
        </c:txPr>
        <c:crossAx val="-1288499472"/>
        <c:crosses val="autoZero"/>
        <c:auto val="1"/>
        <c:lblAlgn val="ctr"/>
        <c:lblOffset val="100"/>
        <c:noMultiLvlLbl val="0"/>
      </c:catAx>
      <c:valAx>
        <c:axId val="-1288499472"/>
        <c:scaling>
          <c:orientation val="minMax"/>
          <c:min val="57"/>
        </c:scaling>
        <c:delete val="1"/>
        <c:axPos val="l"/>
        <c:numFmt formatCode="General" sourceLinked="1"/>
        <c:majorTickMark val="none"/>
        <c:minorTickMark val="none"/>
        <c:tickLblPos val="nextTo"/>
        <c:crossAx val="-12884983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5.7894736842105263E-2"/>
          <c:y val="9.2307692307692313E-2"/>
          <c:w val="0.88421052631578945"/>
          <c:h val="0.76923076923076927"/>
        </c:manualLayout>
      </c:layout>
      <c:barChart>
        <c:barDir val="col"/>
        <c:grouping val="clustered"/>
        <c:varyColors val="0"/>
        <c:ser>
          <c:idx val="0"/>
          <c:order val="0"/>
          <c:tx>
            <c:v>2016</c:v>
          </c:tx>
          <c:spPr>
            <a:solidFill>
              <a:srgbClr val="86868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200" b="1" i="0" u="none" strike="noStrike" kern="1200" baseline="0">
                    <a:solidFill>
                      <a:srgbClr val="FFFFFF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A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Indicadores!$O$78</c:f>
              <c:numCache>
                <c:formatCode>0</c:formatCode>
                <c:ptCount val="1"/>
                <c:pt idx="0">
                  <c:v>94.88</c:v>
                </c:pt>
              </c:numCache>
            </c:numRef>
          </c:val>
        </c:ser>
        <c:ser>
          <c:idx val="1"/>
          <c:order val="1"/>
          <c:tx>
            <c:v>2016</c:v>
          </c:tx>
          <c:spPr>
            <a:solidFill>
              <a:srgbClr val="FCB533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200" b="1" i="0" u="none" strike="noStrike" kern="1200" baseline="0">
                    <a:solidFill>
                      <a:srgbClr val="FFFFFF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A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Indicadores!$N$78</c:f>
              <c:numCache>
                <c:formatCode>0</c:formatCode>
                <c:ptCount val="1"/>
                <c:pt idx="0">
                  <c:v>85.93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overlap val="-21"/>
        <c:axId val="-1288496752"/>
        <c:axId val="-1288489680"/>
      </c:barChart>
      <c:lineChart>
        <c:grouping val="standard"/>
        <c:varyColors val="0"/>
        <c:ser>
          <c:idx val="2"/>
          <c:order val="2"/>
          <c:tx>
            <c:v>BMK Mejores Argentina 2016</c:v>
          </c:tx>
          <c:spPr>
            <a:ln w="63500" cap="rnd" cmpd="sng" algn="ctr">
              <a:solidFill>
                <a:srgbClr val="C00000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20"/>
            <c:spPr>
              <a:solidFill>
                <a:srgbClr val="F2F2F2"/>
              </a:solidFill>
              <a:ln w="63500" cap="rnd" cmpd="sng" algn="ctr">
                <a:solidFill>
                  <a:srgbClr val="C00000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dLbls>
            <c:dLbl>
              <c:idx val="0"/>
              <c:layout/>
              <c:dLblPos val="b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200" b="1" i="0" u="none" strike="noStrike" kern="1200" baseline="0">
                    <a:solidFill>
                      <a:srgbClr val="C00000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A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Indicadores!$P$78</c:f>
              <c:numCache>
                <c:formatCode>0</c:formatCode>
                <c:ptCount val="1"/>
                <c:pt idx="0">
                  <c:v>78.73</c:v>
                </c:pt>
              </c:numCache>
            </c:numRef>
          </c:val>
          <c:smooth val="0"/>
        </c:ser>
        <c:ser>
          <c:idx val="3"/>
          <c:order val="3"/>
          <c:tx>
            <c:v>BMK Personalizado 2016 MARS</c:v>
          </c:tx>
          <c:spPr>
            <a:ln w="25400" cap="rnd">
              <a:solidFill>
                <a:srgbClr val="292B30"/>
              </a:solidFill>
              <a:prstDash val="sysDash"/>
              <a:round/>
            </a:ln>
            <a:effectLst/>
          </c:spPr>
          <c:marker>
            <c:symbol val="circle"/>
            <c:size val="20"/>
            <c:spPr>
              <a:solidFill>
                <a:srgbClr val="F2F2F2"/>
              </a:solidFill>
              <a:ln w="63500">
                <a:solidFill>
                  <a:srgbClr val="292B30"/>
                </a:solidFill>
                <a:prstDash val="solid"/>
              </a:ln>
              <a:effectLst/>
            </c:spPr>
          </c:marker>
          <c:dLbls>
            <c:dLbl>
              <c:idx val="0"/>
              <c:layout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200" b="1" i="0" u="none" strike="noStrike" kern="1200" baseline="0">
                    <a:solidFill>
                      <a:srgbClr val="292B30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AR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Indicadores!$Q$78</c:f>
              <c:numCache>
                <c:formatCode>0</c:formatCode>
                <c:ptCount val="1"/>
                <c:pt idx="0">
                  <c:v>88.43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1288496752"/>
        <c:axId val="-1288489680"/>
      </c:lineChart>
      <c:catAx>
        <c:axId val="-1288496752"/>
        <c:scaling>
          <c:orientation val="minMax"/>
        </c:scaling>
        <c:delete val="1"/>
        <c:axPos val="b"/>
        <c:majorTickMark val="none"/>
        <c:minorTickMark val="none"/>
        <c:tickLblPos val="nextTo"/>
        <c:crossAx val="-1288489680"/>
        <c:crosses val="autoZero"/>
        <c:auto val="1"/>
        <c:lblAlgn val="ctr"/>
        <c:lblOffset val="100"/>
        <c:noMultiLvlLbl val="0"/>
      </c:catAx>
      <c:valAx>
        <c:axId val="-1288489680"/>
        <c:scaling>
          <c:orientation val="minMax"/>
          <c:max val="100"/>
          <c:min val="0"/>
        </c:scaling>
        <c:delete val="1"/>
        <c:axPos val="l"/>
        <c:numFmt formatCode="0" sourceLinked="1"/>
        <c:majorTickMark val="none"/>
        <c:minorTickMark val="none"/>
        <c:tickLblPos val="nextTo"/>
        <c:crossAx val="-12884967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  <c:userShapes r:id="rId3"/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0.37111111111111111"/>
          <c:y val="7.7419354838709681E-2"/>
          <c:w val="0.61111111111111116"/>
          <c:h val="0.64516129032258063"/>
        </c:manualLayout>
      </c:layout>
      <c:barChart>
        <c:barDir val="col"/>
        <c:grouping val="clustered"/>
        <c:varyColors val="0"/>
        <c:ser>
          <c:idx val="0"/>
          <c:order val="0"/>
          <c:tx>
            <c:v>2016</c:v>
          </c:tx>
          <c:spPr>
            <a:solidFill>
              <a:srgbClr val="86868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200" b="1" i="0" u="none" strike="noStrike" kern="1200" baseline="0">
                    <a:solidFill>
                      <a:srgbClr val="FFFFFF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A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(Indicadores!$D$2,Indicadores!$D$6,Indicadores!$D$12)</c:f>
              <c:numCache>
                <c:formatCode>0</c:formatCode>
                <c:ptCount val="3"/>
                <c:pt idx="0">
                  <c:v>95.23</c:v>
                </c:pt>
                <c:pt idx="1">
                  <c:v>94.89</c:v>
                </c:pt>
                <c:pt idx="2">
                  <c:v>94.52</c:v>
                </c:pt>
              </c:numCache>
            </c:numRef>
          </c:val>
        </c:ser>
        <c:ser>
          <c:idx val="1"/>
          <c:order val="1"/>
          <c:tx>
            <c:v>2016</c:v>
          </c:tx>
          <c:spPr>
            <a:solidFill>
              <a:srgbClr val="FCB533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200" b="1" i="0" u="none" strike="noStrike" kern="1200" baseline="0">
                    <a:solidFill>
                      <a:srgbClr val="FFFFFF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A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(Indicadores!$C$2,Indicadores!$C$6,Indicadores!$C$12)</c:f>
              <c:numCache>
                <c:formatCode>0</c:formatCode>
                <c:ptCount val="3"/>
                <c:pt idx="0">
                  <c:v>86.53</c:v>
                </c:pt>
                <c:pt idx="1">
                  <c:v>85.75</c:v>
                </c:pt>
                <c:pt idx="2">
                  <c:v>85.61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8"/>
        <c:overlap val="-25"/>
        <c:axId val="-1288484784"/>
        <c:axId val="-1288495664"/>
      </c:barChart>
      <c:lineChart>
        <c:grouping val="standard"/>
        <c:varyColors val="0"/>
        <c:ser>
          <c:idx val="2"/>
          <c:order val="2"/>
          <c:tx>
            <c:v>BMK Mejores Argentina 2016</c:v>
          </c:tx>
          <c:spPr>
            <a:ln w="63500" cap="rnd" cmpd="sng" algn="ctr">
              <a:solidFill>
                <a:srgbClr val="C00000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20"/>
            <c:spPr>
              <a:solidFill>
                <a:srgbClr val="F2F2F2"/>
              </a:solidFill>
              <a:ln w="63500" cap="rnd" cmpd="sng" algn="ctr">
                <a:solidFill>
                  <a:srgbClr val="C00000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dLbls>
            <c:dLbl>
              <c:idx val="0"/>
              <c:layout/>
              <c:dLblPos val="b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1"/>
              <c:layout/>
              <c:dLblPos val="b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2"/>
              <c:layout/>
              <c:dLblPos val="b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200" b="1" i="0" u="none" strike="noStrike" kern="1200" baseline="0">
                    <a:solidFill>
                      <a:srgbClr val="C00000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A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(Indicadores!$E$2,Indicadores!$E$6,Indicadores!$E$12)</c:f>
              <c:numCache>
                <c:formatCode>0</c:formatCode>
                <c:ptCount val="3"/>
                <c:pt idx="0">
                  <c:v>77.650000000000006</c:v>
                </c:pt>
                <c:pt idx="1">
                  <c:v>79.209999999999994</c:v>
                </c:pt>
                <c:pt idx="2">
                  <c:v>79.099999999999994</c:v>
                </c:pt>
              </c:numCache>
            </c:numRef>
          </c:val>
          <c:smooth val="0"/>
        </c:ser>
        <c:ser>
          <c:idx val="3"/>
          <c:order val="3"/>
          <c:tx>
            <c:v>BMK Personalizado 2016 MARS</c:v>
          </c:tx>
          <c:spPr>
            <a:ln w="25400" cap="rnd">
              <a:solidFill>
                <a:srgbClr val="292B30"/>
              </a:solidFill>
              <a:prstDash val="sysDash"/>
              <a:round/>
            </a:ln>
            <a:effectLst/>
          </c:spPr>
          <c:marker>
            <c:symbol val="circle"/>
            <c:size val="20"/>
            <c:spPr>
              <a:solidFill>
                <a:srgbClr val="F2F2F2"/>
              </a:solidFill>
              <a:ln w="63500">
                <a:solidFill>
                  <a:srgbClr val="292B30"/>
                </a:solidFill>
                <a:prstDash val="solid"/>
              </a:ln>
              <a:effectLst/>
            </c:spPr>
          </c:marker>
          <c:dLbls>
            <c:dLbl>
              <c:idx val="0"/>
              <c:layout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1"/>
              <c:layout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2"/>
              <c:layout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200" b="1" i="0" u="none" strike="noStrike" kern="1200" baseline="0">
                    <a:solidFill>
                      <a:srgbClr val="292B30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AR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(Indicadores!$F$2,Indicadores!$F$6,Indicadores!$F$12)</c:f>
              <c:numCache>
                <c:formatCode>0</c:formatCode>
                <c:ptCount val="3"/>
                <c:pt idx="0">
                  <c:v>87.04</c:v>
                </c:pt>
                <c:pt idx="1">
                  <c:v>89.57</c:v>
                </c:pt>
                <c:pt idx="2">
                  <c:v>88.12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1288484784"/>
        <c:axId val="-1288495664"/>
      </c:lineChart>
      <c:catAx>
        <c:axId val="-1288484784"/>
        <c:scaling>
          <c:orientation val="minMax"/>
        </c:scaling>
        <c:delete val="1"/>
        <c:axPos val="b"/>
        <c:majorTickMark val="none"/>
        <c:minorTickMark val="none"/>
        <c:tickLblPos val="nextTo"/>
        <c:crossAx val="-1288495664"/>
        <c:crosses val="autoZero"/>
        <c:auto val="1"/>
        <c:lblAlgn val="ctr"/>
        <c:lblOffset val="100"/>
        <c:noMultiLvlLbl val="0"/>
      </c:catAx>
      <c:valAx>
        <c:axId val="-1288495664"/>
        <c:scaling>
          <c:orientation val="minMax"/>
          <c:max val="100"/>
          <c:min val="0"/>
        </c:scaling>
        <c:delete val="1"/>
        <c:axPos val="l"/>
        <c:numFmt formatCode="0" sourceLinked="1"/>
        <c:majorTickMark val="none"/>
        <c:minorTickMark val="none"/>
        <c:tickLblPos val="nextTo"/>
        <c:crossAx val="-128848478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4.4444444444444444E-3"/>
          <c:y val="0.92620929641859284"/>
          <c:w val="0.67946964129483811"/>
          <c:h val="6.2180340360680729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s-AR"/>
        </a:p>
      </c:txPr>
    </c:legend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  <c:userShapes r:id="rId3"/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5.7894736842105263E-2"/>
          <c:y val="9.2307692307692313E-2"/>
          <c:w val="0.88421052631578945"/>
          <c:h val="0.76923076923076927"/>
        </c:manualLayout>
      </c:layout>
      <c:barChart>
        <c:barDir val="col"/>
        <c:grouping val="clustered"/>
        <c:varyColors val="0"/>
        <c:ser>
          <c:idx val="0"/>
          <c:order val="0"/>
          <c:tx>
            <c:v>2016</c:v>
          </c:tx>
          <c:spPr>
            <a:solidFill>
              <a:srgbClr val="86868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200" b="1" i="0" u="none" strike="noStrike" kern="1200" baseline="0">
                    <a:solidFill>
                      <a:srgbClr val="FFFFFF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A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Indicadores!$O$79</c:f>
              <c:numCache>
                <c:formatCode>0</c:formatCode>
                <c:ptCount val="1"/>
                <c:pt idx="0">
                  <c:v>94.96</c:v>
                </c:pt>
              </c:numCache>
            </c:numRef>
          </c:val>
        </c:ser>
        <c:ser>
          <c:idx val="1"/>
          <c:order val="1"/>
          <c:tx>
            <c:v>2016</c:v>
          </c:tx>
          <c:spPr>
            <a:solidFill>
              <a:srgbClr val="AA272F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200" b="1" i="0" u="none" strike="noStrike" kern="1200" baseline="0">
                    <a:solidFill>
                      <a:srgbClr val="FFFFFF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A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Indicadores!$N$79</c:f>
              <c:numCache>
                <c:formatCode>0</c:formatCode>
                <c:ptCount val="1"/>
                <c:pt idx="0">
                  <c:v>81.56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overlap val="-21"/>
        <c:axId val="-1261951728"/>
        <c:axId val="-1261949552"/>
      </c:barChart>
      <c:lineChart>
        <c:grouping val="standard"/>
        <c:varyColors val="0"/>
        <c:ser>
          <c:idx val="2"/>
          <c:order val="2"/>
          <c:tx>
            <c:v>BMK Mejores Argentina 2016</c:v>
          </c:tx>
          <c:spPr>
            <a:ln w="63500" cap="rnd" cmpd="sng" algn="ctr">
              <a:solidFill>
                <a:srgbClr val="C00000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20"/>
            <c:spPr>
              <a:solidFill>
                <a:srgbClr val="F2F2F2"/>
              </a:solidFill>
              <a:ln w="63500" cap="rnd" cmpd="sng" algn="ctr">
                <a:solidFill>
                  <a:srgbClr val="C00000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dLbls>
            <c:dLbl>
              <c:idx val="0"/>
              <c:layout/>
              <c:dLblPos val="b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200" b="1" i="0" u="none" strike="noStrike" kern="1200" baseline="0">
                    <a:solidFill>
                      <a:srgbClr val="C00000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A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Indicadores!$P$79</c:f>
              <c:numCache>
                <c:formatCode>0</c:formatCode>
                <c:ptCount val="1"/>
                <c:pt idx="0">
                  <c:v>77.39</c:v>
                </c:pt>
              </c:numCache>
            </c:numRef>
          </c:val>
          <c:smooth val="0"/>
        </c:ser>
        <c:ser>
          <c:idx val="3"/>
          <c:order val="3"/>
          <c:tx>
            <c:v>BMK Personalizado 2016 MARS</c:v>
          </c:tx>
          <c:spPr>
            <a:ln w="25400" cap="rnd">
              <a:solidFill>
                <a:srgbClr val="292B30"/>
              </a:solidFill>
              <a:prstDash val="sysDash"/>
              <a:round/>
            </a:ln>
            <a:effectLst/>
          </c:spPr>
          <c:marker>
            <c:symbol val="circle"/>
            <c:size val="20"/>
            <c:spPr>
              <a:solidFill>
                <a:srgbClr val="F2F2F2"/>
              </a:solidFill>
              <a:ln w="63500">
                <a:solidFill>
                  <a:srgbClr val="292B30"/>
                </a:solidFill>
                <a:prstDash val="solid"/>
              </a:ln>
              <a:effectLst/>
            </c:spPr>
          </c:marker>
          <c:dLbls>
            <c:dLbl>
              <c:idx val="0"/>
              <c:layout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200" b="1" i="0" u="none" strike="noStrike" kern="1200" baseline="0">
                    <a:solidFill>
                      <a:srgbClr val="292B30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AR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Indicadores!$Q$79</c:f>
              <c:numCache>
                <c:formatCode>0</c:formatCode>
                <c:ptCount val="1"/>
                <c:pt idx="0">
                  <c:v>87.95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1261951728"/>
        <c:axId val="-1261949552"/>
      </c:lineChart>
      <c:catAx>
        <c:axId val="-1261951728"/>
        <c:scaling>
          <c:orientation val="minMax"/>
        </c:scaling>
        <c:delete val="1"/>
        <c:axPos val="b"/>
        <c:majorTickMark val="none"/>
        <c:minorTickMark val="none"/>
        <c:tickLblPos val="nextTo"/>
        <c:crossAx val="-1261949552"/>
        <c:crosses val="autoZero"/>
        <c:auto val="1"/>
        <c:lblAlgn val="ctr"/>
        <c:lblOffset val="100"/>
        <c:noMultiLvlLbl val="0"/>
      </c:catAx>
      <c:valAx>
        <c:axId val="-1261949552"/>
        <c:scaling>
          <c:orientation val="minMax"/>
          <c:max val="100"/>
          <c:min val="0"/>
        </c:scaling>
        <c:delete val="1"/>
        <c:axPos val="l"/>
        <c:numFmt formatCode="0" sourceLinked="1"/>
        <c:majorTickMark val="none"/>
        <c:minorTickMark val="none"/>
        <c:tickLblPos val="nextTo"/>
        <c:crossAx val="-12619517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  <c:userShapes r:id="rId3"/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0.37111111111111111"/>
          <c:y val="7.7419354838709681E-2"/>
          <c:w val="0.61111111111111116"/>
          <c:h val="0.64516129032258063"/>
        </c:manualLayout>
      </c:layout>
      <c:barChart>
        <c:barDir val="col"/>
        <c:grouping val="clustered"/>
        <c:varyColors val="0"/>
        <c:ser>
          <c:idx val="0"/>
          <c:order val="0"/>
          <c:tx>
            <c:v>2016</c:v>
          </c:tx>
          <c:spPr>
            <a:solidFill>
              <a:srgbClr val="86868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200" b="1" i="0" u="none" strike="noStrike" kern="1200" baseline="0">
                    <a:solidFill>
                      <a:srgbClr val="FFFFFF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A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(Indicadores!$D$17,Indicadores!$D$21,Indicadores!$D$23)</c:f>
              <c:numCache>
                <c:formatCode>0</c:formatCode>
                <c:ptCount val="3"/>
                <c:pt idx="0">
                  <c:v>94.36</c:v>
                </c:pt>
                <c:pt idx="1">
                  <c:v>92.55</c:v>
                </c:pt>
                <c:pt idx="2">
                  <c:v>95.99</c:v>
                </c:pt>
              </c:numCache>
            </c:numRef>
          </c:val>
        </c:ser>
        <c:ser>
          <c:idx val="1"/>
          <c:order val="1"/>
          <c:tx>
            <c:v>2016</c:v>
          </c:tx>
          <c:spPr>
            <a:solidFill>
              <a:srgbClr val="AA272F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200" b="1" i="0" u="none" strike="noStrike" kern="1200" baseline="0">
                    <a:solidFill>
                      <a:srgbClr val="FFFFFF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A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(Indicadores!$C$17,Indicadores!$C$21,Indicadores!$C$23)</c:f>
              <c:numCache>
                <c:formatCode>0</c:formatCode>
                <c:ptCount val="3"/>
                <c:pt idx="0">
                  <c:v>82.03</c:v>
                </c:pt>
                <c:pt idx="1">
                  <c:v>81.34</c:v>
                </c:pt>
                <c:pt idx="2">
                  <c:v>81.349999999999994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8"/>
        <c:overlap val="-25"/>
        <c:axId val="-1261944656"/>
        <c:axId val="-1261940848"/>
      </c:barChart>
      <c:lineChart>
        <c:grouping val="standard"/>
        <c:varyColors val="0"/>
        <c:ser>
          <c:idx val="2"/>
          <c:order val="2"/>
          <c:tx>
            <c:v>BMK Mejores Argentina 2016</c:v>
          </c:tx>
          <c:spPr>
            <a:ln w="63500" cap="rnd" cmpd="sng" algn="ctr">
              <a:solidFill>
                <a:srgbClr val="C00000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20"/>
            <c:spPr>
              <a:solidFill>
                <a:srgbClr val="F2F2F2"/>
              </a:solidFill>
              <a:ln w="63500" cap="rnd" cmpd="sng" algn="ctr">
                <a:solidFill>
                  <a:srgbClr val="C00000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dLbls>
            <c:dLbl>
              <c:idx val="0"/>
              <c:layout/>
              <c:dLblPos val="b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1"/>
              <c:layout/>
              <c:dLblPos val="b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2"/>
              <c:layout/>
              <c:dLblPos val="b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200" b="1" i="0" u="none" strike="noStrike" kern="1200" baseline="0">
                    <a:solidFill>
                      <a:srgbClr val="C00000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A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(Indicadores!$E$17,Indicadores!$E$21,Indicadores!$E$23)</c:f>
              <c:numCache>
                <c:formatCode>0</c:formatCode>
                <c:ptCount val="3"/>
                <c:pt idx="0">
                  <c:v>76.66</c:v>
                </c:pt>
                <c:pt idx="1">
                  <c:v>73.13</c:v>
                </c:pt>
                <c:pt idx="2">
                  <c:v>79.02</c:v>
                </c:pt>
              </c:numCache>
            </c:numRef>
          </c:val>
          <c:smooth val="0"/>
        </c:ser>
        <c:ser>
          <c:idx val="3"/>
          <c:order val="3"/>
          <c:tx>
            <c:v>BMK Personalizado 2016 MARS</c:v>
          </c:tx>
          <c:spPr>
            <a:ln w="25400" cap="rnd">
              <a:solidFill>
                <a:srgbClr val="292B30"/>
              </a:solidFill>
              <a:prstDash val="sysDash"/>
              <a:round/>
            </a:ln>
            <a:effectLst/>
          </c:spPr>
          <c:marker>
            <c:symbol val="circle"/>
            <c:size val="20"/>
            <c:spPr>
              <a:solidFill>
                <a:srgbClr val="F2F2F2"/>
              </a:solidFill>
              <a:ln w="63500">
                <a:solidFill>
                  <a:srgbClr val="292B30"/>
                </a:solidFill>
                <a:prstDash val="solid"/>
              </a:ln>
              <a:effectLst/>
            </c:spPr>
          </c:marker>
          <c:dLbls>
            <c:dLbl>
              <c:idx val="0"/>
              <c:layout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1"/>
              <c:layout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2"/>
              <c:layout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200" b="1" i="0" u="none" strike="noStrike" kern="1200" baseline="0">
                    <a:solidFill>
                      <a:srgbClr val="292B30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AR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(Indicadores!$F$17,Indicadores!$F$21,Indicadores!$F$23)</c:f>
              <c:numCache>
                <c:formatCode>0</c:formatCode>
                <c:ptCount val="3"/>
                <c:pt idx="0">
                  <c:v>87</c:v>
                </c:pt>
                <c:pt idx="1">
                  <c:v>86.07</c:v>
                </c:pt>
                <c:pt idx="2">
                  <c:v>89.03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1261944656"/>
        <c:axId val="-1261940848"/>
      </c:lineChart>
      <c:catAx>
        <c:axId val="-1261944656"/>
        <c:scaling>
          <c:orientation val="minMax"/>
        </c:scaling>
        <c:delete val="1"/>
        <c:axPos val="b"/>
        <c:majorTickMark val="none"/>
        <c:minorTickMark val="none"/>
        <c:tickLblPos val="nextTo"/>
        <c:crossAx val="-1261940848"/>
        <c:crosses val="autoZero"/>
        <c:auto val="1"/>
        <c:lblAlgn val="ctr"/>
        <c:lblOffset val="100"/>
        <c:noMultiLvlLbl val="0"/>
      </c:catAx>
      <c:valAx>
        <c:axId val="-1261940848"/>
        <c:scaling>
          <c:orientation val="minMax"/>
          <c:max val="100"/>
          <c:min val="0"/>
        </c:scaling>
        <c:delete val="1"/>
        <c:axPos val="l"/>
        <c:numFmt formatCode="0" sourceLinked="1"/>
        <c:majorTickMark val="none"/>
        <c:minorTickMark val="none"/>
        <c:tickLblPos val="nextTo"/>
        <c:crossAx val="-126194465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4.4444444444444444E-3"/>
          <c:y val="0.92620929641859284"/>
          <c:w val="0.67946964129483811"/>
          <c:h val="6.2180340360680729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s-AR"/>
        </a:p>
      </c:txPr>
    </c:legend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  <c:userShapes r:id="rId3"/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5.7894736842105263E-2"/>
          <c:y val="9.2307692307692313E-2"/>
          <c:w val="0.88421052631578945"/>
          <c:h val="0.76923076923076927"/>
        </c:manualLayout>
      </c:layout>
      <c:barChart>
        <c:barDir val="col"/>
        <c:grouping val="clustered"/>
        <c:varyColors val="0"/>
        <c:ser>
          <c:idx val="0"/>
          <c:order val="0"/>
          <c:tx>
            <c:v>2016</c:v>
          </c:tx>
          <c:spPr>
            <a:solidFill>
              <a:srgbClr val="86868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200" b="1" i="0" u="none" strike="noStrike" kern="1200" baseline="0">
                    <a:solidFill>
                      <a:srgbClr val="FFFFFF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A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Indicadores!$O$80</c:f>
              <c:numCache>
                <c:formatCode>0</c:formatCode>
                <c:ptCount val="1"/>
                <c:pt idx="0">
                  <c:v>92.86</c:v>
                </c:pt>
              </c:numCache>
            </c:numRef>
          </c:val>
        </c:ser>
        <c:ser>
          <c:idx val="1"/>
          <c:order val="1"/>
          <c:tx>
            <c:v>2016</c:v>
          </c:tx>
          <c:spPr>
            <a:solidFill>
              <a:srgbClr val="00608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200" b="1" i="0" u="none" strike="noStrike" kern="1200" baseline="0">
                    <a:solidFill>
                      <a:srgbClr val="FFFFFF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A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Indicadores!$N$80</c:f>
              <c:numCache>
                <c:formatCode>0</c:formatCode>
                <c:ptCount val="1"/>
                <c:pt idx="0">
                  <c:v>77.78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overlap val="-21"/>
        <c:axId val="-1261954448"/>
        <c:axId val="-1261954992"/>
      </c:barChart>
      <c:lineChart>
        <c:grouping val="standard"/>
        <c:varyColors val="0"/>
        <c:ser>
          <c:idx val="2"/>
          <c:order val="2"/>
          <c:tx>
            <c:v>BMK Mejores Argentina 2016</c:v>
          </c:tx>
          <c:spPr>
            <a:ln w="63500" cap="rnd" cmpd="sng" algn="ctr">
              <a:solidFill>
                <a:srgbClr val="C00000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20"/>
            <c:spPr>
              <a:solidFill>
                <a:srgbClr val="F2F2F2"/>
              </a:solidFill>
              <a:ln w="63500" cap="rnd" cmpd="sng" algn="ctr">
                <a:solidFill>
                  <a:srgbClr val="C00000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dLbls>
            <c:dLbl>
              <c:idx val="0"/>
              <c:layout/>
              <c:dLblPos val="b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200" b="1" i="0" u="none" strike="noStrike" kern="1200" baseline="0">
                    <a:solidFill>
                      <a:srgbClr val="C00000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A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Indicadores!$P$80</c:f>
              <c:numCache>
                <c:formatCode>0</c:formatCode>
                <c:ptCount val="1"/>
                <c:pt idx="0">
                  <c:v>74.680000000000007</c:v>
                </c:pt>
              </c:numCache>
            </c:numRef>
          </c:val>
          <c:smooth val="0"/>
        </c:ser>
        <c:ser>
          <c:idx val="3"/>
          <c:order val="3"/>
          <c:tx>
            <c:v>BMK Personalizado 2016 MARS</c:v>
          </c:tx>
          <c:spPr>
            <a:ln w="25400" cap="rnd">
              <a:solidFill>
                <a:srgbClr val="292B30"/>
              </a:solidFill>
              <a:prstDash val="sysDash"/>
              <a:round/>
            </a:ln>
            <a:effectLst/>
          </c:spPr>
          <c:marker>
            <c:symbol val="circle"/>
            <c:size val="20"/>
            <c:spPr>
              <a:solidFill>
                <a:srgbClr val="F2F2F2"/>
              </a:solidFill>
              <a:ln w="63500">
                <a:solidFill>
                  <a:srgbClr val="292B30"/>
                </a:solidFill>
                <a:prstDash val="solid"/>
              </a:ln>
              <a:effectLst/>
            </c:spPr>
          </c:marker>
          <c:dLbls>
            <c:dLbl>
              <c:idx val="0"/>
              <c:layout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200" b="1" i="0" u="none" strike="noStrike" kern="1200" baseline="0">
                    <a:solidFill>
                      <a:srgbClr val="292B30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AR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Indicadores!$Q$80</c:f>
              <c:numCache>
                <c:formatCode>0</c:formatCode>
                <c:ptCount val="1"/>
                <c:pt idx="0">
                  <c:v>84.65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1261954448"/>
        <c:axId val="-1261954992"/>
      </c:lineChart>
      <c:catAx>
        <c:axId val="-1261954448"/>
        <c:scaling>
          <c:orientation val="minMax"/>
        </c:scaling>
        <c:delete val="1"/>
        <c:axPos val="b"/>
        <c:majorTickMark val="none"/>
        <c:minorTickMark val="none"/>
        <c:tickLblPos val="nextTo"/>
        <c:crossAx val="-1261954992"/>
        <c:crosses val="autoZero"/>
        <c:auto val="1"/>
        <c:lblAlgn val="ctr"/>
        <c:lblOffset val="100"/>
        <c:noMultiLvlLbl val="0"/>
      </c:catAx>
      <c:valAx>
        <c:axId val="-1261954992"/>
        <c:scaling>
          <c:orientation val="minMax"/>
          <c:max val="100"/>
          <c:min val="0"/>
        </c:scaling>
        <c:delete val="1"/>
        <c:axPos val="l"/>
        <c:numFmt formatCode="0" sourceLinked="1"/>
        <c:majorTickMark val="none"/>
        <c:minorTickMark val="none"/>
        <c:tickLblPos val="nextTo"/>
        <c:crossAx val="-126195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  <c:userShapes r:id="rId3"/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0.37111111111111111"/>
          <c:y val="7.7419354838709681E-2"/>
          <c:w val="0.61111111111111116"/>
          <c:h val="0.64516129032258063"/>
        </c:manualLayout>
      </c:layout>
      <c:barChart>
        <c:barDir val="col"/>
        <c:grouping val="clustered"/>
        <c:varyColors val="0"/>
        <c:ser>
          <c:idx val="0"/>
          <c:order val="0"/>
          <c:tx>
            <c:v>2016</c:v>
          </c:tx>
          <c:spPr>
            <a:solidFill>
              <a:srgbClr val="86868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200" b="1" i="0" u="none" strike="noStrike" kern="1200" baseline="0">
                    <a:solidFill>
                      <a:srgbClr val="FFFFFF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A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(Indicadores!$D$31,Indicadores!$D$35,Indicadores!$D$38)</c:f>
              <c:numCache>
                <c:formatCode>0</c:formatCode>
                <c:ptCount val="3"/>
                <c:pt idx="0">
                  <c:v>91.02</c:v>
                </c:pt>
                <c:pt idx="1">
                  <c:v>86.62</c:v>
                </c:pt>
                <c:pt idx="2">
                  <c:v>98.07</c:v>
                </c:pt>
              </c:numCache>
            </c:numRef>
          </c:val>
        </c:ser>
        <c:ser>
          <c:idx val="1"/>
          <c:order val="1"/>
          <c:tx>
            <c:v>2016</c:v>
          </c:tx>
          <c:spPr>
            <a:solidFill>
              <a:srgbClr val="00608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200" b="1" i="0" u="none" strike="noStrike" kern="1200" baseline="0">
                    <a:solidFill>
                      <a:srgbClr val="FFFFFF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A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(Indicadores!$C$31,Indicadores!$C$35,Indicadores!$C$38)</c:f>
              <c:numCache>
                <c:formatCode>0</c:formatCode>
                <c:ptCount val="3"/>
                <c:pt idx="0">
                  <c:v>68.510000000000005</c:v>
                </c:pt>
                <c:pt idx="1">
                  <c:v>67.98</c:v>
                </c:pt>
                <c:pt idx="2">
                  <c:v>91.08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8"/>
        <c:overlap val="-25"/>
        <c:axId val="-1261941936"/>
        <c:axId val="-1261947920"/>
      </c:barChart>
      <c:lineChart>
        <c:grouping val="standard"/>
        <c:varyColors val="0"/>
        <c:ser>
          <c:idx val="2"/>
          <c:order val="2"/>
          <c:tx>
            <c:v>BMK Mejores Argentina 2016</c:v>
          </c:tx>
          <c:spPr>
            <a:ln w="63500" cap="rnd" cmpd="sng" algn="ctr">
              <a:solidFill>
                <a:srgbClr val="C00000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20"/>
            <c:spPr>
              <a:solidFill>
                <a:srgbClr val="F2F2F2"/>
              </a:solidFill>
              <a:ln w="63500" cap="rnd" cmpd="sng" algn="ctr">
                <a:solidFill>
                  <a:srgbClr val="C00000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dLbls>
            <c:dLbl>
              <c:idx val="0"/>
              <c:layout/>
              <c:dLblPos val="b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1"/>
              <c:layout/>
              <c:dLblPos val="b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2"/>
              <c:layout/>
              <c:dLblPos val="b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200" b="1" i="0" u="none" strike="noStrike" kern="1200" baseline="0">
                    <a:solidFill>
                      <a:srgbClr val="C00000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A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(Indicadores!$E$31,Indicadores!$E$35,Indicadores!$E$38)</c:f>
              <c:numCache>
                <c:formatCode>0</c:formatCode>
                <c:ptCount val="3"/>
                <c:pt idx="0">
                  <c:v>63.26</c:v>
                </c:pt>
                <c:pt idx="1">
                  <c:v>64.150000000000006</c:v>
                </c:pt>
                <c:pt idx="2">
                  <c:v>90.14</c:v>
                </c:pt>
              </c:numCache>
            </c:numRef>
          </c:val>
          <c:smooth val="0"/>
        </c:ser>
        <c:ser>
          <c:idx val="3"/>
          <c:order val="3"/>
          <c:tx>
            <c:v>BMK Personalizado 2016 MARS</c:v>
          </c:tx>
          <c:spPr>
            <a:ln w="25400" cap="rnd">
              <a:solidFill>
                <a:srgbClr val="292B30"/>
              </a:solidFill>
              <a:prstDash val="sysDash"/>
              <a:round/>
            </a:ln>
            <a:effectLst/>
          </c:spPr>
          <c:marker>
            <c:symbol val="circle"/>
            <c:size val="20"/>
            <c:spPr>
              <a:solidFill>
                <a:srgbClr val="F2F2F2"/>
              </a:solidFill>
              <a:ln w="63500">
                <a:solidFill>
                  <a:srgbClr val="292B30"/>
                </a:solidFill>
                <a:prstDash val="solid"/>
              </a:ln>
              <a:effectLst/>
            </c:spPr>
          </c:marker>
          <c:dLbls>
            <c:dLbl>
              <c:idx val="0"/>
              <c:layout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1"/>
              <c:layout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2"/>
              <c:layout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200" b="1" i="0" u="none" strike="noStrike" kern="1200" baseline="0">
                    <a:solidFill>
                      <a:srgbClr val="292B30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AR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(Indicadores!$F$31,Indicadores!$F$35,Indicadores!$F$38)</c:f>
              <c:numCache>
                <c:formatCode>0</c:formatCode>
                <c:ptCount val="3"/>
                <c:pt idx="0">
                  <c:v>76.400000000000006</c:v>
                </c:pt>
                <c:pt idx="1">
                  <c:v>78.08</c:v>
                </c:pt>
                <c:pt idx="2">
                  <c:v>95.2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1261941936"/>
        <c:axId val="-1261947920"/>
      </c:lineChart>
      <c:catAx>
        <c:axId val="-1261941936"/>
        <c:scaling>
          <c:orientation val="minMax"/>
        </c:scaling>
        <c:delete val="1"/>
        <c:axPos val="b"/>
        <c:majorTickMark val="none"/>
        <c:minorTickMark val="none"/>
        <c:tickLblPos val="nextTo"/>
        <c:crossAx val="-1261947920"/>
        <c:crosses val="autoZero"/>
        <c:auto val="1"/>
        <c:lblAlgn val="ctr"/>
        <c:lblOffset val="100"/>
        <c:noMultiLvlLbl val="0"/>
      </c:catAx>
      <c:valAx>
        <c:axId val="-1261947920"/>
        <c:scaling>
          <c:orientation val="minMax"/>
          <c:max val="100"/>
          <c:min val="0"/>
        </c:scaling>
        <c:delete val="1"/>
        <c:axPos val="l"/>
        <c:numFmt formatCode="0" sourceLinked="1"/>
        <c:majorTickMark val="none"/>
        <c:minorTickMark val="none"/>
        <c:tickLblPos val="nextTo"/>
        <c:crossAx val="-126194193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4.4444444444444444E-3"/>
          <c:y val="0.92620929641859284"/>
          <c:w val="0.67946964129483811"/>
          <c:h val="6.2180340360680729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s-AR"/>
        </a:p>
      </c:txPr>
    </c:legend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  <c:userShapes r:id="rId3"/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5.7894736842105263E-2"/>
          <c:y val="9.2307692307692313E-2"/>
          <c:w val="0.88421052631578945"/>
          <c:h val="0.76923076923076927"/>
        </c:manualLayout>
      </c:layout>
      <c:barChart>
        <c:barDir val="col"/>
        <c:grouping val="clustered"/>
        <c:varyColors val="0"/>
        <c:ser>
          <c:idx val="0"/>
          <c:order val="0"/>
          <c:tx>
            <c:v>2016</c:v>
          </c:tx>
          <c:spPr>
            <a:solidFill>
              <a:srgbClr val="86868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200" b="1" i="0" u="none" strike="noStrike" kern="1200" baseline="0">
                    <a:solidFill>
                      <a:srgbClr val="FFFFFF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A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Indicadores!$O$81</c:f>
              <c:numCache>
                <c:formatCode>0</c:formatCode>
                <c:ptCount val="1"/>
                <c:pt idx="0">
                  <c:v>95.95</c:v>
                </c:pt>
              </c:numCache>
            </c:numRef>
          </c:val>
        </c:ser>
        <c:ser>
          <c:idx val="1"/>
          <c:order val="1"/>
          <c:tx>
            <c:v>2016</c:v>
          </c:tx>
          <c:spPr>
            <a:solidFill>
              <a:srgbClr val="658D1B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200" b="1" i="0" u="none" strike="noStrike" kern="1200" baseline="0">
                    <a:solidFill>
                      <a:srgbClr val="FFFFFF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A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Indicadores!$N$81</c:f>
              <c:numCache>
                <c:formatCode>0</c:formatCode>
                <c:ptCount val="1"/>
                <c:pt idx="0">
                  <c:v>83.3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overlap val="-21"/>
        <c:axId val="-1271256688"/>
        <c:axId val="-1271265392"/>
      </c:barChart>
      <c:lineChart>
        <c:grouping val="standard"/>
        <c:varyColors val="0"/>
        <c:ser>
          <c:idx val="2"/>
          <c:order val="2"/>
          <c:tx>
            <c:v>BMK Mejores Argentina 2016</c:v>
          </c:tx>
          <c:spPr>
            <a:ln w="63500" cap="rnd" cmpd="sng" algn="ctr">
              <a:solidFill>
                <a:srgbClr val="C00000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20"/>
            <c:spPr>
              <a:solidFill>
                <a:srgbClr val="F2F2F2"/>
              </a:solidFill>
              <a:ln w="63500" cap="rnd" cmpd="sng" algn="ctr">
                <a:solidFill>
                  <a:srgbClr val="C00000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dLbls>
            <c:dLbl>
              <c:idx val="0"/>
              <c:layout/>
              <c:dLblPos val="b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200" b="1" i="0" u="none" strike="noStrike" kern="1200" baseline="0">
                    <a:solidFill>
                      <a:srgbClr val="C00000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A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Indicadores!$P$81</c:f>
              <c:numCache>
                <c:formatCode>0</c:formatCode>
                <c:ptCount val="1"/>
                <c:pt idx="0">
                  <c:v>79.47</c:v>
                </c:pt>
              </c:numCache>
            </c:numRef>
          </c:val>
          <c:smooth val="0"/>
        </c:ser>
        <c:ser>
          <c:idx val="3"/>
          <c:order val="3"/>
          <c:tx>
            <c:v>BMK Personalizado 2016 MARS</c:v>
          </c:tx>
          <c:spPr>
            <a:ln w="25400" cap="rnd">
              <a:solidFill>
                <a:srgbClr val="292B30"/>
              </a:solidFill>
              <a:prstDash val="sysDash"/>
              <a:round/>
            </a:ln>
            <a:effectLst/>
          </c:spPr>
          <c:marker>
            <c:symbol val="circle"/>
            <c:size val="20"/>
            <c:spPr>
              <a:solidFill>
                <a:srgbClr val="F2F2F2"/>
              </a:solidFill>
              <a:ln w="63500">
                <a:solidFill>
                  <a:srgbClr val="292B30"/>
                </a:solidFill>
                <a:prstDash val="solid"/>
              </a:ln>
              <a:effectLst/>
            </c:spPr>
          </c:marker>
          <c:dLbls>
            <c:dLbl>
              <c:idx val="0"/>
              <c:layout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200" b="1" i="0" u="none" strike="noStrike" kern="1200" baseline="0">
                    <a:solidFill>
                      <a:srgbClr val="292B30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AR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Indicadores!$Q$81</c:f>
              <c:numCache>
                <c:formatCode>0</c:formatCode>
                <c:ptCount val="1"/>
                <c:pt idx="0">
                  <c:v>90.98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1271256688"/>
        <c:axId val="-1271265392"/>
      </c:lineChart>
      <c:catAx>
        <c:axId val="-1271256688"/>
        <c:scaling>
          <c:orientation val="minMax"/>
        </c:scaling>
        <c:delete val="1"/>
        <c:axPos val="b"/>
        <c:majorTickMark val="none"/>
        <c:minorTickMark val="none"/>
        <c:tickLblPos val="nextTo"/>
        <c:crossAx val="-1271265392"/>
        <c:crosses val="autoZero"/>
        <c:auto val="1"/>
        <c:lblAlgn val="ctr"/>
        <c:lblOffset val="100"/>
        <c:noMultiLvlLbl val="0"/>
      </c:catAx>
      <c:valAx>
        <c:axId val="-1271265392"/>
        <c:scaling>
          <c:orientation val="minMax"/>
          <c:max val="100"/>
          <c:min val="0"/>
        </c:scaling>
        <c:delete val="1"/>
        <c:axPos val="l"/>
        <c:numFmt formatCode="0" sourceLinked="1"/>
        <c:majorTickMark val="none"/>
        <c:minorTickMark val="none"/>
        <c:tickLblPos val="nextTo"/>
        <c:crossAx val="-12712566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  <c:userShapes r:id="rId3"/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0.37111111111111111"/>
          <c:y val="7.7419354838709681E-2"/>
          <c:w val="0.61111111111111116"/>
          <c:h val="0.64516129032258063"/>
        </c:manualLayout>
      </c:layout>
      <c:barChart>
        <c:barDir val="col"/>
        <c:grouping val="clustered"/>
        <c:varyColors val="0"/>
        <c:ser>
          <c:idx val="0"/>
          <c:order val="0"/>
          <c:tx>
            <c:v>2016</c:v>
          </c:tx>
          <c:spPr>
            <a:solidFill>
              <a:srgbClr val="86868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200" b="1" i="0" u="none" strike="noStrike" kern="1200" baseline="0">
                    <a:solidFill>
                      <a:srgbClr val="FFFFFF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A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(Indicadores!$D$44,Indicadores!$D$46,Indicadores!$D$48)</c:f>
              <c:numCache>
                <c:formatCode>0</c:formatCode>
                <c:ptCount val="3"/>
                <c:pt idx="0">
                  <c:v>93.98</c:v>
                </c:pt>
                <c:pt idx="1">
                  <c:v>95.51</c:v>
                </c:pt>
                <c:pt idx="2">
                  <c:v>97.16</c:v>
                </c:pt>
              </c:numCache>
            </c:numRef>
          </c:val>
        </c:ser>
        <c:ser>
          <c:idx val="1"/>
          <c:order val="1"/>
          <c:tx>
            <c:v>2016</c:v>
          </c:tx>
          <c:spPr>
            <a:solidFill>
              <a:srgbClr val="658D1B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200" b="1" i="0" u="none" strike="noStrike" kern="1200" baseline="0">
                    <a:solidFill>
                      <a:srgbClr val="FFFFFF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A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(Indicadores!$C$44,Indicadores!$C$46,Indicadores!$C$48)</c:f>
              <c:numCache>
                <c:formatCode>0</c:formatCode>
                <c:ptCount val="3"/>
                <c:pt idx="0">
                  <c:v>80.63</c:v>
                </c:pt>
                <c:pt idx="1">
                  <c:v>83.99</c:v>
                </c:pt>
                <c:pt idx="2">
                  <c:v>84.29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8"/>
        <c:overlap val="-25"/>
        <c:axId val="-1271255600"/>
        <c:axId val="-1271255056"/>
      </c:barChart>
      <c:lineChart>
        <c:grouping val="standard"/>
        <c:varyColors val="0"/>
        <c:ser>
          <c:idx val="2"/>
          <c:order val="2"/>
          <c:tx>
            <c:v>BMK Mejores Argentina 2016</c:v>
          </c:tx>
          <c:spPr>
            <a:ln w="63500" cap="rnd" cmpd="sng" algn="ctr">
              <a:solidFill>
                <a:srgbClr val="C00000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20"/>
            <c:spPr>
              <a:solidFill>
                <a:srgbClr val="F2F2F2"/>
              </a:solidFill>
              <a:ln w="63500" cap="rnd" cmpd="sng" algn="ctr">
                <a:solidFill>
                  <a:srgbClr val="C00000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dLbls>
            <c:dLbl>
              <c:idx val="0"/>
              <c:layout/>
              <c:dLblPos val="b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1"/>
              <c:layout/>
              <c:dLblPos val="b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2"/>
              <c:layout/>
              <c:dLblPos val="b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200" b="1" i="0" u="none" strike="noStrike" kern="1200" baseline="0">
                    <a:solidFill>
                      <a:srgbClr val="C00000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A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(Indicadores!$E$44,Indicadores!$E$46,Indicadores!$E$48)</c:f>
              <c:numCache>
                <c:formatCode>0</c:formatCode>
                <c:ptCount val="3"/>
                <c:pt idx="0">
                  <c:v>76.319999999999993</c:v>
                </c:pt>
                <c:pt idx="1">
                  <c:v>80.14</c:v>
                </c:pt>
                <c:pt idx="2">
                  <c:v>80.72</c:v>
                </c:pt>
              </c:numCache>
            </c:numRef>
          </c:val>
          <c:smooth val="0"/>
        </c:ser>
        <c:ser>
          <c:idx val="3"/>
          <c:order val="3"/>
          <c:tx>
            <c:v>BMK Personalizado 2016 MARS</c:v>
          </c:tx>
          <c:spPr>
            <a:ln w="25400" cap="rnd">
              <a:solidFill>
                <a:srgbClr val="292B30"/>
              </a:solidFill>
              <a:prstDash val="sysDash"/>
              <a:round/>
            </a:ln>
            <a:effectLst/>
          </c:spPr>
          <c:marker>
            <c:symbol val="circle"/>
            <c:size val="20"/>
            <c:spPr>
              <a:solidFill>
                <a:srgbClr val="F2F2F2"/>
              </a:solidFill>
              <a:ln w="63500">
                <a:solidFill>
                  <a:srgbClr val="292B30"/>
                </a:solidFill>
                <a:prstDash val="solid"/>
              </a:ln>
              <a:effectLst/>
            </c:spPr>
          </c:marker>
          <c:dLbls>
            <c:dLbl>
              <c:idx val="0"/>
              <c:layout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1"/>
              <c:layout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2"/>
              <c:layout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200" b="1" i="0" u="none" strike="noStrike" kern="1200" baseline="0">
                    <a:solidFill>
                      <a:srgbClr val="292B30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AR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(Indicadores!$F$44,Indicadores!$F$46,Indicadores!$F$48)</c:f>
              <c:numCache>
                <c:formatCode>0</c:formatCode>
                <c:ptCount val="3"/>
                <c:pt idx="0">
                  <c:v>86.67</c:v>
                </c:pt>
                <c:pt idx="1">
                  <c:v>92.22</c:v>
                </c:pt>
                <c:pt idx="2">
                  <c:v>92.52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1271255600"/>
        <c:axId val="-1271255056"/>
      </c:lineChart>
      <c:catAx>
        <c:axId val="-1271255600"/>
        <c:scaling>
          <c:orientation val="minMax"/>
        </c:scaling>
        <c:delete val="1"/>
        <c:axPos val="b"/>
        <c:majorTickMark val="none"/>
        <c:minorTickMark val="none"/>
        <c:tickLblPos val="nextTo"/>
        <c:crossAx val="-1271255056"/>
        <c:crosses val="autoZero"/>
        <c:auto val="1"/>
        <c:lblAlgn val="ctr"/>
        <c:lblOffset val="100"/>
        <c:noMultiLvlLbl val="0"/>
      </c:catAx>
      <c:valAx>
        <c:axId val="-1271255056"/>
        <c:scaling>
          <c:orientation val="minMax"/>
          <c:max val="100"/>
          <c:min val="0"/>
        </c:scaling>
        <c:delete val="1"/>
        <c:axPos val="l"/>
        <c:numFmt formatCode="0" sourceLinked="1"/>
        <c:majorTickMark val="none"/>
        <c:minorTickMark val="none"/>
        <c:tickLblPos val="nextTo"/>
        <c:crossAx val="-127125560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4.4444444444444444E-3"/>
          <c:y val="0.92620929641859284"/>
          <c:w val="0.67946964129483811"/>
          <c:h val="6.2180340360680729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s-AR"/>
        </a:p>
      </c:txPr>
    </c:legend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  <c:userShapes r:id="rId3"/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5.7894736842105263E-2"/>
          <c:y val="9.2307692307692313E-2"/>
          <c:w val="0.88421052631578945"/>
          <c:h val="0.76923076923076927"/>
        </c:manualLayout>
      </c:layout>
      <c:barChart>
        <c:barDir val="col"/>
        <c:grouping val="clustered"/>
        <c:varyColors val="0"/>
        <c:ser>
          <c:idx val="0"/>
          <c:order val="0"/>
          <c:tx>
            <c:v>2016</c:v>
          </c:tx>
          <c:spPr>
            <a:solidFill>
              <a:srgbClr val="86868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200" b="1" i="0" u="none" strike="noStrike" kern="1200" baseline="0">
                    <a:solidFill>
                      <a:srgbClr val="FFFFFF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A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Indicadores!$O$82</c:f>
              <c:numCache>
                <c:formatCode>0</c:formatCode>
                <c:ptCount val="1"/>
                <c:pt idx="0">
                  <c:v>96.91</c:v>
                </c:pt>
              </c:numCache>
            </c:numRef>
          </c:val>
        </c:ser>
        <c:ser>
          <c:idx val="1"/>
          <c:order val="1"/>
          <c:tx>
            <c:v>2016</c:v>
          </c:tx>
          <c:spPr>
            <a:solidFill>
              <a:srgbClr val="61214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200" b="1" i="0" u="none" strike="noStrike" kern="1200" baseline="0">
                    <a:solidFill>
                      <a:srgbClr val="FFFFFF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A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Indicadores!$N$82</c:f>
              <c:numCache>
                <c:formatCode>0</c:formatCode>
                <c:ptCount val="1"/>
                <c:pt idx="0">
                  <c:v>86.19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overlap val="-21"/>
        <c:axId val="-1271252880"/>
        <c:axId val="-1271264304"/>
      </c:barChart>
      <c:lineChart>
        <c:grouping val="standard"/>
        <c:varyColors val="0"/>
        <c:ser>
          <c:idx val="2"/>
          <c:order val="2"/>
          <c:tx>
            <c:v>BMK Mejores Argentina 2016</c:v>
          </c:tx>
          <c:spPr>
            <a:ln w="63500" cap="rnd" cmpd="sng" algn="ctr">
              <a:solidFill>
                <a:srgbClr val="C00000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20"/>
            <c:spPr>
              <a:solidFill>
                <a:srgbClr val="F2F2F2"/>
              </a:solidFill>
              <a:ln w="63500" cap="rnd" cmpd="sng" algn="ctr">
                <a:solidFill>
                  <a:srgbClr val="C00000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dLbls>
            <c:dLbl>
              <c:idx val="0"/>
              <c:layout/>
              <c:dLblPos val="b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200" b="1" i="0" u="none" strike="noStrike" kern="1200" baseline="0">
                    <a:solidFill>
                      <a:srgbClr val="C00000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A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Indicadores!$P$82</c:f>
              <c:numCache>
                <c:formatCode>0</c:formatCode>
                <c:ptCount val="1"/>
                <c:pt idx="0">
                  <c:v>83.49</c:v>
                </c:pt>
              </c:numCache>
            </c:numRef>
          </c:val>
          <c:smooth val="0"/>
        </c:ser>
        <c:ser>
          <c:idx val="3"/>
          <c:order val="3"/>
          <c:tx>
            <c:v>BMK Personalizado 2016 MARS</c:v>
          </c:tx>
          <c:spPr>
            <a:ln w="25400" cap="rnd">
              <a:solidFill>
                <a:srgbClr val="292B30"/>
              </a:solidFill>
              <a:prstDash val="sysDash"/>
              <a:round/>
            </a:ln>
            <a:effectLst/>
          </c:spPr>
          <c:marker>
            <c:symbol val="circle"/>
            <c:size val="20"/>
            <c:spPr>
              <a:solidFill>
                <a:srgbClr val="F2F2F2"/>
              </a:solidFill>
              <a:ln w="63500">
                <a:solidFill>
                  <a:srgbClr val="292B30"/>
                </a:solidFill>
                <a:prstDash val="solid"/>
              </a:ln>
              <a:effectLst/>
            </c:spPr>
          </c:marker>
          <c:dLbls>
            <c:dLbl>
              <c:idx val="0"/>
              <c:layout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200" b="1" i="0" u="none" strike="noStrike" kern="1200" baseline="0">
                    <a:solidFill>
                      <a:srgbClr val="292B30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AR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Indicadores!$Q$82</c:f>
              <c:numCache>
                <c:formatCode>0</c:formatCode>
                <c:ptCount val="1"/>
                <c:pt idx="0">
                  <c:v>92.72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1271252880"/>
        <c:axId val="-1271264304"/>
      </c:lineChart>
      <c:catAx>
        <c:axId val="-1271252880"/>
        <c:scaling>
          <c:orientation val="minMax"/>
        </c:scaling>
        <c:delete val="1"/>
        <c:axPos val="b"/>
        <c:majorTickMark val="none"/>
        <c:minorTickMark val="none"/>
        <c:tickLblPos val="nextTo"/>
        <c:crossAx val="-1271264304"/>
        <c:crosses val="autoZero"/>
        <c:auto val="1"/>
        <c:lblAlgn val="ctr"/>
        <c:lblOffset val="100"/>
        <c:noMultiLvlLbl val="0"/>
      </c:catAx>
      <c:valAx>
        <c:axId val="-1271264304"/>
        <c:scaling>
          <c:orientation val="minMax"/>
          <c:max val="100"/>
          <c:min val="0"/>
        </c:scaling>
        <c:delete val="1"/>
        <c:axPos val="l"/>
        <c:numFmt formatCode="0" sourceLinked="1"/>
        <c:majorTickMark val="none"/>
        <c:minorTickMark val="none"/>
        <c:tickLblPos val="nextTo"/>
        <c:crossAx val="-12712528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  <c:userShapes r:id="rId3"/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0.37111111111111111"/>
          <c:y val="7.7419354838709681E-2"/>
          <c:w val="0.61111111111111116"/>
          <c:h val="0.64516129032258063"/>
        </c:manualLayout>
      </c:layout>
      <c:barChart>
        <c:barDir val="col"/>
        <c:grouping val="clustered"/>
        <c:varyColors val="0"/>
        <c:ser>
          <c:idx val="0"/>
          <c:order val="0"/>
          <c:tx>
            <c:v>2016</c:v>
          </c:tx>
          <c:spPr>
            <a:solidFill>
              <a:srgbClr val="86868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200" b="1" i="0" u="none" strike="noStrike" kern="1200" baseline="0">
                    <a:solidFill>
                      <a:srgbClr val="FFFFFF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A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(Indicadores!$D$53,Indicadores!$D$56,Indicadores!$D$60)</c:f>
              <c:numCache>
                <c:formatCode>0</c:formatCode>
                <c:ptCount val="3"/>
                <c:pt idx="0">
                  <c:v>97.45</c:v>
                </c:pt>
                <c:pt idx="1">
                  <c:v>97.7</c:v>
                </c:pt>
                <c:pt idx="2">
                  <c:v>95.32</c:v>
                </c:pt>
              </c:numCache>
            </c:numRef>
          </c:val>
        </c:ser>
        <c:ser>
          <c:idx val="1"/>
          <c:order val="1"/>
          <c:tx>
            <c:v>2016</c:v>
          </c:tx>
          <c:spPr>
            <a:solidFill>
              <a:srgbClr val="61214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200" b="1" i="0" u="none" strike="noStrike" kern="1200" baseline="0">
                    <a:solidFill>
                      <a:srgbClr val="FFFFFF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A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(Indicadores!$C$53,Indicadores!$C$56,Indicadores!$C$60)</c:f>
              <c:numCache>
                <c:formatCode>0</c:formatCode>
                <c:ptCount val="3"/>
                <c:pt idx="0">
                  <c:v>87.27</c:v>
                </c:pt>
                <c:pt idx="1">
                  <c:v>88.28</c:v>
                </c:pt>
                <c:pt idx="2">
                  <c:v>82.3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8"/>
        <c:overlap val="-25"/>
        <c:axId val="-1261949008"/>
        <c:axId val="-1261947376"/>
      </c:barChart>
      <c:lineChart>
        <c:grouping val="standard"/>
        <c:varyColors val="0"/>
        <c:ser>
          <c:idx val="2"/>
          <c:order val="2"/>
          <c:tx>
            <c:v>BMK Mejores Argentina 2016</c:v>
          </c:tx>
          <c:spPr>
            <a:ln w="63500" cap="rnd" cmpd="sng" algn="ctr">
              <a:solidFill>
                <a:srgbClr val="C00000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20"/>
            <c:spPr>
              <a:solidFill>
                <a:srgbClr val="F2F2F2"/>
              </a:solidFill>
              <a:ln w="63500" cap="rnd" cmpd="sng" algn="ctr">
                <a:solidFill>
                  <a:srgbClr val="C00000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dLbls>
            <c:dLbl>
              <c:idx val="0"/>
              <c:layout/>
              <c:dLblPos val="b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1"/>
              <c:layout/>
              <c:dLblPos val="b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2"/>
              <c:layout/>
              <c:dLblPos val="b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200" b="1" i="0" u="none" strike="noStrike" kern="1200" baseline="0">
                    <a:solidFill>
                      <a:srgbClr val="C00000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A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(Indicadores!$E$53,Indicadores!$E$56,Indicadores!$E$60)</c:f>
              <c:numCache>
                <c:formatCode>0</c:formatCode>
                <c:ptCount val="3"/>
                <c:pt idx="0">
                  <c:v>84.71</c:v>
                </c:pt>
                <c:pt idx="1">
                  <c:v>86.6</c:v>
                </c:pt>
                <c:pt idx="2">
                  <c:v>78.11</c:v>
                </c:pt>
              </c:numCache>
            </c:numRef>
          </c:val>
          <c:smooth val="0"/>
        </c:ser>
        <c:ser>
          <c:idx val="3"/>
          <c:order val="3"/>
          <c:tx>
            <c:v>BMK Personalizado 2016 MARS</c:v>
          </c:tx>
          <c:spPr>
            <a:ln w="25400" cap="rnd">
              <a:solidFill>
                <a:srgbClr val="292B30"/>
              </a:solidFill>
              <a:prstDash val="sysDash"/>
              <a:round/>
            </a:ln>
            <a:effectLst/>
          </c:spPr>
          <c:marker>
            <c:symbol val="circle"/>
            <c:size val="20"/>
            <c:spPr>
              <a:solidFill>
                <a:srgbClr val="F2F2F2"/>
              </a:solidFill>
              <a:ln w="63500">
                <a:solidFill>
                  <a:srgbClr val="292B30"/>
                </a:solidFill>
                <a:prstDash val="solid"/>
              </a:ln>
              <a:effectLst/>
            </c:spPr>
          </c:marker>
          <c:dLbls>
            <c:dLbl>
              <c:idx val="0"/>
              <c:layout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1"/>
              <c:layout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2"/>
              <c:layout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200" b="1" i="0" u="none" strike="noStrike" kern="1200" baseline="0">
                    <a:solidFill>
                      <a:srgbClr val="292B30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AR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(Indicadores!$F$53,Indicadores!$F$56,Indicadores!$F$60)</c:f>
              <c:numCache>
                <c:formatCode>0</c:formatCode>
                <c:ptCount val="3"/>
                <c:pt idx="0">
                  <c:v>93.18</c:v>
                </c:pt>
                <c:pt idx="1">
                  <c:v>93.94</c:v>
                </c:pt>
                <c:pt idx="2">
                  <c:v>90.65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1261949008"/>
        <c:axId val="-1261947376"/>
      </c:lineChart>
      <c:catAx>
        <c:axId val="-1261949008"/>
        <c:scaling>
          <c:orientation val="minMax"/>
        </c:scaling>
        <c:delete val="1"/>
        <c:axPos val="b"/>
        <c:majorTickMark val="none"/>
        <c:minorTickMark val="none"/>
        <c:tickLblPos val="nextTo"/>
        <c:crossAx val="-1261947376"/>
        <c:crosses val="autoZero"/>
        <c:auto val="1"/>
        <c:lblAlgn val="ctr"/>
        <c:lblOffset val="100"/>
        <c:noMultiLvlLbl val="0"/>
      </c:catAx>
      <c:valAx>
        <c:axId val="-1261947376"/>
        <c:scaling>
          <c:orientation val="minMax"/>
          <c:max val="100"/>
          <c:min val="0"/>
        </c:scaling>
        <c:delete val="1"/>
        <c:axPos val="l"/>
        <c:numFmt formatCode="0" sourceLinked="1"/>
        <c:majorTickMark val="none"/>
        <c:minorTickMark val="none"/>
        <c:tickLblPos val="nextTo"/>
        <c:crossAx val="-126194900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4.4444444444444444E-3"/>
          <c:y val="0.92620929641859284"/>
          <c:w val="0.67946964129483811"/>
          <c:h val="6.2180340360680729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s-AR"/>
        </a:p>
      </c:txPr>
    </c:legend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  <c:userShapes r:id="rId3"/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clustered"/>
        <c:varyColors val="0"/>
        <c:ser>
          <c:idx val="0"/>
          <c:order val="0"/>
          <c:tx>
            <c:v>Sentido de Pertenencia</c:v>
          </c:tx>
          <c:spPr>
            <a:solidFill>
              <a:srgbClr val="61214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rgbClr val="FFFFFF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A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Indicadores!$C$60</c:f>
              <c:numCache>
                <c:formatCode>0</c:formatCode>
                <c:ptCount val="1"/>
                <c:pt idx="0">
                  <c:v>82.3</c:v>
                </c:pt>
              </c:numCache>
            </c:numRef>
          </c:val>
        </c:ser>
        <c:ser>
          <c:idx val="1"/>
          <c:order val="1"/>
          <c:tx>
            <c:v>Hospitalidad</c:v>
          </c:tx>
          <c:spPr>
            <a:solidFill>
              <a:srgbClr val="61214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rgbClr val="FFFFFF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A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Indicadores!$C$56</c:f>
              <c:numCache>
                <c:formatCode>0</c:formatCode>
                <c:ptCount val="1"/>
                <c:pt idx="0">
                  <c:v>88.28</c:v>
                </c:pt>
              </c:numCache>
            </c:numRef>
          </c:val>
        </c:ser>
        <c:ser>
          <c:idx val="2"/>
          <c:order val="2"/>
          <c:tx>
            <c:v>Relaciones Interpersonales</c:v>
          </c:tx>
          <c:spPr>
            <a:solidFill>
              <a:srgbClr val="61214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rgbClr val="FFFFFF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A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Indicadores!$C$53</c:f>
              <c:numCache>
                <c:formatCode>0</c:formatCode>
                <c:ptCount val="1"/>
                <c:pt idx="0">
                  <c:v>87.27</c:v>
                </c:pt>
              </c:numCache>
            </c:numRef>
          </c:val>
        </c:ser>
        <c:ser>
          <c:idx val="3"/>
          <c:order val="3"/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</c:ser>
        <c:ser>
          <c:idx val="4"/>
          <c:order val="4"/>
          <c:tx>
            <c:v>Empresa</c:v>
          </c:tx>
          <c:spPr>
            <a:solidFill>
              <a:srgbClr val="73A11F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rgbClr val="FFFFFF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A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Indicadores!$C$48</c:f>
              <c:numCache>
                <c:formatCode>0</c:formatCode>
                <c:ptCount val="1"/>
                <c:pt idx="0">
                  <c:v>84.29</c:v>
                </c:pt>
              </c:numCache>
            </c:numRef>
          </c:val>
        </c:ser>
        <c:ser>
          <c:idx val="5"/>
          <c:order val="5"/>
          <c:tx>
            <c:v>Equipo</c:v>
          </c:tx>
          <c:spPr>
            <a:solidFill>
              <a:srgbClr val="73A11F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rgbClr val="FFFFFF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A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Indicadores!$C$46</c:f>
              <c:numCache>
                <c:formatCode>0</c:formatCode>
                <c:ptCount val="1"/>
                <c:pt idx="0">
                  <c:v>83.99</c:v>
                </c:pt>
              </c:numCache>
            </c:numRef>
          </c:val>
        </c:ser>
        <c:ser>
          <c:idx val="6"/>
          <c:order val="6"/>
          <c:tx>
            <c:v>Trabajo Personal</c:v>
          </c:tx>
          <c:spPr>
            <a:solidFill>
              <a:srgbClr val="73A11F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rgbClr val="FFFFFF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A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Indicadores!$C$44</c:f>
              <c:numCache>
                <c:formatCode>0</c:formatCode>
                <c:ptCount val="1"/>
                <c:pt idx="0">
                  <c:v>80.63</c:v>
                </c:pt>
              </c:numCache>
            </c:numRef>
          </c:val>
        </c:ser>
        <c:ser>
          <c:idx val="7"/>
          <c:order val="7"/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</c:ser>
        <c:ser>
          <c:idx val="8"/>
          <c:order val="8"/>
          <c:tx>
            <c:v>Justicia</c:v>
          </c:tx>
          <c:spPr>
            <a:solidFill>
              <a:srgbClr val="00517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rgbClr val="FFFFFF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A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Indicadores!$C$38</c:f>
              <c:numCache>
                <c:formatCode>0</c:formatCode>
                <c:ptCount val="1"/>
                <c:pt idx="0">
                  <c:v>91.08</c:v>
                </c:pt>
              </c:numCache>
            </c:numRef>
          </c:val>
        </c:ser>
        <c:ser>
          <c:idx val="9"/>
          <c:order val="9"/>
          <c:tx>
            <c:v>Ausencia de Favoritismo</c:v>
          </c:tx>
          <c:spPr>
            <a:solidFill>
              <a:srgbClr val="00517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rgbClr val="FFFFFF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A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Indicadores!$C$35</c:f>
              <c:numCache>
                <c:formatCode>0</c:formatCode>
                <c:ptCount val="1"/>
                <c:pt idx="0">
                  <c:v>67.98</c:v>
                </c:pt>
              </c:numCache>
            </c:numRef>
          </c:val>
        </c:ser>
        <c:ser>
          <c:idx val="10"/>
          <c:order val="10"/>
          <c:tx>
            <c:v>Equidad</c:v>
          </c:tx>
          <c:spPr>
            <a:solidFill>
              <a:srgbClr val="00517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rgbClr val="FFFFFF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A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Indicadores!$C$31</c:f>
              <c:numCache>
                <c:formatCode>0</c:formatCode>
                <c:ptCount val="1"/>
                <c:pt idx="0">
                  <c:v>68.510000000000005</c:v>
                </c:pt>
              </c:numCache>
            </c:numRef>
          </c:val>
        </c:ser>
        <c:ser>
          <c:idx val="11"/>
          <c:order val="11"/>
          <c:spPr>
            <a:solidFill>
              <a:schemeClr val="accent6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</c:ser>
        <c:ser>
          <c:idx val="12"/>
          <c:order val="12"/>
          <c:tx>
            <c:v>Cuidado de las Personas</c:v>
          </c:tx>
          <c:spPr>
            <a:solidFill>
              <a:srgbClr val="AA272F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rgbClr val="FFFFFF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A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Indicadores!$C$23</c:f>
              <c:numCache>
                <c:formatCode>0</c:formatCode>
                <c:ptCount val="1"/>
                <c:pt idx="0">
                  <c:v>81.349999999999994</c:v>
                </c:pt>
              </c:numCache>
            </c:numRef>
          </c:val>
        </c:ser>
        <c:ser>
          <c:idx val="13"/>
          <c:order val="13"/>
          <c:tx>
            <c:v>Participación</c:v>
          </c:tx>
          <c:spPr>
            <a:solidFill>
              <a:srgbClr val="AA272F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rgbClr val="FFFFFF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A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Indicadores!$C$21</c:f>
              <c:numCache>
                <c:formatCode>0</c:formatCode>
                <c:ptCount val="1"/>
                <c:pt idx="0">
                  <c:v>81.34</c:v>
                </c:pt>
              </c:numCache>
            </c:numRef>
          </c:val>
        </c:ser>
        <c:ser>
          <c:idx val="14"/>
          <c:order val="14"/>
          <c:tx>
            <c:v>Respaldo</c:v>
          </c:tx>
          <c:spPr>
            <a:solidFill>
              <a:srgbClr val="AA272F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rgbClr val="FFFFFF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A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Indicadores!$C$17</c:f>
              <c:numCache>
                <c:formatCode>0</c:formatCode>
                <c:ptCount val="1"/>
                <c:pt idx="0">
                  <c:v>82.03</c:v>
                </c:pt>
              </c:numCache>
            </c:numRef>
          </c:val>
        </c:ser>
        <c:ser>
          <c:idx val="15"/>
          <c:order val="15"/>
          <c:spPr>
            <a:solidFill>
              <a:schemeClr val="accent4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</c:ser>
        <c:ser>
          <c:idx val="16"/>
          <c:order val="16"/>
          <c:tx>
            <c:v>Integridad</c:v>
          </c:tx>
          <c:spPr>
            <a:solidFill>
              <a:srgbClr val="FFC00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rgbClr val="FFFFFF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A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Indicadores!$C$12</c:f>
              <c:numCache>
                <c:formatCode>0</c:formatCode>
                <c:ptCount val="1"/>
                <c:pt idx="0">
                  <c:v>85.61</c:v>
                </c:pt>
              </c:numCache>
            </c:numRef>
          </c:val>
        </c:ser>
        <c:ser>
          <c:idx val="17"/>
          <c:order val="17"/>
          <c:tx>
            <c:v>Competencia</c:v>
          </c:tx>
          <c:spPr>
            <a:solidFill>
              <a:srgbClr val="FFC00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rgbClr val="FFFFFF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A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Indicadores!$C$6</c:f>
              <c:numCache>
                <c:formatCode>0</c:formatCode>
                <c:ptCount val="1"/>
                <c:pt idx="0">
                  <c:v>85.75</c:v>
                </c:pt>
              </c:numCache>
            </c:numRef>
          </c:val>
        </c:ser>
        <c:ser>
          <c:idx val="18"/>
          <c:order val="18"/>
          <c:tx>
            <c:v>Comunicación</c:v>
          </c:tx>
          <c:spPr>
            <a:solidFill>
              <a:srgbClr val="FFC00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rgbClr val="FFFFFF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A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Indicadores!$C$2</c:f>
              <c:numCache>
                <c:formatCode>0</c:formatCode>
                <c:ptCount val="1"/>
                <c:pt idx="0">
                  <c:v>86.53</c:v>
                </c:pt>
              </c:numCache>
            </c:numRef>
          </c:val>
        </c:ser>
        <c:dLbls>
          <c:dLblPos val="inBase"/>
          <c:showLegendKey val="0"/>
          <c:showVal val="1"/>
          <c:showCatName val="0"/>
          <c:showSerName val="0"/>
          <c:showPercent val="0"/>
          <c:showBubbleSize val="0"/>
        </c:dLbls>
        <c:gapWidth val="30"/>
        <c:overlap val="-30"/>
        <c:axId val="-1288576656"/>
        <c:axId val="-1288576112"/>
      </c:barChart>
      <c:catAx>
        <c:axId val="-1288576656"/>
        <c:scaling>
          <c:orientation val="minMax"/>
        </c:scaling>
        <c:delete val="1"/>
        <c:axPos val="l"/>
        <c:majorTickMark val="none"/>
        <c:minorTickMark val="none"/>
        <c:tickLblPos val="nextTo"/>
        <c:crossAx val="-1288576112"/>
        <c:crosses val="autoZero"/>
        <c:auto val="1"/>
        <c:lblAlgn val="ctr"/>
        <c:lblOffset val="100"/>
        <c:noMultiLvlLbl val="0"/>
      </c:catAx>
      <c:valAx>
        <c:axId val="-1288576112"/>
        <c:scaling>
          <c:orientation val="minMax"/>
        </c:scaling>
        <c:delete val="1"/>
        <c:axPos val="b"/>
        <c:numFmt formatCode="0" sourceLinked="1"/>
        <c:majorTickMark val="none"/>
        <c:minorTickMark val="none"/>
        <c:tickLblPos val="nextTo"/>
        <c:crossAx val="-12885766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2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Drop" dropStyle="combo" dx="16" fmlaLink="I4" noThreeD="1" val="0">
  <itemLst>
    <item val="Anillos"/>
    <item val="Barras"/>
    <item val="Barras + Base"/>
    <item val="Anillos Dobles"/>
  </itemLst>
</formControlPr>
</file>

<file path=xl/ctrlProps/ctrlProp6.xml><?xml version="1.0" encoding="utf-8"?>
<formControlPr xmlns="http://schemas.microsoft.com/office/spreadsheetml/2009/9/main" objectType="CheckBox" lockText="1" noThreeD="1"/>
</file>

<file path=xl/ctrlProps/ctrlProp7.xml><?xml version="1.0" encoding="utf-8"?>
<formControlPr xmlns="http://schemas.microsoft.com/office/spreadsheetml/2009/9/main" objectType="Drop" dropStyle="combo" dx="16" fmlaLink="I5" noThreeD="1" val="0">
  <itemLst>
    <item val="Hist. + Tabla"/>
  </itemLst>
</formControlPr>
</file>

<file path=xl/ctrlProps/ctrlProp8.xml><?xml version="1.0" encoding="utf-8"?>
<formControlPr xmlns="http://schemas.microsoft.com/office/spreadsheetml/2009/9/main" objectType="CheckBox" lockText="1" noThreeD="1"/>
</file>

<file path=xl/ctrlProps/ctrlProp9.xml><?xml version="1.0" encoding="utf-8"?>
<formControlPr xmlns="http://schemas.microsoft.com/office/spreadsheetml/2009/9/main" objectType="Drop" dropStyle="combo" dx="16" fmlaLink="I6" noThreeD="1" val="0">
  <itemLst>
    <item val="Anillos"/>
    <item val="Barras"/>
    <item val="Barras + Base"/>
    <item val="Anillos Dobles"/>
  </itemLst>
</formControlPr>
</file>

<file path=xl/ctrlProps/ctrlProp10.xml><?xml version="1.0" encoding="utf-8"?>
<formControlPr xmlns="http://schemas.microsoft.com/office/spreadsheetml/2009/9/main" objectType="CheckBox" checked="Checked" lockText="1" noThreeD="1"/>
</file>

<file path=xl/ctrlProps/ctrlProp11.xml><?xml version="1.0" encoding="utf-8"?>
<formControlPr xmlns="http://schemas.microsoft.com/office/spreadsheetml/2009/9/main" objectType="Drop" dropStyle="combo" dx="16" fmlaLink="I7" noThreeD="1" val="0">
  <itemLst>
    <item val="Hist. + Tabla"/>
  </itemLst>
</formControlPr>
</file>

<file path=xl/ctrlProps/ctrlProp12.xml><?xml version="1.0" encoding="utf-8"?>
<formControlPr xmlns="http://schemas.microsoft.com/office/spreadsheetml/2009/9/main" objectType="CheckBox" checked="Checked" lockText="1" noThreeD="1"/>
</file>

<file path=xl/ctrlProps/ctrlProp13.xml><?xml version="1.0" encoding="utf-8"?>
<formControlPr xmlns="http://schemas.microsoft.com/office/spreadsheetml/2009/9/main" objectType="Drop" dropStyle="combo" dx="16" fmlaLink="I8" noThreeD="1" val="0">
  <itemLst>
    <item val="Anillos"/>
    <item val="Barras"/>
    <item val="Barras + Base"/>
    <item val="Anillos Dobles"/>
  </itemLst>
</formControlPr>
</file>

<file path=xl/ctrlProps/ctrlProp14.xml><?xml version="1.0" encoding="utf-8"?>
<formControlPr xmlns="http://schemas.microsoft.com/office/spreadsheetml/2009/9/main" objectType="CheckBox" checked="Checked" lockText="1" noThreeD="1"/>
</file>

<file path=xl/ctrlProps/ctrlProp15.xml><?xml version="1.0" encoding="utf-8"?>
<formControlPr xmlns="http://schemas.microsoft.com/office/spreadsheetml/2009/9/main" objectType="Drop" dropStyle="combo" dx="16" fmlaLink="I9" noThreeD="1" val="0">
  <itemLst>
    <item val="Hist. + Tabla"/>
  </itemLst>
</formControlPr>
</file>

<file path=xl/ctrlProps/ctrlProp16.xml><?xml version="1.0" encoding="utf-8"?>
<formControlPr xmlns="http://schemas.microsoft.com/office/spreadsheetml/2009/9/main" objectType="CheckBox" checked="Checked" lockText="1" noThreeD="1"/>
</file>

<file path=xl/ctrlProps/ctrlProp17.xml><?xml version="1.0" encoding="utf-8"?>
<formControlPr xmlns="http://schemas.microsoft.com/office/spreadsheetml/2009/9/main" objectType="Drop" dropStyle="combo" dx="16" fmlaLink="I10" noThreeD="1" val="0">
  <itemLst>
    <item val="Anillos"/>
    <item val="Barras"/>
    <item val="Barras + Base"/>
    <item val="Anillos Dobles"/>
  </itemLst>
</formControlPr>
</file>

<file path=xl/ctrlProps/ctrlProp18.xml><?xml version="1.0" encoding="utf-8"?>
<formControlPr xmlns="http://schemas.microsoft.com/office/spreadsheetml/2009/9/main" objectType="CheckBox" checked="Checked" lockText="1" noThreeD="1"/>
</file>

<file path=xl/ctrlProps/ctrlProp19.xml><?xml version="1.0" encoding="utf-8"?>
<formControlPr xmlns="http://schemas.microsoft.com/office/spreadsheetml/2009/9/main" objectType="Drop" dropStyle="combo" dx="16" fmlaLink="I11" noThreeD="1" val="0">
  <itemLst>
    <item val="Hist. + Tabla"/>
  </itemLst>
</formControlPr>
</file>

<file path=xl/ctrlProps/ctrlProp20.xml><?xml version="1.0" encoding="utf-8"?>
<formControlPr xmlns="http://schemas.microsoft.com/office/spreadsheetml/2009/9/main" objectType="CheckBox" checked="Checked" lockText="1" noThreeD="1"/>
</file>

<file path=xl/ctrlProps/ctrlProp21.xml><?xml version="1.0" encoding="utf-8"?>
<formControlPr xmlns="http://schemas.microsoft.com/office/spreadsheetml/2009/9/main" objectType="Drop" dropStyle="combo" dx="16" fmlaLink="I12" noThreeD="1" sel="2" val="0">
  <itemLst>
    <item val="Anillos"/>
    <item val="Barras"/>
    <item val="Barras + Base"/>
    <item val="Anillos Dobles"/>
  </itemLst>
</formControlPr>
</file>

<file path=xl/ctrlProps/ctrlProp22.xml><?xml version="1.0" encoding="utf-8"?>
<formControlPr xmlns="http://schemas.microsoft.com/office/spreadsheetml/2009/9/main" objectType="CheckBox" checked="Checked" lockText="1" noThreeD="1"/>
</file>

<file path=xl/ctrlProps/ctrlProp23.xml><?xml version="1.0" encoding="utf-8"?>
<formControlPr xmlns="http://schemas.microsoft.com/office/spreadsheetml/2009/9/main" objectType="Drop" dropStyle="combo" dx="16" fmlaLink="I13" noThreeD="1" val="0">
  <itemLst>
    <item val="Hist. + Tabla"/>
  </itemLst>
</formControlPr>
</file>

<file path=xl/ctrlProps/ctrlProp24.xml><?xml version="1.0" encoding="utf-8"?>
<formControlPr xmlns="http://schemas.microsoft.com/office/spreadsheetml/2009/9/main" objectType="CheckBox" checked="Checked" lockText="1" noThreeD="1"/>
</file>

<file path=xl/ctrlProps/ctrlProp25.xml><?xml version="1.0" encoding="utf-8"?>
<formControlPr xmlns="http://schemas.microsoft.com/office/spreadsheetml/2009/9/main" objectType="Drop" dropStyle="combo" dx="16" fmlaLink="I14" noThreeD="1" val="0">
  <itemLst>
    <item val="Anillos"/>
    <item val="Barras"/>
    <item val="Barras + Base"/>
    <item val="Anillos Dobles"/>
  </itemLst>
</formControlPr>
</file>

<file path=xl/ctrlProps/ctrlProp26.xml><?xml version="1.0" encoding="utf-8"?>
<formControlPr xmlns="http://schemas.microsoft.com/office/spreadsheetml/2009/9/main" objectType="CheckBox" checked="Checked" lockText="1" noThreeD="1"/>
</file>

<file path=xl/ctrlProps/ctrlProp27.xml><?xml version="1.0" encoding="utf-8"?>
<formControlPr xmlns="http://schemas.microsoft.com/office/spreadsheetml/2009/9/main" objectType="Drop" dropStyle="combo" dx="16" fmlaLink="I15" noThreeD="1" val="0">
  <itemLst>
    <item val="Hist. + Tabla"/>
  </itemLst>
</formControlPr>
</file>

<file path=xl/ctrlProps/ctrlProp28.xml><?xml version="1.0" encoding="utf-8"?>
<formControlPr xmlns="http://schemas.microsoft.com/office/spreadsheetml/2009/9/main" objectType="CheckBox" checked="Checked" lockText="1" noThreeD="1"/>
</file>

<file path=xl/ctrlProps/ctrlProp29.xml><?xml version="1.0" encoding="utf-8"?>
<formControlPr xmlns="http://schemas.microsoft.com/office/spreadsheetml/2009/9/main" objectType="Drop" dropStyle="combo" dx="16" fmlaLink="I16" noThreeD="1" sel="3" val="0">
  <itemLst>
    <item val="Anillos"/>
    <item val="Barras"/>
    <item val="Barras + Base"/>
    <item val="Anillos Dobles"/>
  </itemLst>
</formControlPr>
</file>

<file path=xl/ctrlProps/ctrlProp30.xml><?xml version="1.0" encoding="utf-8"?>
<formControlPr xmlns="http://schemas.microsoft.com/office/spreadsheetml/2009/9/main" objectType="CheckBox" checked="Checked" lockText="1" noThreeD="1"/>
</file>

<file path=xl/ctrlProps/ctrlProp31.xml><?xml version="1.0" encoding="utf-8"?>
<formControlPr xmlns="http://schemas.microsoft.com/office/spreadsheetml/2009/9/main" objectType="Drop" dropStyle="combo" dx="16" fmlaLink="I17" noThreeD="1" val="0">
  <itemLst>
    <item val="Hist. + Tabla"/>
  </itemLst>
</formControlPr>
</file>

<file path=xl/ctrlProps/ctrlProp32.xml><?xml version="1.0" encoding="utf-8"?>
<formControlPr xmlns="http://schemas.microsoft.com/office/spreadsheetml/2009/9/main" objectType="CheckBox" checked="Checked" lockText="1" noThreeD="1"/>
</file>

<file path=xl/ctrlProps/ctrlProp33.xml><?xml version="1.0" encoding="utf-8"?>
<formControlPr xmlns="http://schemas.microsoft.com/office/spreadsheetml/2009/9/main" objectType="Drop" dropStyle="combo" dx="16" fmlaLink="I18" noThreeD="1" val="0">
  <itemLst>
    <item val="Anillos"/>
    <item val="Barras"/>
    <item val="Barras + Base"/>
    <item val="Anillos Dobles"/>
  </itemLst>
</formControlPr>
</file>

<file path=xl/ctrlProps/ctrlProp34.xml><?xml version="1.0" encoding="utf-8"?>
<formControlPr xmlns="http://schemas.microsoft.com/office/spreadsheetml/2009/9/main" objectType="CheckBox" checked="Checked" lockText="1" noThreeD="1"/>
</file>

<file path=xl/ctrlProps/ctrlProp35.xml><?xml version="1.0" encoding="utf-8"?>
<formControlPr xmlns="http://schemas.microsoft.com/office/spreadsheetml/2009/9/main" objectType="Drop" dropStyle="combo" dx="16" fmlaLink="I19" noThreeD="1" val="0">
  <itemLst>
    <item val="Hist. + Tabla"/>
  </itemLst>
</formControlPr>
</file>

<file path=xl/ctrlProps/ctrlProp36.xml><?xml version="1.0" encoding="utf-8"?>
<formControlPr xmlns="http://schemas.microsoft.com/office/spreadsheetml/2009/9/main" objectType="CheckBox" checked="Checked" lockText="1" noThreeD="1"/>
</file>

<file path=xl/ctrlProps/ctrlProp37.xml><?xml version="1.0" encoding="utf-8"?>
<formControlPr xmlns="http://schemas.microsoft.com/office/spreadsheetml/2009/9/main" objectType="Drop" dropStyle="combo" dx="16" fmlaLink="I20" noThreeD="1" sel="4" val="0">
  <itemLst>
    <item val="Anillos"/>
    <item val="Barras"/>
    <item val="Barras + Base"/>
    <item val="Anillos Dobles"/>
  </itemLst>
</formControlPr>
</file>

<file path=xl/ctrlProps/ctrlProp38.xml><?xml version="1.0" encoding="utf-8"?>
<formControlPr xmlns="http://schemas.microsoft.com/office/spreadsheetml/2009/9/main" objectType="CheckBox" checked="Checked" lockText="1" noThreeD="1"/>
</file>

<file path=xl/ctrlProps/ctrlProp39.xml><?xml version="1.0" encoding="utf-8"?>
<formControlPr xmlns="http://schemas.microsoft.com/office/spreadsheetml/2009/9/main" objectType="Drop" dropStyle="combo" dx="16" fmlaLink="I21" noThreeD="1" val="0">
  <itemLst>
    <item val="Hist. + Tabla"/>
  </itemLst>
</formControlPr>
</file>

<file path=xl/ctrlProps/ctrlProp40.xml><?xml version="1.0" encoding="utf-8"?>
<formControlPr xmlns="http://schemas.microsoft.com/office/spreadsheetml/2009/9/main" objectType="CheckBox" checked="Checked" lockText="1" noThreeD="1"/>
</file>

<file path=xl/ctrlProps/ctrlProp41.xml><?xml version="1.0" encoding="utf-8"?>
<formControlPr xmlns="http://schemas.microsoft.com/office/spreadsheetml/2009/9/main" objectType="Drop" dropStyle="combo" dx="16" fmlaLink="I22" noThreeD="1" val="0">
  <itemLst>
    <item val="Anillos"/>
    <item val="Barras"/>
    <item val="Barras + Base"/>
    <item val="Anillos Dobles"/>
  </itemLst>
</formControlPr>
</file>

<file path=xl/ctrlProps/ctrlProp42.xml><?xml version="1.0" encoding="utf-8"?>
<formControlPr xmlns="http://schemas.microsoft.com/office/spreadsheetml/2009/9/main" objectType="CheckBox" checked="Checked" lockText="1" noThreeD="1"/>
</file>

<file path=xl/ctrlProps/ctrlProp43.xml><?xml version="1.0" encoding="utf-8"?>
<formControlPr xmlns="http://schemas.microsoft.com/office/spreadsheetml/2009/9/main" objectType="Drop" dropStyle="combo" dx="16" fmlaLink="I23" noThreeD="1" val="0">
  <itemLst>
    <item val="Hist. + Tabla"/>
  </itemLst>
</formControlPr>
</file>

<file path=xl/ctrlProps/ctrlProp44.xml><?xml version="1.0" encoding="utf-8"?>
<formControlPr xmlns="http://schemas.microsoft.com/office/spreadsheetml/2009/9/main" objectType="CheckBox" checked="Checked" lockText="1" noThreeD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ctrlProps/ctrlProp49.xml><?xml version="1.0" encoding="utf-8"?>
<formControlPr xmlns="http://schemas.microsoft.com/office/spreadsheetml/2009/9/main" objectType="Button" lockText="1"/>
</file>

<file path=xl/ctrlProps/ctrlProp50.xml><?xml version="1.0" encoding="utf-8"?>
<formControlPr xmlns="http://schemas.microsoft.com/office/spreadsheetml/2009/9/main" objectType="Button" lockText="1"/>
</file>

<file path=xl/ctrlProps/ctrlProp51.xml><?xml version="1.0" encoding="utf-8"?>
<formControlPr xmlns="http://schemas.microsoft.com/office/spreadsheetml/2009/9/main" objectType="Button" lockText="1"/>
</file>

<file path=xl/ctrlProps/ctrlProp52.xml><?xml version="1.0" encoding="utf-8"?>
<formControlPr xmlns="http://schemas.microsoft.com/office/spreadsheetml/2009/9/main" objectType="Button" lockText="1"/>
</file>

<file path=xl/drawings/_rels/drawing5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13" Type="http://schemas.openxmlformats.org/officeDocument/2006/relationships/chart" Target="../charts/chart13.xml"/><Relationship Id="rId18" Type="http://schemas.openxmlformats.org/officeDocument/2006/relationships/chart" Target="../charts/chart18.xml"/><Relationship Id="rId26" Type="http://schemas.openxmlformats.org/officeDocument/2006/relationships/chart" Target="../charts/chart26.xml"/><Relationship Id="rId3" Type="http://schemas.openxmlformats.org/officeDocument/2006/relationships/chart" Target="../charts/chart3.xml"/><Relationship Id="rId21" Type="http://schemas.openxmlformats.org/officeDocument/2006/relationships/chart" Target="../charts/chart21.xml"/><Relationship Id="rId7" Type="http://schemas.openxmlformats.org/officeDocument/2006/relationships/chart" Target="../charts/chart7.xml"/><Relationship Id="rId12" Type="http://schemas.openxmlformats.org/officeDocument/2006/relationships/chart" Target="../charts/chart12.xml"/><Relationship Id="rId17" Type="http://schemas.openxmlformats.org/officeDocument/2006/relationships/chart" Target="../charts/chart17.xml"/><Relationship Id="rId25" Type="http://schemas.openxmlformats.org/officeDocument/2006/relationships/chart" Target="../charts/chart25.xml"/><Relationship Id="rId2" Type="http://schemas.openxmlformats.org/officeDocument/2006/relationships/chart" Target="../charts/chart2.xml"/><Relationship Id="rId16" Type="http://schemas.openxmlformats.org/officeDocument/2006/relationships/chart" Target="../charts/chart16.xml"/><Relationship Id="rId20" Type="http://schemas.openxmlformats.org/officeDocument/2006/relationships/chart" Target="../charts/chart20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24" Type="http://schemas.openxmlformats.org/officeDocument/2006/relationships/chart" Target="../charts/chart24.xml"/><Relationship Id="rId5" Type="http://schemas.openxmlformats.org/officeDocument/2006/relationships/chart" Target="../charts/chart5.xml"/><Relationship Id="rId15" Type="http://schemas.openxmlformats.org/officeDocument/2006/relationships/chart" Target="../charts/chart15.xml"/><Relationship Id="rId23" Type="http://schemas.openxmlformats.org/officeDocument/2006/relationships/chart" Target="../charts/chart23.xml"/><Relationship Id="rId10" Type="http://schemas.openxmlformats.org/officeDocument/2006/relationships/chart" Target="../charts/chart10.xml"/><Relationship Id="rId19" Type="http://schemas.openxmlformats.org/officeDocument/2006/relationships/chart" Target="../charts/chart19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Relationship Id="rId14" Type="http://schemas.openxmlformats.org/officeDocument/2006/relationships/chart" Target="../charts/chart14.xml"/><Relationship Id="rId22" Type="http://schemas.openxmlformats.org/officeDocument/2006/relationships/chart" Target="../charts/chart22.xml"/><Relationship Id="rId27" Type="http://schemas.openxmlformats.org/officeDocument/2006/relationships/chart" Target="../charts/chart27.xml"/></Relationships>
</file>

<file path=xl/drawings/_rels/drawing25.xml.rels><?xml version="1.0" encoding="UTF-8" standalone="yes"?>
<Relationships xmlns="http://schemas.openxmlformats.org/package/2006/relationships"><Relationship Id="rId8" Type="http://schemas.openxmlformats.org/officeDocument/2006/relationships/chart" Target="../charts/chart35.xml"/><Relationship Id="rId13" Type="http://schemas.openxmlformats.org/officeDocument/2006/relationships/chart" Target="../charts/chart40.xml"/><Relationship Id="rId3" Type="http://schemas.openxmlformats.org/officeDocument/2006/relationships/chart" Target="../charts/chart30.xml"/><Relationship Id="rId7" Type="http://schemas.openxmlformats.org/officeDocument/2006/relationships/chart" Target="../charts/chart34.xml"/><Relationship Id="rId12" Type="http://schemas.openxmlformats.org/officeDocument/2006/relationships/chart" Target="../charts/chart39.xml"/><Relationship Id="rId2" Type="http://schemas.openxmlformats.org/officeDocument/2006/relationships/chart" Target="../charts/chart29.xml"/><Relationship Id="rId1" Type="http://schemas.openxmlformats.org/officeDocument/2006/relationships/chart" Target="../charts/chart28.xml"/><Relationship Id="rId6" Type="http://schemas.openxmlformats.org/officeDocument/2006/relationships/chart" Target="../charts/chart33.xml"/><Relationship Id="rId11" Type="http://schemas.openxmlformats.org/officeDocument/2006/relationships/chart" Target="../charts/chart38.xml"/><Relationship Id="rId5" Type="http://schemas.openxmlformats.org/officeDocument/2006/relationships/chart" Target="../charts/chart32.xml"/><Relationship Id="rId15" Type="http://schemas.openxmlformats.org/officeDocument/2006/relationships/chart" Target="../charts/chart42.xml"/><Relationship Id="rId10" Type="http://schemas.openxmlformats.org/officeDocument/2006/relationships/chart" Target="../charts/chart37.xml"/><Relationship Id="rId4" Type="http://schemas.openxmlformats.org/officeDocument/2006/relationships/chart" Target="../charts/chart31.xml"/><Relationship Id="rId9" Type="http://schemas.openxmlformats.org/officeDocument/2006/relationships/chart" Target="../charts/chart36.xml"/><Relationship Id="rId14" Type="http://schemas.openxmlformats.org/officeDocument/2006/relationships/chart" Target="../charts/chart4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</xdr:row>
          <xdr:rowOff>180975</xdr:rowOff>
        </xdr:from>
        <xdr:to>
          <xdr:col>4</xdr:col>
          <xdr:colOff>0</xdr:colOff>
          <xdr:row>4</xdr:row>
          <xdr:rowOff>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=""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AR" sz="1100" b="1" i="0" u="none" strike="noStrike" baseline="0">
                  <a:solidFill>
                    <a:srgbClr val="000000"/>
                  </a:solidFill>
                  <a:latin typeface="Calibri"/>
                </a:rPr>
                <a:t>Seleccionar Demografías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4</xdr:row>
          <xdr:rowOff>171450</xdr:rowOff>
        </xdr:from>
        <xdr:to>
          <xdr:col>3</xdr:col>
          <xdr:colOff>2038350</xdr:colOff>
          <xdr:row>6</xdr:row>
          <xdr:rowOff>9525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=""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AR" sz="1100" b="1" i="0" u="none" strike="noStrike" baseline="0">
                  <a:solidFill>
                    <a:srgbClr val="000000"/>
                  </a:solidFill>
                  <a:latin typeface="Calibri"/>
                </a:rPr>
                <a:t>Seleccionar Indicadores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600075</xdr:colOff>
          <xdr:row>2</xdr:row>
          <xdr:rowOff>180975</xdr:rowOff>
        </xdr:from>
        <xdr:to>
          <xdr:col>13</xdr:col>
          <xdr:colOff>600075</xdr:colOff>
          <xdr:row>3</xdr:row>
          <xdr:rowOff>180975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=""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AR" sz="1100" b="0" i="0" u="none" strike="noStrike" baseline="0">
                  <a:solidFill>
                    <a:srgbClr val="000000"/>
                  </a:solidFill>
                  <a:latin typeface="Calibri"/>
                </a:rPr>
                <a:t>Limpiar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4</xdr:row>
          <xdr:rowOff>180975</xdr:rowOff>
        </xdr:from>
        <xdr:to>
          <xdr:col>14</xdr:col>
          <xdr:colOff>0</xdr:colOff>
          <xdr:row>6</xdr:row>
          <xdr:rowOff>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=""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AR" sz="1100" b="0" i="0" u="none" strike="noStrike" baseline="0">
                  <a:solidFill>
                    <a:srgbClr val="000000"/>
                  </a:solidFill>
                  <a:latin typeface="Calibri"/>
                </a:rPr>
                <a:t>Limpiar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</xdr:row>
          <xdr:rowOff>0</xdr:rowOff>
        </xdr:from>
        <xdr:to>
          <xdr:col>9</xdr:col>
          <xdr:colOff>0</xdr:colOff>
          <xdr:row>4</xdr:row>
          <xdr:rowOff>0</xdr:rowOff>
        </xdr:to>
        <xdr:sp macro="" textlink="">
          <xdr:nvSpPr>
            <xdr:cNvPr id="523265" name="DropDowns_Demo1" hidden="1">
              <a:extLst>
                <a:ext uri="{63B3BB69-23CF-44E3-9099-C40C66FF867C}">
                  <a14:compatExt spid="_x0000_s5232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3</xdr:row>
          <xdr:rowOff>0</xdr:rowOff>
        </xdr:from>
        <xdr:to>
          <xdr:col>9</xdr:col>
          <xdr:colOff>638175</xdr:colOff>
          <xdr:row>4</xdr:row>
          <xdr:rowOff>19050</xdr:rowOff>
        </xdr:to>
        <xdr:sp macro="" textlink="">
          <xdr:nvSpPr>
            <xdr:cNvPr id="523266" name="CheckBox_Demo1" hidden="1">
              <a:extLst>
                <a:ext uri="{63B3BB69-23CF-44E3-9099-C40C66FF867C}">
                  <a14:compatExt spid="_x0000_s5232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4</xdr:row>
          <xdr:rowOff>0</xdr:rowOff>
        </xdr:from>
        <xdr:to>
          <xdr:col>9</xdr:col>
          <xdr:colOff>0</xdr:colOff>
          <xdr:row>5</xdr:row>
          <xdr:rowOff>0</xdr:rowOff>
        </xdr:to>
        <xdr:sp macro="" textlink="">
          <xdr:nvSpPr>
            <xdr:cNvPr id="523267" name="DropDowns_Demo_Bis1" hidden="1">
              <a:extLst>
                <a:ext uri="{63B3BB69-23CF-44E3-9099-C40C66FF867C}">
                  <a14:compatExt spid="_x0000_s5232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4</xdr:row>
          <xdr:rowOff>0</xdr:rowOff>
        </xdr:from>
        <xdr:to>
          <xdr:col>9</xdr:col>
          <xdr:colOff>638175</xdr:colOff>
          <xdr:row>5</xdr:row>
          <xdr:rowOff>19050</xdr:rowOff>
        </xdr:to>
        <xdr:sp macro="" textlink="">
          <xdr:nvSpPr>
            <xdr:cNvPr id="523268" name="CheckBox_Demo_Bis1" hidden="1">
              <a:extLst>
                <a:ext uri="{63B3BB69-23CF-44E3-9099-C40C66FF867C}">
                  <a14:compatExt spid="_x0000_s52326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5</xdr:row>
          <xdr:rowOff>0</xdr:rowOff>
        </xdr:from>
        <xdr:to>
          <xdr:col>9</xdr:col>
          <xdr:colOff>0</xdr:colOff>
          <xdr:row>6</xdr:row>
          <xdr:rowOff>0</xdr:rowOff>
        </xdr:to>
        <xdr:sp macro="" textlink="">
          <xdr:nvSpPr>
            <xdr:cNvPr id="523269" name="DropDowns_Demo2" hidden="1">
              <a:extLst>
                <a:ext uri="{63B3BB69-23CF-44E3-9099-C40C66FF867C}">
                  <a14:compatExt spid="_x0000_s5232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5</xdr:row>
          <xdr:rowOff>0</xdr:rowOff>
        </xdr:from>
        <xdr:to>
          <xdr:col>9</xdr:col>
          <xdr:colOff>638175</xdr:colOff>
          <xdr:row>6</xdr:row>
          <xdr:rowOff>19050</xdr:rowOff>
        </xdr:to>
        <xdr:sp macro="" textlink="">
          <xdr:nvSpPr>
            <xdr:cNvPr id="523270" name="CheckBox_Demo2" hidden="1">
              <a:extLst>
                <a:ext uri="{63B3BB69-23CF-44E3-9099-C40C66FF867C}">
                  <a14:compatExt spid="_x0000_s5232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6</xdr:row>
          <xdr:rowOff>0</xdr:rowOff>
        </xdr:from>
        <xdr:to>
          <xdr:col>9</xdr:col>
          <xdr:colOff>0</xdr:colOff>
          <xdr:row>7</xdr:row>
          <xdr:rowOff>0</xdr:rowOff>
        </xdr:to>
        <xdr:sp macro="" textlink="">
          <xdr:nvSpPr>
            <xdr:cNvPr id="523271" name="DropDowns_Demo_Bis2" hidden="1">
              <a:extLst>
                <a:ext uri="{63B3BB69-23CF-44E3-9099-C40C66FF867C}">
                  <a14:compatExt spid="_x0000_s52327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6</xdr:row>
          <xdr:rowOff>0</xdr:rowOff>
        </xdr:from>
        <xdr:to>
          <xdr:col>9</xdr:col>
          <xdr:colOff>638175</xdr:colOff>
          <xdr:row>7</xdr:row>
          <xdr:rowOff>19050</xdr:rowOff>
        </xdr:to>
        <xdr:sp macro="" textlink="">
          <xdr:nvSpPr>
            <xdr:cNvPr id="523272" name="CheckBox_Demo_Bis2" hidden="1">
              <a:extLst>
                <a:ext uri="{63B3BB69-23CF-44E3-9099-C40C66FF867C}">
                  <a14:compatExt spid="_x0000_s52327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7</xdr:row>
          <xdr:rowOff>0</xdr:rowOff>
        </xdr:from>
        <xdr:to>
          <xdr:col>9</xdr:col>
          <xdr:colOff>0</xdr:colOff>
          <xdr:row>8</xdr:row>
          <xdr:rowOff>0</xdr:rowOff>
        </xdr:to>
        <xdr:sp macro="" textlink="">
          <xdr:nvSpPr>
            <xdr:cNvPr id="523273" name="DropDowns_Demo3" hidden="1">
              <a:extLst>
                <a:ext uri="{63B3BB69-23CF-44E3-9099-C40C66FF867C}">
                  <a14:compatExt spid="_x0000_s5232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7</xdr:row>
          <xdr:rowOff>0</xdr:rowOff>
        </xdr:from>
        <xdr:to>
          <xdr:col>9</xdr:col>
          <xdr:colOff>638175</xdr:colOff>
          <xdr:row>8</xdr:row>
          <xdr:rowOff>19050</xdr:rowOff>
        </xdr:to>
        <xdr:sp macro="" textlink="">
          <xdr:nvSpPr>
            <xdr:cNvPr id="523274" name="CheckBox_Demo3" hidden="1">
              <a:extLst>
                <a:ext uri="{63B3BB69-23CF-44E3-9099-C40C66FF867C}">
                  <a14:compatExt spid="_x0000_s5232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8</xdr:row>
          <xdr:rowOff>0</xdr:rowOff>
        </xdr:from>
        <xdr:to>
          <xdr:col>9</xdr:col>
          <xdr:colOff>0</xdr:colOff>
          <xdr:row>9</xdr:row>
          <xdr:rowOff>0</xdr:rowOff>
        </xdr:to>
        <xdr:sp macro="" textlink="">
          <xdr:nvSpPr>
            <xdr:cNvPr id="523275" name="DropDowns_Demo_Bis3" hidden="1">
              <a:extLst>
                <a:ext uri="{63B3BB69-23CF-44E3-9099-C40C66FF867C}">
                  <a14:compatExt spid="_x0000_s5232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8</xdr:row>
          <xdr:rowOff>0</xdr:rowOff>
        </xdr:from>
        <xdr:to>
          <xdr:col>9</xdr:col>
          <xdr:colOff>638175</xdr:colOff>
          <xdr:row>9</xdr:row>
          <xdr:rowOff>19050</xdr:rowOff>
        </xdr:to>
        <xdr:sp macro="" textlink="">
          <xdr:nvSpPr>
            <xdr:cNvPr id="523276" name="CheckBox_Demo_Bis3" hidden="1">
              <a:extLst>
                <a:ext uri="{63B3BB69-23CF-44E3-9099-C40C66FF867C}">
                  <a14:compatExt spid="_x0000_s52327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9</xdr:row>
          <xdr:rowOff>0</xdr:rowOff>
        </xdr:from>
        <xdr:to>
          <xdr:col>9</xdr:col>
          <xdr:colOff>0</xdr:colOff>
          <xdr:row>10</xdr:row>
          <xdr:rowOff>0</xdr:rowOff>
        </xdr:to>
        <xdr:sp macro="" textlink="">
          <xdr:nvSpPr>
            <xdr:cNvPr id="523277" name="DropDowns_Demo4" hidden="1">
              <a:extLst>
                <a:ext uri="{63B3BB69-23CF-44E3-9099-C40C66FF867C}">
                  <a14:compatExt spid="_x0000_s5232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9</xdr:row>
          <xdr:rowOff>0</xdr:rowOff>
        </xdr:from>
        <xdr:to>
          <xdr:col>9</xdr:col>
          <xdr:colOff>638175</xdr:colOff>
          <xdr:row>10</xdr:row>
          <xdr:rowOff>19050</xdr:rowOff>
        </xdr:to>
        <xdr:sp macro="" textlink="">
          <xdr:nvSpPr>
            <xdr:cNvPr id="523278" name="CheckBox_Demo4" hidden="1">
              <a:extLst>
                <a:ext uri="{63B3BB69-23CF-44E3-9099-C40C66FF867C}">
                  <a14:compatExt spid="_x0000_s5232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10</xdr:row>
          <xdr:rowOff>0</xdr:rowOff>
        </xdr:from>
        <xdr:to>
          <xdr:col>9</xdr:col>
          <xdr:colOff>0</xdr:colOff>
          <xdr:row>11</xdr:row>
          <xdr:rowOff>0</xdr:rowOff>
        </xdr:to>
        <xdr:sp macro="" textlink="">
          <xdr:nvSpPr>
            <xdr:cNvPr id="523279" name="DropDowns_Demo_Bis4" hidden="1">
              <a:extLst>
                <a:ext uri="{63B3BB69-23CF-44E3-9099-C40C66FF867C}">
                  <a14:compatExt spid="_x0000_s52327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10</xdr:row>
          <xdr:rowOff>0</xdr:rowOff>
        </xdr:from>
        <xdr:to>
          <xdr:col>9</xdr:col>
          <xdr:colOff>638175</xdr:colOff>
          <xdr:row>11</xdr:row>
          <xdr:rowOff>19050</xdr:rowOff>
        </xdr:to>
        <xdr:sp macro="" textlink="">
          <xdr:nvSpPr>
            <xdr:cNvPr id="523280" name="CheckBox_Demo_Bis4" hidden="1">
              <a:extLst>
                <a:ext uri="{63B3BB69-23CF-44E3-9099-C40C66FF867C}">
                  <a14:compatExt spid="_x0000_s52328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11</xdr:row>
          <xdr:rowOff>0</xdr:rowOff>
        </xdr:from>
        <xdr:to>
          <xdr:col>9</xdr:col>
          <xdr:colOff>0</xdr:colOff>
          <xdr:row>12</xdr:row>
          <xdr:rowOff>0</xdr:rowOff>
        </xdr:to>
        <xdr:sp macro="" textlink="">
          <xdr:nvSpPr>
            <xdr:cNvPr id="523281" name="DropDowns_Demo5" hidden="1">
              <a:extLst>
                <a:ext uri="{63B3BB69-23CF-44E3-9099-C40C66FF867C}">
                  <a14:compatExt spid="_x0000_s5232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11</xdr:row>
          <xdr:rowOff>0</xdr:rowOff>
        </xdr:from>
        <xdr:to>
          <xdr:col>9</xdr:col>
          <xdr:colOff>638175</xdr:colOff>
          <xdr:row>12</xdr:row>
          <xdr:rowOff>19050</xdr:rowOff>
        </xdr:to>
        <xdr:sp macro="" textlink="">
          <xdr:nvSpPr>
            <xdr:cNvPr id="523282" name="CheckBox_Demo5" hidden="1">
              <a:extLst>
                <a:ext uri="{63B3BB69-23CF-44E3-9099-C40C66FF867C}">
                  <a14:compatExt spid="_x0000_s52328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12</xdr:row>
          <xdr:rowOff>0</xdr:rowOff>
        </xdr:from>
        <xdr:to>
          <xdr:col>9</xdr:col>
          <xdr:colOff>0</xdr:colOff>
          <xdr:row>13</xdr:row>
          <xdr:rowOff>0</xdr:rowOff>
        </xdr:to>
        <xdr:sp macro="" textlink="">
          <xdr:nvSpPr>
            <xdr:cNvPr id="523283" name="DropDowns_Demo_Bis5" hidden="1">
              <a:extLst>
                <a:ext uri="{63B3BB69-23CF-44E3-9099-C40C66FF867C}">
                  <a14:compatExt spid="_x0000_s52328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12</xdr:row>
          <xdr:rowOff>0</xdr:rowOff>
        </xdr:from>
        <xdr:to>
          <xdr:col>9</xdr:col>
          <xdr:colOff>638175</xdr:colOff>
          <xdr:row>13</xdr:row>
          <xdr:rowOff>19050</xdr:rowOff>
        </xdr:to>
        <xdr:sp macro="" textlink="">
          <xdr:nvSpPr>
            <xdr:cNvPr id="523284" name="CheckBox_Demo_Bis5" hidden="1">
              <a:extLst>
                <a:ext uri="{63B3BB69-23CF-44E3-9099-C40C66FF867C}">
                  <a14:compatExt spid="_x0000_s52328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13</xdr:row>
          <xdr:rowOff>0</xdr:rowOff>
        </xdr:from>
        <xdr:to>
          <xdr:col>9</xdr:col>
          <xdr:colOff>0</xdr:colOff>
          <xdr:row>14</xdr:row>
          <xdr:rowOff>0</xdr:rowOff>
        </xdr:to>
        <xdr:sp macro="" textlink="">
          <xdr:nvSpPr>
            <xdr:cNvPr id="523285" name="DropDowns_Demo6" hidden="1">
              <a:extLst>
                <a:ext uri="{63B3BB69-23CF-44E3-9099-C40C66FF867C}">
                  <a14:compatExt spid="_x0000_s5232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13</xdr:row>
          <xdr:rowOff>0</xdr:rowOff>
        </xdr:from>
        <xdr:to>
          <xdr:col>9</xdr:col>
          <xdr:colOff>638175</xdr:colOff>
          <xdr:row>14</xdr:row>
          <xdr:rowOff>19050</xdr:rowOff>
        </xdr:to>
        <xdr:sp macro="" textlink="">
          <xdr:nvSpPr>
            <xdr:cNvPr id="523286" name="CheckBox_Demo6" hidden="1">
              <a:extLst>
                <a:ext uri="{63B3BB69-23CF-44E3-9099-C40C66FF867C}">
                  <a14:compatExt spid="_x0000_s52328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14</xdr:row>
          <xdr:rowOff>0</xdr:rowOff>
        </xdr:from>
        <xdr:to>
          <xdr:col>9</xdr:col>
          <xdr:colOff>0</xdr:colOff>
          <xdr:row>15</xdr:row>
          <xdr:rowOff>0</xdr:rowOff>
        </xdr:to>
        <xdr:sp macro="" textlink="">
          <xdr:nvSpPr>
            <xdr:cNvPr id="523287" name="DropDowns_Demo_Bis6" hidden="1">
              <a:extLst>
                <a:ext uri="{63B3BB69-23CF-44E3-9099-C40C66FF867C}">
                  <a14:compatExt spid="_x0000_s52328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14</xdr:row>
          <xdr:rowOff>0</xdr:rowOff>
        </xdr:from>
        <xdr:to>
          <xdr:col>9</xdr:col>
          <xdr:colOff>638175</xdr:colOff>
          <xdr:row>15</xdr:row>
          <xdr:rowOff>19050</xdr:rowOff>
        </xdr:to>
        <xdr:sp macro="" textlink="">
          <xdr:nvSpPr>
            <xdr:cNvPr id="523288" name="CheckBox_Demo_Bis6" hidden="1">
              <a:extLst>
                <a:ext uri="{63B3BB69-23CF-44E3-9099-C40C66FF867C}">
                  <a14:compatExt spid="_x0000_s52328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15</xdr:row>
          <xdr:rowOff>0</xdr:rowOff>
        </xdr:from>
        <xdr:to>
          <xdr:col>9</xdr:col>
          <xdr:colOff>0</xdr:colOff>
          <xdr:row>16</xdr:row>
          <xdr:rowOff>0</xdr:rowOff>
        </xdr:to>
        <xdr:sp macro="" textlink="">
          <xdr:nvSpPr>
            <xdr:cNvPr id="523289" name="DropDowns_Demo7" hidden="1">
              <a:extLst>
                <a:ext uri="{63B3BB69-23CF-44E3-9099-C40C66FF867C}">
                  <a14:compatExt spid="_x0000_s5232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15</xdr:row>
          <xdr:rowOff>0</xdr:rowOff>
        </xdr:from>
        <xdr:to>
          <xdr:col>9</xdr:col>
          <xdr:colOff>638175</xdr:colOff>
          <xdr:row>16</xdr:row>
          <xdr:rowOff>19050</xdr:rowOff>
        </xdr:to>
        <xdr:sp macro="" textlink="">
          <xdr:nvSpPr>
            <xdr:cNvPr id="523290" name="CheckBox_Demo7" hidden="1">
              <a:extLst>
                <a:ext uri="{63B3BB69-23CF-44E3-9099-C40C66FF867C}">
                  <a14:compatExt spid="_x0000_s5232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16</xdr:row>
          <xdr:rowOff>0</xdr:rowOff>
        </xdr:from>
        <xdr:to>
          <xdr:col>9</xdr:col>
          <xdr:colOff>0</xdr:colOff>
          <xdr:row>17</xdr:row>
          <xdr:rowOff>0</xdr:rowOff>
        </xdr:to>
        <xdr:sp macro="" textlink="">
          <xdr:nvSpPr>
            <xdr:cNvPr id="523291" name="DropDowns_Demo_Bis7" hidden="1">
              <a:extLst>
                <a:ext uri="{63B3BB69-23CF-44E3-9099-C40C66FF867C}">
                  <a14:compatExt spid="_x0000_s52329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16</xdr:row>
          <xdr:rowOff>0</xdr:rowOff>
        </xdr:from>
        <xdr:to>
          <xdr:col>9</xdr:col>
          <xdr:colOff>638175</xdr:colOff>
          <xdr:row>17</xdr:row>
          <xdr:rowOff>19050</xdr:rowOff>
        </xdr:to>
        <xdr:sp macro="" textlink="">
          <xdr:nvSpPr>
            <xdr:cNvPr id="523292" name="CheckBox_Demo_Bis7" hidden="1">
              <a:extLst>
                <a:ext uri="{63B3BB69-23CF-44E3-9099-C40C66FF867C}">
                  <a14:compatExt spid="_x0000_s52329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17</xdr:row>
          <xdr:rowOff>0</xdr:rowOff>
        </xdr:from>
        <xdr:to>
          <xdr:col>9</xdr:col>
          <xdr:colOff>0</xdr:colOff>
          <xdr:row>18</xdr:row>
          <xdr:rowOff>0</xdr:rowOff>
        </xdr:to>
        <xdr:sp macro="" textlink="">
          <xdr:nvSpPr>
            <xdr:cNvPr id="523293" name="DropDowns_Demo8" hidden="1">
              <a:extLst>
                <a:ext uri="{63B3BB69-23CF-44E3-9099-C40C66FF867C}">
                  <a14:compatExt spid="_x0000_s5232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17</xdr:row>
          <xdr:rowOff>0</xdr:rowOff>
        </xdr:from>
        <xdr:to>
          <xdr:col>9</xdr:col>
          <xdr:colOff>638175</xdr:colOff>
          <xdr:row>18</xdr:row>
          <xdr:rowOff>19050</xdr:rowOff>
        </xdr:to>
        <xdr:sp macro="" textlink="">
          <xdr:nvSpPr>
            <xdr:cNvPr id="523294" name="CheckBox_Demo8" hidden="1">
              <a:extLst>
                <a:ext uri="{63B3BB69-23CF-44E3-9099-C40C66FF867C}">
                  <a14:compatExt spid="_x0000_s5232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18</xdr:row>
          <xdr:rowOff>0</xdr:rowOff>
        </xdr:from>
        <xdr:to>
          <xdr:col>9</xdr:col>
          <xdr:colOff>0</xdr:colOff>
          <xdr:row>19</xdr:row>
          <xdr:rowOff>0</xdr:rowOff>
        </xdr:to>
        <xdr:sp macro="" textlink="">
          <xdr:nvSpPr>
            <xdr:cNvPr id="523295" name="DropDowns_Demo_Bis8" hidden="1">
              <a:extLst>
                <a:ext uri="{63B3BB69-23CF-44E3-9099-C40C66FF867C}">
                  <a14:compatExt spid="_x0000_s5232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18</xdr:row>
          <xdr:rowOff>0</xdr:rowOff>
        </xdr:from>
        <xdr:to>
          <xdr:col>9</xdr:col>
          <xdr:colOff>638175</xdr:colOff>
          <xdr:row>19</xdr:row>
          <xdr:rowOff>19050</xdr:rowOff>
        </xdr:to>
        <xdr:sp macro="" textlink="">
          <xdr:nvSpPr>
            <xdr:cNvPr id="523296" name="CheckBox_Demo_Bis8" hidden="1">
              <a:extLst>
                <a:ext uri="{63B3BB69-23CF-44E3-9099-C40C66FF867C}">
                  <a14:compatExt spid="_x0000_s52329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19</xdr:row>
          <xdr:rowOff>0</xdr:rowOff>
        </xdr:from>
        <xdr:to>
          <xdr:col>9</xdr:col>
          <xdr:colOff>0</xdr:colOff>
          <xdr:row>20</xdr:row>
          <xdr:rowOff>0</xdr:rowOff>
        </xdr:to>
        <xdr:sp macro="" textlink="">
          <xdr:nvSpPr>
            <xdr:cNvPr id="523297" name="DropDowns_Demo9" hidden="1">
              <a:extLst>
                <a:ext uri="{63B3BB69-23CF-44E3-9099-C40C66FF867C}">
                  <a14:compatExt spid="_x0000_s5232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19</xdr:row>
          <xdr:rowOff>0</xdr:rowOff>
        </xdr:from>
        <xdr:to>
          <xdr:col>9</xdr:col>
          <xdr:colOff>638175</xdr:colOff>
          <xdr:row>20</xdr:row>
          <xdr:rowOff>19050</xdr:rowOff>
        </xdr:to>
        <xdr:sp macro="" textlink="">
          <xdr:nvSpPr>
            <xdr:cNvPr id="523298" name="CheckBox_Demo9" hidden="1">
              <a:extLst>
                <a:ext uri="{63B3BB69-23CF-44E3-9099-C40C66FF867C}">
                  <a14:compatExt spid="_x0000_s5232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20</xdr:row>
          <xdr:rowOff>0</xdr:rowOff>
        </xdr:from>
        <xdr:to>
          <xdr:col>9</xdr:col>
          <xdr:colOff>0</xdr:colOff>
          <xdr:row>21</xdr:row>
          <xdr:rowOff>0</xdr:rowOff>
        </xdr:to>
        <xdr:sp macro="" textlink="">
          <xdr:nvSpPr>
            <xdr:cNvPr id="523299" name="DropDowns_Demo_Bis9" hidden="1">
              <a:extLst>
                <a:ext uri="{63B3BB69-23CF-44E3-9099-C40C66FF867C}">
                  <a14:compatExt spid="_x0000_s5232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20</xdr:row>
          <xdr:rowOff>0</xdr:rowOff>
        </xdr:from>
        <xdr:to>
          <xdr:col>9</xdr:col>
          <xdr:colOff>638175</xdr:colOff>
          <xdr:row>21</xdr:row>
          <xdr:rowOff>19050</xdr:rowOff>
        </xdr:to>
        <xdr:sp macro="" textlink="">
          <xdr:nvSpPr>
            <xdr:cNvPr id="523300" name="CheckBox_Demo_Bis9" hidden="1">
              <a:extLst>
                <a:ext uri="{63B3BB69-23CF-44E3-9099-C40C66FF867C}">
                  <a14:compatExt spid="_x0000_s52330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21</xdr:row>
          <xdr:rowOff>0</xdr:rowOff>
        </xdr:from>
        <xdr:to>
          <xdr:col>9</xdr:col>
          <xdr:colOff>0</xdr:colOff>
          <xdr:row>22</xdr:row>
          <xdr:rowOff>0</xdr:rowOff>
        </xdr:to>
        <xdr:sp macro="" textlink="">
          <xdr:nvSpPr>
            <xdr:cNvPr id="523301" name="DropDowns_Demo10" hidden="1">
              <a:extLst>
                <a:ext uri="{63B3BB69-23CF-44E3-9099-C40C66FF867C}">
                  <a14:compatExt spid="_x0000_s5233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21</xdr:row>
          <xdr:rowOff>0</xdr:rowOff>
        </xdr:from>
        <xdr:to>
          <xdr:col>9</xdr:col>
          <xdr:colOff>638175</xdr:colOff>
          <xdr:row>22</xdr:row>
          <xdr:rowOff>19050</xdr:rowOff>
        </xdr:to>
        <xdr:sp macro="" textlink="">
          <xdr:nvSpPr>
            <xdr:cNvPr id="523302" name="CheckBox_Demo10" hidden="1">
              <a:extLst>
                <a:ext uri="{63B3BB69-23CF-44E3-9099-C40C66FF867C}">
                  <a14:compatExt spid="_x0000_s5233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22</xdr:row>
          <xdr:rowOff>0</xdr:rowOff>
        </xdr:from>
        <xdr:to>
          <xdr:col>9</xdr:col>
          <xdr:colOff>0</xdr:colOff>
          <xdr:row>23</xdr:row>
          <xdr:rowOff>0</xdr:rowOff>
        </xdr:to>
        <xdr:sp macro="" textlink="">
          <xdr:nvSpPr>
            <xdr:cNvPr id="523303" name="DropDowns_Demo_Bis10" hidden="1">
              <a:extLst>
                <a:ext uri="{63B3BB69-23CF-44E3-9099-C40C66FF867C}">
                  <a14:compatExt spid="_x0000_s52330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22</xdr:row>
          <xdr:rowOff>0</xdr:rowOff>
        </xdr:from>
        <xdr:to>
          <xdr:col>9</xdr:col>
          <xdr:colOff>638175</xdr:colOff>
          <xdr:row>23</xdr:row>
          <xdr:rowOff>19050</xdr:rowOff>
        </xdr:to>
        <xdr:sp macro="" textlink="">
          <xdr:nvSpPr>
            <xdr:cNvPr id="523304" name="CheckBox_Demo_Bis10" hidden="1">
              <a:extLst>
                <a:ext uri="{63B3BB69-23CF-44E3-9099-C40C66FF867C}">
                  <a14:compatExt spid="_x0000_s5233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24</xdr:row>
          <xdr:rowOff>0</xdr:rowOff>
        </xdr:from>
        <xdr:to>
          <xdr:col>7</xdr:col>
          <xdr:colOff>0</xdr:colOff>
          <xdr:row>26</xdr:row>
          <xdr:rowOff>0</xdr:rowOff>
        </xdr:to>
        <xdr:sp macro="" textlink="">
          <xdr:nvSpPr>
            <xdr:cNvPr id="523305" name="Button 41" hidden="1">
              <a:extLst>
                <a:ext uri="{63B3BB69-23CF-44E3-9099-C40C66FF867C}">
                  <a14:compatExt spid="_x0000_s5233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AR" sz="1100" b="0" i="0" u="none" strike="noStrike" baseline="0">
                  <a:solidFill>
                    <a:srgbClr val="000000"/>
                  </a:solidFill>
                  <a:latin typeface="Calibri"/>
                </a:rPr>
                <a:t>Agregar Gráfico Unificado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24</xdr:row>
          <xdr:rowOff>0</xdr:rowOff>
        </xdr:from>
        <xdr:to>
          <xdr:col>10</xdr:col>
          <xdr:colOff>0</xdr:colOff>
          <xdr:row>26</xdr:row>
          <xdr:rowOff>0</xdr:rowOff>
        </xdr:to>
        <xdr:sp macro="" textlink="">
          <xdr:nvSpPr>
            <xdr:cNvPr id="523306" name="Button 42" hidden="1">
              <a:extLst>
                <a:ext uri="{63B3BB69-23CF-44E3-9099-C40C66FF867C}">
                  <a14:compatExt spid="_x0000_s5233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AR" sz="1100" b="0" i="0" u="none" strike="noStrike" baseline="0">
                  <a:solidFill>
                    <a:srgbClr val="000000"/>
                  </a:solidFill>
                  <a:latin typeface="Calibri"/>
                </a:rPr>
                <a:t>Generar Gráficos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27</xdr:row>
          <xdr:rowOff>0</xdr:rowOff>
        </xdr:from>
        <xdr:to>
          <xdr:col>10</xdr:col>
          <xdr:colOff>0</xdr:colOff>
          <xdr:row>29</xdr:row>
          <xdr:rowOff>0</xdr:rowOff>
        </xdr:to>
        <xdr:sp macro="" textlink="">
          <xdr:nvSpPr>
            <xdr:cNvPr id="523307" name="Button 43" hidden="1">
              <a:extLst>
                <a:ext uri="{63B3BB69-23CF-44E3-9099-C40C66FF867C}">
                  <a14:compatExt spid="_x0000_s52330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AR" sz="1100" b="0" i="0" u="none" strike="noStrike" baseline="0">
                  <a:solidFill>
                    <a:srgbClr val="000000"/>
                  </a:solidFill>
                  <a:latin typeface="Calibri"/>
                </a:rPr>
                <a:t>Limpiar Gráficos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75</xdr:row>
          <xdr:rowOff>180975</xdr:rowOff>
        </xdr:from>
        <xdr:to>
          <xdr:col>8</xdr:col>
          <xdr:colOff>0</xdr:colOff>
          <xdr:row>77</xdr:row>
          <xdr:rowOff>180975</xdr:rowOff>
        </xdr:to>
        <xdr:sp macro="" textlink="">
          <xdr:nvSpPr>
            <xdr:cNvPr id="238598" name="Button 6" hidden="1">
              <a:extLst>
                <a:ext uri="{63B3BB69-23CF-44E3-9099-C40C66FF867C}">
                  <a14:compatExt spid="_x0000_s238598"/>
                </a:ext>
                <a:ext uri="{FF2B5EF4-FFF2-40B4-BE49-F238E27FC236}">
                  <a16:creationId xmlns="" xmlns:a16="http://schemas.microsoft.com/office/drawing/2014/main" id="{00000000-0008-0000-0400-000006A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AR" sz="1100" b="0" i="0" u="none" strike="noStrike" baseline="0">
                  <a:solidFill>
                    <a:srgbClr val="000000"/>
                  </a:solidFill>
                  <a:latin typeface="Calibri"/>
                </a:rPr>
                <a:t>Generar Gráficos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79</xdr:row>
          <xdr:rowOff>9525</xdr:rowOff>
        </xdr:from>
        <xdr:to>
          <xdr:col>8</xdr:col>
          <xdr:colOff>0</xdr:colOff>
          <xdr:row>81</xdr:row>
          <xdr:rowOff>9525</xdr:rowOff>
        </xdr:to>
        <xdr:sp macro="" textlink="">
          <xdr:nvSpPr>
            <xdr:cNvPr id="238599" name="Button 7" hidden="1">
              <a:extLst>
                <a:ext uri="{63B3BB69-23CF-44E3-9099-C40C66FF867C}">
                  <a14:compatExt spid="_x0000_s238599"/>
                </a:ext>
                <a:ext uri="{FF2B5EF4-FFF2-40B4-BE49-F238E27FC236}">
                  <a16:creationId xmlns="" xmlns:a16="http://schemas.microsoft.com/office/drawing/2014/main" id="{00000000-0008-0000-0400-000007A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AR" sz="1100" b="0" i="0" u="none" strike="noStrike" baseline="0">
                  <a:solidFill>
                    <a:srgbClr val="000000"/>
                  </a:solidFill>
                  <a:latin typeface="Calibri"/>
                </a:rPr>
                <a:t>Limpiar Gráficos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20</xdr:row>
          <xdr:rowOff>0</xdr:rowOff>
        </xdr:from>
        <xdr:to>
          <xdr:col>6</xdr:col>
          <xdr:colOff>0</xdr:colOff>
          <xdr:row>22</xdr:row>
          <xdr:rowOff>0</xdr:rowOff>
        </xdr:to>
        <xdr:sp macro="" textlink="">
          <xdr:nvSpPr>
            <xdr:cNvPr id="267272" name="Button 8" hidden="1">
              <a:extLst>
                <a:ext uri="{63B3BB69-23CF-44E3-9099-C40C66FF867C}">
                  <a14:compatExt spid="_x0000_s26727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AR" sz="1100" b="0" i="0" u="none" strike="noStrike" baseline="0">
                  <a:solidFill>
                    <a:srgbClr val="000000"/>
                  </a:solidFill>
                  <a:latin typeface="Calibri"/>
                </a:rPr>
                <a:t>Generar Cuadro de Mando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23</xdr:row>
          <xdr:rowOff>0</xdr:rowOff>
        </xdr:from>
        <xdr:to>
          <xdr:col>6</xdr:col>
          <xdr:colOff>0</xdr:colOff>
          <xdr:row>25</xdr:row>
          <xdr:rowOff>0</xdr:rowOff>
        </xdr:to>
        <xdr:sp macro="" textlink="">
          <xdr:nvSpPr>
            <xdr:cNvPr id="267273" name="Button 9" hidden="1">
              <a:extLst>
                <a:ext uri="{63B3BB69-23CF-44E3-9099-C40C66FF867C}">
                  <a14:compatExt spid="_x0000_s2672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AR" sz="1100" b="0" i="0" u="none" strike="noStrike" baseline="0">
                  <a:solidFill>
                    <a:srgbClr val="000000"/>
                  </a:solidFill>
                  <a:latin typeface="Calibri"/>
                </a:rPr>
                <a:t>Limpiar Cuadro de Mando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113</xdr:row>
          <xdr:rowOff>0</xdr:rowOff>
        </xdr:from>
        <xdr:to>
          <xdr:col>10</xdr:col>
          <xdr:colOff>0</xdr:colOff>
          <xdr:row>115</xdr:row>
          <xdr:rowOff>0</xdr:rowOff>
        </xdr:to>
        <xdr:sp macro="" textlink="">
          <xdr:nvSpPr>
            <xdr:cNvPr id="267334" name="Button 70" hidden="1">
              <a:extLst>
                <a:ext uri="{63B3BB69-23CF-44E3-9099-C40C66FF867C}">
                  <a14:compatExt spid="_x0000_s2673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AR" sz="1100" b="0" i="0" u="none" strike="noStrike" baseline="0">
                  <a:solidFill>
                    <a:srgbClr val="000000"/>
                  </a:solidFill>
                  <a:latin typeface="Calibri"/>
                </a:rPr>
                <a:t>Generar PPT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0</xdr:row>
      <xdr:rowOff>0</xdr:rowOff>
    </xdr:from>
    <xdr:to>
      <xdr:col>10</xdr:col>
      <xdr:colOff>254000</xdr:colOff>
      <xdr:row>26</xdr:row>
      <xdr:rowOff>0</xdr:rowOff>
    </xdr:to>
    <xdr:grpSp>
      <xdr:nvGrpSpPr>
        <xdr:cNvPr id="4" name="GrafDemo2"/>
        <xdr:cNvGrpSpPr/>
      </xdr:nvGrpSpPr>
      <xdr:grpSpPr>
        <a:xfrm>
          <a:off x="2276475" y="0"/>
          <a:ext cx="11169650" cy="4953000"/>
          <a:chOff x="1524000" y="0"/>
          <a:chExt cx="6350000" cy="4953000"/>
        </a:xfrm>
      </xdr:grpSpPr>
      <xdr:graphicFrame macro="">
        <xdr:nvGraphicFramePr>
          <xdr:cNvPr id="2" name="GrafDemo2"/>
          <xdr:cNvGraphicFramePr/>
        </xdr:nvGraphicFramePr>
        <xdr:xfrm>
          <a:off x="1524000" y="0"/>
          <a:ext cx="6350000" cy="4953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"/>
          </a:graphicData>
        </a:graphic>
      </xdr:graphicFrame>
      <xdr:graphicFrame macro="">
        <xdr:nvGraphicFramePr>
          <xdr:cNvPr id="3" name="GrafDemo2_fondo"/>
          <xdr:cNvGraphicFramePr/>
        </xdr:nvGraphicFramePr>
        <xdr:xfrm>
          <a:off x="1524000" y="0"/>
          <a:ext cx="6350000" cy="4953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"/>
          </a:graphicData>
        </a:graphic>
      </xdr:graphicFrame>
    </xdr:grpSp>
    <xdr:clientData/>
  </xdr:twoCellAnchor>
  <xdr:twoCellAnchor editAs="oneCell">
    <xdr:from>
      <xdr:col>3</xdr:col>
      <xdr:colOff>0</xdr:colOff>
      <xdr:row>60</xdr:row>
      <xdr:rowOff>0</xdr:rowOff>
    </xdr:from>
    <xdr:to>
      <xdr:col>9</xdr:col>
      <xdr:colOff>1193800</xdr:colOff>
      <xdr:row>73</xdr:row>
      <xdr:rowOff>63500</xdr:rowOff>
    </xdr:to>
    <xdr:graphicFrame macro="">
      <xdr:nvGraphicFramePr>
        <xdr:cNvPr id="5" name="GrafDemo_Bis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</xdr:col>
      <xdr:colOff>0</xdr:colOff>
      <xdr:row>91</xdr:row>
      <xdr:rowOff>0</xdr:rowOff>
    </xdr:from>
    <xdr:to>
      <xdr:col>10</xdr:col>
      <xdr:colOff>254000</xdr:colOff>
      <xdr:row>117</xdr:row>
      <xdr:rowOff>0</xdr:rowOff>
    </xdr:to>
    <xdr:grpSp>
      <xdr:nvGrpSpPr>
        <xdr:cNvPr id="8" name="GrafDemo3"/>
        <xdr:cNvGrpSpPr/>
      </xdr:nvGrpSpPr>
      <xdr:grpSpPr>
        <a:xfrm>
          <a:off x="2276475" y="18316575"/>
          <a:ext cx="11169650" cy="4953000"/>
          <a:chOff x="1524000" y="18411825"/>
          <a:chExt cx="6350000" cy="4953000"/>
        </a:xfrm>
      </xdr:grpSpPr>
      <xdr:graphicFrame macro="">
        <xdr:nvGraphicFramePr>
          <xdr:cNvPr id="6" name="GrafDemo3"/>
          <xdr:cNvGraphicFramePr/>
        </xdr:nvGraphicFramePr>
        <xdr:xfrm>
          <a:off x="1524000" y="18411825"/>
          <a:ext cx="6350000" cy="4953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"/>
          </a:graphicData>
        </a:graphic>
      </xdr:graphicFrame>
      <xdr:graphicFrame macro="">
        <xdr:nvGraphicFramePr>
          <xdr:cNvPr id="7" name="GrafDemo3_fondo"/>
          <xdr:cNvGraphicFramePr/>
        </xdr:nvGraphicFramePr>
        <xdr:xfrm>
          <a:off x="1524000" y="18411825"/>
          <a:ext cx="6350000" cy="4953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5"/>
          </a:graphicData>
        </a:graphic>
      </xdr:graphicFrame>
    </xdr:grpSp>
    <xdr:clientData/>
  </xdr:twoCellAnchor>
  <xdr:twoCellAnchor editAs="oneCell">
    <xdr:from>
      <xdr:col>3</xdr:col>
      <xdr:colOff>0</xdr:colOff>
      <xdr:row>151</xdr:row>
      <xdr:rowOff>0</xdr:rowOff>
    </xdr:from>
    <xdr:to>
      <xdr:col>9</xdr:col>
      <xdr:colOff>1193800</xdr:colOff>
      <xdr:row>164</xdr:row>
      <xdr:rowOff>63500</xdr:rowOff>
    </xdr:to>
    <xdr:graphicFrame macro="">
      <xdr:nvGraphicFramePr>
        <xdr:cNvPr id="9" name="GrafDemo_Bis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</xdr:col>
      <xdr:colOff>0</xdr:colOff>
      <xdr:row>182</xdr:row>
      <xdr:rowOff>0</xdr:rowOff>
    </xdr:from>
    <xdr:to>
      <xdr:col>10</xdr:col>
      <xdr:colOff>254000</xdr:colOff>
      <xdr:row>208</xdr:row>
      <xdr:rowOff>0</xdr:rowOff>
    </xdr:to>
    <xdr:grpSp>
      <xdr:nvGrpSpPr>
        <xdr:cNvPr id="12" name="GrafDemo4"/>
        <xdr:cNvGrpSpPr/>
      </xdr:nvGrpSpPr>
      <xdr:grpSpPr>
        <a:xfrm>
          <a:off x="2276475" y="36633150"/>
          <a:ext cx="11169650" cy="4953000"/>
          <a:chOff x="1524000" y="36728400"/>
          <a:chExt cx="6350000" cy="4953000"/>
        </a:xfrm>
      </xdr:grpSpPr>
      <xdr:graphicFrame macro="">
        <xdr:nvGraphicFramePr>
          <xdr:cNvPr id="10" name="GrafDemo4"/>
          <xdr:cNvGraphicFramePr/>
        </xdr:nvGraphicFramePr>
        <xdr:xfrm>
          <a:off x="1524000" y="36728400"/>
          <a:ext cx="6350000" cy="4953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7"/>
          </a:graphicData>
        </a:graphic>
      </xdr:graphicFrame>
      <xdr:graphicFrame macro="">
        <xdr:nvGraphicFramePr>
          <xdr:cNvPr id="11" name="GrafDemo4_fondo"/>
          <xdr:cNvGraphicFramePr/>
        </xdr:nvGraphicFramePr>
        <xdr:xfrm>
          <a:off x="1524000" y="36728400"/>
          <a:ext cx="6350000" cy="4953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8"/>
          </a:graphicData>
        </a:graphic>
      </xdr:graphicFrame>
    </xdr:grpSp>
    <xdr:clientData/>
  </xdr:twoCellAnchor>
  <xdr:twoCellAnchor editAs="oneCell">
    <xdr:from>
      <xdr:col>3</xdr:col>
      <xdr:colOff>0</xdr:colOff>
      <xdr:row>242</xdr:row>
      <xdr:rowOff>0</xdr:rowOff>
    </xdr:from>
    <xdr:to>
      <xdr:col>9</xdr:col>
      <xdr:colOff>1193800</xdr:colOff>
      <xdr:row>255</xdr:row>
      <xdr:rowOff>63500</xdr:rowOff>
    </xdr:to>
    <xdr:graphicFrame macro="">
      <xdr:nvGraphicFramePr>
        <xdr:cNvPr id="13" name="GrafDemo_Bis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2</xdr:col>
      <xdr:colOff>0</xdr:colOff>
      <xdr:row>273</xdr:row>
      <xdr:rowOff>0</xdr:rowOff>
    </xdr:from>
    <xdr:to>
      <xdr:col>10</xdr:col>
      <xdr:colOff>254000</xdr:colOff>
      <xdr:row>299</xdr:row>
      <xdr:rowOff>0</xdr:rowOff>
    </xdr:to>
    <xdr:graphicFrame macro="">
      <xdr:nvGraphicFramePr>
        <xdr:cNvPr id="14" name="GrafDemo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 editAs="oneCell">
    <xdr:from>
      <xdr:col>3</xdr:col>
      <xdr:colOff>0</xdr:colOff>
      <xdr:row>303</xdr:row>
      <xdr:rowOff>0</xdr:rowOff>
    </xdr:from>
    <xdr:to>
      <xdr:col>9</xdr:col>
      <xdr:colOff>1193800</xdr:colOff>
      <xdr:row>316</xdr:row>
      <xdr:rowOff>63500</xdr:rowOff>
    </xdr:to>
    <xdr:graphicFrame macro="">
      <xdr:nvGraphicFramePr>
        <xdr:cNvPr id="15" name="GrafDemo_Bis5_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 editAs="oneCell">
    <xdr:from>
      <xdr:col>3</xdr:col>
      <xdr:colOff>0</xdr:colOff>
      <xdr:row>334</xdr:row>
      <xdr:rowOff>0</xdr:rowOff>
    </xdr:from>
    <xdr:to>
      <xdr:col>9</xdr:col>
      <xdr:colOff>1193800</xdr:colOff>
      <xdr:row>347</xdr:row>
      <xdr:rowOff>63500</xdr:rowOff>
    </xdr:to>
    <xdr:graphicFrame macro="">
      <xdr:nvGraphicFramePr>
        <xdr:cNvPr id="16" name="GrafDemo_Bis5_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2</xdr:col>
      <xdr:colOff>0</xdr:colOff>
      <xdr:row>365</xdr:row>
      <xdr:rowOff>0</xdr:rowOff>
    </xdr:from>
    <xdr:to>
      <xdr:col>10</xdr:col>
      <xdr:colOff>254000</xdr:colOff>
      <xdr:row>391</xdr:row>
      <xdr:rowOff>0</xdr:rowOff>
    </xdr:to>
    <xdr:grpSp>
      <xdr:nvGrpSpPr>
        <xdr:cNvPr id="19" name="GrafDemo6"/>
        <xdr:cNvGrpSpPr/>
      </xdr:nvGrpSpPr>
      <xdr:grpSpPr>
        <a:xfrm>
          <a:off x="2276475" y="75723750"/>
          <a:ext cx="11169650" cy="4953000"/>
          <a:chOff x="1524000" y="77104875"/>
          <a:chExt cx="6350000" cy="4953000"/>
        </a:xfrm>
      </xdr:grpSpPr>
      <xdr:graphicFrame macro="">
        <xdr:nvGraphicFramePr>
          <xdr:cNvPr id="17" name="GrafDemo6"/>
          <xdr:cNvGraphicFramePr/>
        </xdr:nvGraphicFramePr>
        <xdr:xfrm>
          <a:off x="1524000" y="77104875"/>
          <a:ext cx="6350000" cy="4953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3"/>
          </a:graphicData>
        </a:graphic>
      </xdr:graphicFrame>
      <xdr:graphicFrame macro="">
        <xdr:nvGraphicFramePr>
          <xdr:cNvPr id="18" name="GrafDemo6_fondo"/>
          <xdr:cNvGraphicFramePr/>
        </xdr:nvGraphicFramePr>
        <xdr:xfrm>
          <a:off x="1524000" y="77104875"/>
          <a:ext cx="6350000" cy="4953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4"/>
          </a:graphicData>
        </a:graphic>
      </xdr:graphicFrame>
    </xdr:grpSp>
    <xdr:clientData/>
  </xdr:twoCellAnchor>
  <xdr:twoCellAnchor editAs="oneCell">
    <xdr:from>
      <xdr:col>3</xdr:col>
      <xdr:colOff>0</xdr:colOff>
      <xdr:row>425</xdr:row>
      <xdr:rowOff>0</xdr:rowOff>
    </xdr:from>
    <xdr:to>
      <xdr:col>9</xdr:col>
      <xdr:colOff>1193800</xdr:colOff>
      <xdr:row>438</xdr:row>
      <xdr:rowOff>63500</xdr:rowOff>
    </xdr:to>
    <xdr:graphicFrame macro="">
      <xdr:nvGraphicFramePr>
        <xdr:cNvPr id="20" name="GrafDemo_Bis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2</xdr:col>
      <xdr:colOff>0</xdr:colOff>
      <xdr:row>456</xdr:row>
      <xdr:rowOff>0</xdr:rowOff>
    </xdr:from>
    <xdr:to>
      <xdr:col>10</xdr:col>
      <xdr:colOff>254000</xdr:colOff>
      <xdr:row>482</xdr:row>
      <xdr:rowOff>0</xdr:rowOff>
    </xdr:to>
    <xdr:graphicFrame macro="">
      <xdr:nvGraphicFramePr>
        <xdr:cNvPr id="21" name="GrafDemo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 editAs="oneCell">
    <xdr:from>
      <xdr:col>3</xdr:col>
      <xdr:colOff>0</xdr:colOff>
      <xdr:row>486</xdr:row>
      <xdr:rowOff>0</xdr:rowOff>
    </xdr:from>
    <xdr:to>
      <xdr:col>9</xdr:col>
      <xdr:colOff>1193800</xdr:colOff>
      <xdr:row>499</xdr:row>
      <xdr:rowOff>63500</xdr:rowOff>
    </xdr:to>
    <xdr:graphicFrame macro="">
      <xdr:nvGraphicFramePr>
        <xdr:cNvPr id="22" name="GrafDemo_Bis7_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 editAs="oneCell">
    <xdr:from>
      <xdr:col>3</xdr:col>
      <xdr:colOff>0</xdr:colOff>
      <xdr:row>517</xdr:row>
      <xdr:rowOff>0</xdr:rowOff>
    </xdr:from>
    <xdr:to>
      <xdr:col>9</xdr:col>
      <xdr:colOff>1193800</xdr:colOff>
      <xdr:row>530</xdr:row>
      <xdr:rowOff>63500</xdr:rowOff>
    </xdr:to>
    <xdr:graphicFrame macro="">
      <xdr:nvGraphicFramePr>
        <xdr:cNvPr id="23" name="GrafDemo_Bis7_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  <xdr:twoCellAnchor>
    <xdr:from>
      <xdr:col>2</xdr:col>
      <xdr:colOff>0</xdr:colOff>
      <xdr:row>548</xdr:row>
      <xdr:rowOff>0</xdr:rowOff>
    </xdr:from>
    <xdr:to>
      <xdr:col>10</xdr:col>
      <xdr:colOff>254000</xdr:colOff>
      <xdr:row>574</xdr:row>
      <xdr:rowOff>0</xdr:rowOff>
    </xdr:to>
    <xdr:grpSp>
      <xdr:nvGrpSpPr>
        <xdr:cNvPr id="26" name="GrafDemo8"/>
        <xdr:cNvGrpSpPr/>
      </xdr:nvGrpSpPr>
      <xdr:grpSpPr>
        <a:xfrm>
          <a:off x="2276475" y="113718975"/>
          <a:ext cx="11169650" cy="4953000"/>
          <a:chOff x="1524000" y="115481100"/>
          <a:chExt cx="6350000" cy="4953000"/>
        </a:xfrm>
      </xdr:grpSpPr>
      <xdr:graphicFrame macro="">
        <xdr:nvGraphicFramePr>
          <xdr:cNvPr id="24" name="GrafDemo8"/>
          <xdr:cNvGraphicFramePr/>
        </xdr:nvGraphicFramePr>
        <xdr:xfrm>
          <a:off x="1524000" y="115481100"/>
          <a:ext cx="6350000" cy="4953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9"/>
          </a:graphicData>
        </a:graphic>
      </xdr:graphicFrame>
      <xdr:graphicFrame macro="">
        <xdr:nvGraphicFramePr>
          <xdr:cNvPr id="25" name="GrafDemo8_fondo"/>
          <xdr:cNvGraphicFramePr/>
        </xdr:nvGraphicFramePr>
        <xdr:xfrm>
          <a:off x="1524000" y="115481100"/>
          <a:ext cx="6350000" cy="4953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0"/>
          </a:graphicData>
        </a:graphic>
      </xdr:graphicFrame>
    </xdr:grpSp>
    <xdr:clientData/>
  </xdr:twoCellAnchor>
  <xdr:twoCellAnchor editAs="oneCell">
    <xdr:from>
      <xdr:col>3</xdr:col>
      <xdr:colOff>0</xdr:colOff>
      <xdr:row>608</xdr:row>
      <xdr:rowOff>0</xdr:rowOff>
    </xdr:from>
    <xdr:to>
      <xdr:col>9</xdr:col>
      <xdr:colOff>1193800</xdr:colOff>
      <xdr:row>621</xdr:row>
      <xdr:rowOff>63500</xdr:rowOff>
    </xdr:to>
    <xdr:graphicFrame macro="">
      <xdr:nvGraphicFramePr>
        <xdr:cNvPr id="27" name="GrafDemo_Bis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xdr:graphicFrame>
    <xdr:clientData/>
  </xdr:twoCellAnchor>
  <xdr:twoCellAnchor>
    <xdr:from>
      <xdr:col>2</xdr:col>
      <xdr:colOff>0</xdr:colOff>
      <xdr:row>639</xdr:row>
      <xdr:rowOff>0</xdr:rowOff>
    </xdr:from>
    <xdr:to>
      <xdr:col>10</xdr:col>
      <xdr:colOff>254000</xdr:colOff>
      <xdr:row>665</xdr:row>
      <xdr:rowOff>0</xdr:rowOff>
    </xdr:to>
    <xdr:grpSp>
      <xdr:nvGrpSpPr>
        <xdr:cNvPr id="30" name="GrafDemo9"/>
        <xdr:cNvGrpSpPr/>
      </xdr:nvGrpSpPr>
      <xdr:grpSpPr>
        <a:xfrm>
          <a:off x="2276475" y="132035550"/>
          <a:ext cx="11169650" cy="4953000"/>
          <a:chOff x="1524000" y="133797675"/>
          <a:chExt cx="6350000" cy="4953000"/>
        </a:xfrm>
      </xdr:grpSpPr>
      <xdr:graphicFrame macro="">
        <xdr:nvGraphicFramePr>
          <xdr:cNvPr id="28" name="GrafDemo9"/>
          <xdr:cNvGraphicFramePr/>
        </xdr:nvGraphicFramePr>
        <xdr:xfrm>
          <a:off x="1524000" y="133797675"/>
          <a:ext cx="6350000" cy="4953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2"/>
          </a:graphicData>
        </a:graphic>
      </xdr:graphicFrame>
      <xdr:graphicFrame macro="">
        <xdr:nvGraphicFramePr>
          <xdr:cNvPr id="29" name="GrafDemo9_fondo"/>
          <xdr:cNvGraphicFramePr/>
        </xdr:nvGraphicFramePr>
        <xdr:xfrm>
          <a:off x="1524000" y="133797675"/>
          <a:ext cx="6350000" cy="4953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3"/>
          </a:graphicData>
        </a:graphic>
      </xdr:graphicFrame>
    </xdr:grpSp>
    <xdr:clientData/>
  </xdr:twoCellAnchor>
  <xdr:twoCellAnchor editAs="oneCell">
    <xdr:from>
      <xdr:col>3</xdr:col>
      <xdr:colOff>0</xdr:colOff>
      <xdr:row>699</xdr:row>
      <xdr:rowOff>0</xdr:rowOff>
    </xdr:from>
    <xdr:to>
      <xdr:col>9</xdr:col>
      <xdr:colOff>1193800</xdr:colOff>
      <xdr:row>712</xdr:row>
      <xdr:rowOff>63500</xdr:rowOff>
    </xdr:to>
    <xdr:graphicFrame macro="">
      <xdr:nvGraphicFramePr>
        <xdr:cNvPr id="31" name="GrafDemo_Bis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4"/>
        </a:graphicData>
      </a:graphic>
    </xdr:graphicFrame>
    <xdr:clientData/>
  </xdr:twoCellAnchor>
  <xdr:twoCellAnchor>
    <xdr:from>
      <xdr:col>2</xdr:col>
      <xdr:colOff>0</xdr:colOff>
      <xdr:row>730</xdr:row>
      <xdr:rowOff>0</xdr:rowOff>
    </xdr:from>
    <xdr:to>
      <xdr:col>10</xdr:col>
      <xdr:colOff>254000</xdr:colOff>
      <xdr:row>756</xdr:row>
      <xdr:rowOff>0</xdr:rowOff>
    </xdr:to>
    <xdr:grpSp>
      <xdr:nvGrpSpPr>
        <xdr:cNvPr id="34" name="GrafDemo10"/>
        <xdr:cNvGrpSpPr/>
      </xdr:nvGrpSpPr>
      <xdr:grpSpPr>
        <a:xfrm>
          <a:off x="2276475" y="150590250"/>
          <a:ext cx="11169650" cy="4953000"/>
          <a:chOff x="1524000" y="152781000"/>
          <a:chExt cx="6350000" cy="4953000"/>
        </a:xfrm>
      </xdr:grpSpPr>
      <xdr:graphicFrame macro="">
        <xdr:nvGraphicFramePr>
          <xdr:cNvPr id="32" name="GrafDemo10"/>
          <xdr:cNvGraphicFramePr/>
        </xdr:nvGraphicFramePr>
        <xdr:xfrm>
          <a:off x="1524000" y="152781000"/>
          <a:ext cx="6350000" cy="4953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5"/>
          </a:graphicData>
        </a:graphic>
      </xdr:graphicFrame>
      <xdr:graphicFrame macro="">
        <xdr:nvGraphicFramePr>
          <xdr:cNvPr id="33" name="GrafDemo10_fondo"/>
          <xdr:cNvGraphicFramePr/>
        </xdr:nvGraphicFramePr>
        <xdr:xfrm>
          <a:off x="1524000" y="152781000"/>
          <a:ext cx="6350000" cy="4953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6"/>
          </a:graphicData>
        </a:graphic>
      </xdr:graphicFrame>
    </xdr:grpSp>
    <xdr:clientData/>
  </xdr:twoCellAnchor>
  <xdr:twoCellAnchor editAs="oneCell">
    <xdr:from>
      <xdr:col>3</xdr:col>
      <xdr:colOff>0</xdr:colOff>
      <xdr:row>790</xdr:row>
      <xdr:rowOff>0</xdr:rowOff>
    </xdr:from>
    <xdr:to>
      <xdr:col>9</xdr:col>
      <xdr:colOff>1193800</xdr:colOff>
      <xdr:row>803</xdr:row>
      <xdr:rowOff>63500</xdr:rowOff>
    </xdr:to>
    <xdr:graphicFrame macro="">
      <xdr:nvGraphicFramePr>
        <xdr:cNvPr id="35" name="GrafDemo_Bis1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7"/>
        </a:graphicData>
      </a:graphic>
    </xdr:graphicFrame>
    <xdr:clientData/>
  </xdr:twoCellAnchor>
</xdr:wsDr>
</file>

<file path=xl/drawings/drawing6.xml><?xml version="1.0" encoding="utf-8"?>
<c:userShapes xmlns:c="http://schemas.openxmlformats.org/drawingml/2006/chart">
  <cdr:relSizeAnchor xmlns:cdr="http://schemas.openxmlformats.org/drawingml/2006/chartDrawing">
    <cdr:from>
      <cdr:x>0.18075</cdr:x>
      <cdr:y>0.92308</cdr:y>
    </cdr:from>
    <cdr:to>
      <cdr:x>0.73075</cdr:x>
      <cdr:y>1</cdr:y>
    </cdr:to>
    <cdr:sp macro="" textlink="">
      <cdr:nvSpPr>
        <cdr:cNvPr id="2" name="CuadroTexto 1"/>
        <cdr:cNvSpPr txBox="1"/>
      </cdr:nvSpPr>
      <cdr:spPr>
        <a:xfrm xmlns:a="http://schemas.openxmlformats.org/drawingml/2006/main">
          <a:off x="1147762" y="4703762"/>
          <a:ext cx="3492500" cy="381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200" i="1">
              <a:latin typeface="Arial" panose="020B0604020202020204" pitchFamily="34" charset="0"/>
              <a:cs typeface="Arial" panose="020B0604020202020204" pitchFamily="34" charset="0"/>
            </a:rPr>
            <a:t>Total de Respondentes: 4698</a:t>
          </a:r>
        </a:p>
      </cdr:txBody>
    </cdr:sp>
  </cdr:relSizeAnchor>
</c:userShapes>
</file>

<file path=xl/drawings/drawing7.xml><?xml version="1.0" encoding="utf-8"?>
<c:userShapes xmlns:c="http://schemas.openxmlformats.org/drawingml/2006/chart">
  <cdr:relSizeAnchor xmlns:cdr="http://schemas.openxmlformats.org/drawingml/2006/chartDrawing">
    <cdr:from>
      <cdr:x>0.00597</cdr:x>
      <cdr:y>0.20026</cdr:y>
    </cdr:from>
    <cdr:to>
      <cdr:x>0.05075</cdr:x>
      <cdr:y>0.30026</cdr:y>
    </cdr:to>
    <cdr:sp macro="" textlink="">
      <cdr:nvSpPr>
        <cdr:cNvPr id="2" name="TextBox_3_0"/>
        <cdr:cNvSpPr txBox="1"/>
      </cdr:nvSpPr>
      <cdr:spPr>
        <a:xfrm xmlns:a="http://schemas.openxmlformats.org/drawingml/2006/main">
          <a:off x="50800" y="508673"/>
          <a:ext cx="381000" cy="254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2400" b="1">
              <a:latin typeface="Arial" panose="020B0604020202020204" pitchFamily="34" charset="0"/>
            </a:rPr>
            <a:t>83</a:t>
          </a:r>
        </a:p>
      </cdr:txBody>
    </cdr:sp>
  </cdr:relSizeAnchor>
  <cdr:relSizeAnchor xmlns:cdr="http://schemas.openxmlformats.org/drawingml/2006/chartDrawing">
    <cdr:from>
      <cdr:x>0.02146</cdr:x>
      <cdr:y>0.92</cdr:y>
    </cdr:from>
    <cdr:to>
      <cdr:x>0.0731</cdr:x>
      <cdr:y>0.995</cdr:y>
    </cdr:to>
    <cdr:sp macro="" textlink="">
      <cdr:nvSpPr>
        <cdr:cNvPr id="3" name="CuadroTexto 2"/>
        <cdr:cNvSpPr txBox="1"/>
      </cdr:nvSpPr>
      <cdr:spPr>
        <a:xfrm xmlns:a="http://schemas.openxmlformats.org/drawingml/2006/main">
          <a:off x="182616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200">
              <a:solidFill>
                <a:srgbClr val="595959"/>
              </a:solidFill>
              <a:latin typeface="Arial" panose="020B0604020202020204" pitchFamily="34" charset="0"/>
            </a:rPr>
            <a:t>(249)</a:t>
          </a:r>
        </a:p>
      </cdr:txBody>
    </cdr:sp>
  </cdr:relSizeAnchor>
  <cdr:relSizeAnchor xmlns:cdr="http://schemas.openxmlformats.org/drawingml/2006/chartDrawing">
    <cdr:from>
      <cdr:x>0.08085</cdr:x>
      <cdr:y>0.92</cdr:y>
    </cdr:from>
    <cdr:to>
      <cdr:x>0.13248</cdr:x>
      <cdr:y>0.995</cdr:y>
    </cdr:to>
    <cdr:sp macro="" textlink="">
      <cdr:nvSpPr>
        <cdr:cNvPr id="4" name="CuadroTexto 3"/>
        <cdr:cNvSpPr txBox="1"/>
      </cdr:nvSpPr>
      <cdr:spPr>
        <a:xfrm xmlns:a="http://schemas.openxmlformats.org/drawingml/2006/main">
          <a:off x="687911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200">
              <a:solidFill>
                <a:srgbClr val="595959"/>
              </a:solidFill>
              <a:latin typeface="Arial" panose="020B0604020202020204" pitchFamily="34" charset="0"/>
            </a:rPr>
            <a:t>(292)</a:t>
          </a:r>
        </a:p>
      </cdr:txBody>
    </cdr:sp>
  </cdr:relSizeAnchor>
  <cdr:relSizeAnchor xmlns:cdr="http://schemas.openxmlformats.org/drawingml/2006/chartDrawing">
    <cdr:from>
      <cdr:x>0.16347</cdr:x>
      <cdr:y>0.92</cdr:y>
    </cdr:from>
    <cdr:to>
      <cdr:x>0.2151</cdr:x>
      <cdr:y>0.995</cdr:y>
    </cdr:to>
    <cdr:sp macro="" textlink="">
      <cdr:nvSpPr>
        <cdr:cNvPr id="5" name="CuadroTexto 4"/>
        <cdr:cNvSpPr txBox="1"/>
      </cdr:nvSpPr>
      <cdr:spPr>
        <a:xfrm xmlns:a="http://schemas.openxmlformats.org/drawingml/2006/main">
          <a:off x="1390930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200">
              <a:solidFill>
                <a:srgbClr val="595959"/>
              </a:solidFill>
              <a:latin typeface="Arial" panose="020B0604020202020204" pitchFamily="34" charset="0"/>
            </a:rPr>
            <a:t>(1965)</a:t>
          </a:r>
        </a:p>
      </cdr:txBody>
    </cdr:sp>
  </cdr:relSizeAnchor>
  <cdr:relSizeAnchor xmlns:cdr="http://schemas.openxmlformats.org/drawingml/2006/chartDrawing">
    <cdr:from>
      <cdr:x>0.22285</cdr:x>
      <cdr:y>0.92</cdr:y>
    </cdr:from>
    <cdr:to>
      <cdr:x>0.27449</cdr:x>
      <cdr:y>0.995</cdr:y>
    </cdr:to>
    <cdr:sp macro="" textlink="">
      <cdr:nvSpPr>
        <cdr:cNvPr id="6" name="CuadroTexto 5"/>
        <cdr:cNvSpPr txBox="1"/>
      </cdr:nvSpPr>
      <cdr:spPr>
        <a:xfrm xmlns:a="http://schemas.openxmlformats.org/drawingml/2006/main">
          <a:off x="1896225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200">
              <a:solidFill>
                <a:srgbClr val="595959"/>
              </a:solidFill>
              <a:latin typeface="Arial" panose="020B0604020202020204" pitchFamily="34" charset="0"/>
            </a:rPr>
            <a:t>(1996)</a:t>
          </a:r>
        </a:p>
      </cdr:txBody>
    </cdr:sp>
  </cdr:relSizeAnchor>
  <cdr:relSizeAnchor xmlns:cdr="http://schemas.openxmlformats.org/drawingml/2006/chartDrawing">
    <cdr:from>
      <cdr:x>0.30547</cdr:x>
      <cdr:y>0.92</cdr:y>
    </cdr:from>
    <cdr:to>
      <cdr:x>0.35711</cdr:x>
      <cdr:y>0.995</cdr:y>
    </cdr:to>
    <cdr:sp macro="" textlink="">
      <cdr:nvSpPr>
        <cdr:cNvPr id="7" name="CuadroTexto 6"/>
        <cdr:cNvSpPr txBox="1"/>
      </cdr:nvSpPr>
      <cdr:spPr>
        <a:xfrm xmlns:a="http://schemas.openxmlformats.org/drawingml/2006/main">
          <a:off x="2599245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200">
              <a:solidFill>
                <a:srgbClr val="595959"/>
              </a:solidFill>
              <a:latin typeface="Arial" panose="020B0604020202020204" pitchFamily="34" charset="0"/>
            </a:rPr>
            <a:t>(1426)</a:t>
          </a:r>
        </a:p>
      </cdr:txBody>
    </cdr:sp>
  </cdr:relSizeAnchor>
  <cdr:relSizeAnchor xmlns:cdr="http://schemas.openxmlformats.org/drawingml/2006/chartDrawing">
    <cdr:from>
      <cdr:x>0.36485</cdr:x>
      <cdr:y>0.92</cdr:y>
    </cdr:from>
    <cdr:to>
      <cdr:x>0.41649</cdr:x>
      <cdr:y>0.995</cdr:y>
    </cdr:to>
    <cdr:sp macro="" textlink="">
      <cdr:nvSpPr>
        <cdr:cNvPr id="8" name="CuadroTexto 7"/>
        <cdr:cNvSpPr txBox="1"/>
      </cdr:nvSpPr>
      <cdr:spPr>
        <a:xfrm xmlns:a="http://schemas.openxmlformats.org/drawingml/2006/main">
          <a:off x="3104540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200">
              <a:solidFill>
                <a:srgbClr val="595959"/>
              </a:solidFill>
              <a:latin typeface="Arial" panose="020B0604020202020204" pitchFamily="34" charset="0"/>
            </a:rPr>
            <a:t>(1426)</a:t>
          </a:r>
        </a:p>
      </cdr:txBody>
    </cdr:sp>
  </cdr:relSizeAnchor>
  <cdr:relSizeAnchor xmlns:cdr="http://schemas.openxmlformats.org/drawingml/2006/chartDrawing">
    <cdr:from>
      <cdr:x>0.44747</cdr:x>
      <cdr:y>0.92</cdr:y>
    </cdr:from>
    <cdr:to>
      <cdr:x>0.49911</cdr:x>
      <cdr:y>0.995</cdr:y>
    </cdr:to>
    <cdr:sp macro="" textlink="">
      <cdr:nvSpPr>
        <cdr:cNvPr id="9" name="CuadroTexto 8"/>
        <cdr:cNvSpPr txBox="1"/>
      </cdr:nvSpPr>
      <cdr:spPr>
        <a:xfrm xmlns:a="http://schemas.openxmlformats.org/drawingml/2006/main">
          <a:off x="3807559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200">
              <a:solidFill>
                <a:srgbClr val="595959"/>
              </a:solidFill>
              <a:latin typeface="Arial" panose="020B0604020202020204" pitchFamily="34" charset="0"/>
            </a:rPr>
            <a:t>(733)</a:t>
          </a:r>
        </a:p>
      </cdr:txBody>
    </cdr:sp>
  </cdr:relSizeAnchor>
  <cdr:relSizeAnchor xmlns:cdr="http://schemas.openxmlformats.org/drawingml/2006/chartDrawing">
    <cdr:from>
      <cdr:x>0.50686</cdr:x>
      <cdr:y>0.92</cdr:y>
    </cdr:from>
    <cdr:to>
      <cdr:x>0.5585</cdr:x>
      <cdr:y>0.995</cdr:y>
    </cdr:to>
    <cdr:sp macro="" textlink="">
      <cdr:nvSpPr>
        <cdr:cNvPr id="10" name="CuadroTexto 9"/>
        <cdr:cNvSpPr txBox="1"/>
      </cdr:nvSpPr>
      <cdr:spPr>
        <a:xfrm xmlns:a="http://schemas.openxmlformats.org/drawingml/2006/main">
          <a:off x="4312854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200">
              <a:solidFill>
                <a:srgbClr val="595959"/>
              </a:solidFill>
              <a:latin typeface="Arial" panose="020B0604020202020204" pitchFamily="34" charset="0"/>
            </a:rPr>
            <a:t>(736)</a:t>
          </a:r>
        </a:p>
      </cdr:txBody>
    </cdr:sp>
  </cdr:relSizeAnchor>
  <cdr:relSizeAnchor xmlns:cdr="http://schemas.openxmlformats.org/drawingml/2006/chartDrawing">
    <cdr:from>
      <cdr:x>0.58948</cdr:x>
      <cdr:y>0.92</cdr:y>
    </cdr:from>
    <cdr:to>
      <cdr:x>0.64112</cdr:x>
      <cdr:y>0.995</cdr:y>
    </cdr:to>
    <cdr:sp macro="" textlink="">
      <cdr:nvSpPr>
        <cdr:cNvPr id="11" name="CuadroTexto 10"/>
        <cdr:cNvSpPr txBox="1"/>
      </cdr:nvSpPr>
      <cdr:spPr>
        <a:xfrm xmlns:a="http://schemas.openxmlformats.org/drawingml/2006/main">
          <a:off x="5015873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200">
              <a:solidFill>
                <a:srgbClr val="595959"/>
              </a:solidFill>
              <a:latin typeface="Arial" panose="020B0604020202020204" pitchFamily="34" charset="0"/>
            </a:rPr>
            <a:t>(256)</a:t>
          </a:r>
        </a:p>
      </cdr:txBody>
    </cdr:sp>
  </cdr:relSizeAnchor>
  <cdr:relSizeAnchor xmlns:cdr="http://schemas.openxmlformats.org/drawingml/2006/chartDrawing">
    <cdr:from>
      <cdr:x>0.64886</cdr:x>
      <cdr:y>0.92</cdr:y>
    </cdr:from>
    <cdr:to>
      <cdr:x>0.7005</cdr:x>
      <cdr:y>0.995</cdr:y>
    </cdr:to>
    <cdr:sp macro="" textlink="">
      <cdr:nvSpPr>
        <cdr:cNvPr id="12" name="CuadroTexto 11"/>
        <cdr:cNvSpPr txBox="1"/>
      </cdr:nvSpPr>
      <cdr:spPr>
        <a:xfrm xmlns:a="http://schemas.openxmlformats.org/drawingml/2006/main">
          <a:off x="5521168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200">
              <a:solidFill>
                <a:srgbClr val="595959"/>
              </a:solidFill>
              <a:latin typeface="Arial" panose="020B0604020202020204" pitchFamily="34" charset="0"/>
            </a:rPr>
            <a:t>(248)</a:t>
          </a:r>
        </a:p>
      </cdr:txBody>
    </cdr:sp>
  </cdr:relSizeAnchor>
</c:userShapes>
</file>

<file path=xl/drawings/drawing8.xml><?xml version="1.0" encoding="utf-8"?>
<c:userShapes xmlns:c="http://schemas.openxmlformats.org/drawingml/2006/chart">
  <cdr:relSizeAnchor xmlns:cdr="http://schemas.openxmlformats.org/drawingml/2006/chartDrawing">
    <cdr:from>
      <cdr:x>0.18075</cdr:x>
      <cdr:y>0.92308</cdr:y>
    </cdr:from>
    <cdr:to>
      <cdr:x>0.73075</cdr:x>
      <cdr:y>1</cdr:y>
    </cdr:to>
    <cdr:sp macro="" textlink="">
      <cdr:nvSpPr>
        <cdr:cNvPr id="2" name="CuadroTexto 1"/>
        <cdr:cNvSpPr txBox="1"/>
      </cdr:nvSpPr>
      <cdr:spPr>
        <a:xfrm xmlns:a="http://schemas.openxmlformats.org/drawingml/2006/main">
          <a:off x="1147762" y="4703762"/>
          <a:ext cx="3492500" cy="381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200" i="1">
              <a:latin typeface="Arial" panose="020B0604020202020204" pitchFamily="34" charset="0"/>
              <a:cs typeface="Arial" panose="020B0604020202020204" pitchFamily="34" charset="0"/>
            </a:rPr>
            <a:t>Total de Respondentes: 4667</a:t>
          </a:r>
        </a:p>
      </cdr:txBody>
    </cdr:sp>
  </cdr:relSizeAnchor>
</c:userShapes>
</file>

<file path=xl/drawings/drawing9.xml><?xml version="1.0" encoding="utf-8"?>
<c:userShapes xmlns:c="http://schemas.openxmlformats.org/drawingml/2006/chart">
  <cdr:relSizeAnchor xmlns:cdr="http://schemas.openxmlformats.org/drawingml/2006/chartDrawing">
    <cdr:from>
      <cdr:x>0.00597</cdr:x>
      <cdr:y>0.27388</cdr:y>
    </cdr:from>
    <cdr:to>
      <cdr:x>0.05075</cdr:x>
      <cdr:y>0.37388</cdr:y>
    </cdr:to>
    <cdr:sp macro="" textlink="">
      <cdr:nvSpPr>
        <cdr:cNvPr id="2" name="TextBox_3_0"/>
        <cdr:cNvSpPr txBox="1"/>
      </cdr:nvSpPr>
      <cdr:spPr>
        <a:xfrm xmlns:a="http://schemas.openxmlformats.org/drawingml/2006/main">
          <a:off x="50800" y="695643"/>
          <a:ext cx="381000" cy="254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2400" b="1">
              <a:latin typeface="Arial" panose="020B0604020202020204" pitchFamily="34" charset="0"/>
            </a:rPr>
            <a:t>83</a:t>
          </a:r>
        </a:p>
      </cdr:txBody>
    </cdr:sp>
  </cdr:relSizeAnchor>
  <cdr:relSizeAnchor xmlns:cdr="http://schemas.openxmlformats.org/drawingml/2006/chartDrawing">
    <cdr:from>
      <cdr:x>0.02146</cdr:x>
      <cdr:y>0.92</cdr:y>
    </cdr:from>
    <cdr:to>
      <cdr:x>0.0731</cdr:x>
      <cdr:y>0.995</cdr:y>
    </cdr:to>
    <cdr:sp macro="" textlink="">
      <cdr:nvSpPr>
        <cdr:cNvPr id="3" name="CuadroTexto 2"/>
        <cdr:cNvSpPr txBox="1"/>
      </cdr:nvSpPr>
      <cdr:spPr>
        <a:xfrm xmlns:a="http://schemas.openxmlformats.org/drawingml/2006/main">
          <a:off x="182616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200">
              <a:solidFill>
                <a:srgbClr val="595959"/>
              </a:solidFill>
              <a:latin typeface="Arial" panose="020B0604020202020204" pitchFamily="34" charset="0"/>
            </a:rPr>
            <a:t>(2382)</a:t>
          </a:r>
        </a:p>
      </cdr:txBody>
    </cdr:sp>
  </cdr:relSizeAnchor>
  <cdr:relSizeAnchor xmlns:cdr="http://schemas.openxmlformats.org/drawingml/2006/chartDrawing">
    <cdr:from>
      <cdr:x>0.08085</cdr:x>
      <cdr:y>0.92</cdr:y>
    </cdr:from>
    <cdr:to>
      <cdr:x>0.13248</cdr:x>
      <cdr:y>0.995</cdr:y>
    </cdr:to>
    <cdr:sp macro="" textlink="">
      <cdr:nvSpPr>
        <cdr:cNvPr id="4" name="CuadroTexto 3"/>
        <cdr:cNvSpPr txBox="1"/>
      </cdr:nvSpPr>
      <cdr:spPr>
        <a:xfrm xmlns:a="http://schemas.openxmlformats.org/drawingml/2006/main">
          <a:off x="687911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200">
              <a:solidFill>
                <a:srgbClr val="595959"/>
              </a:solidFill>
              <a:latin typeface="Arial" panose="020B0604020202020204" pitchFamily="34" charset="0"/>
            </a:rPr>
            <a:t>(2476)</a:t>
          </a:r>
        </a:p>
      </cdr:txBody>
    </cdr:sp>
  </cdr:relSizeAnchor>
  <cdr:relSizeAnchor xmlns:cdr="http://schemas.openxmlformats.org/drawingml/2006/chartDrawing">
    <cdr:from>
      <cdr:x>0.16347</cdr:x>
      <cdr:y>0.92</cdr:y>
    </cdr:from>
    <cdr:to>
      <cdr:x>0.2151</cdr:x>
      <cdr:y>0.995</cdr:y>
    </cdr:to>
    <cdr:sp macro="" textlink="">
      <cdr:nvSpPr>
        <cdr:cNvPr id="5" name="CuadroTexto 4"/>
        <cdr:cNvSpPr txBox="1"/>
      </cdr:nvSpPr>
      <cdr:spPr>
        <a:xfrm xmlns:a="http://schemas.openxmlformats.org/drawingml/2006/main">
          <a:off x="1390930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200">
              <a:solidFill>
                <a:srgbClr val="595959"/>
              </a:solidFill>
              <a:latin typeface="Arial" panose="020B0604020202020204" pitchFamily="34" charset="0"/>
            </a:rPr>
            <a:t>(2218)</a:t>
          </a:r>
        </a:p>
      </cdr:txBody>
    </cdr:sp>
  </cdr:relSizeAnchor>
  <cdr:relSizeAnchor xmlns:cdr="http://schemas.openxmlformats.org/drawingml/2006/chartDrawing">
    <cdr:from>
      <cdr:x>0.22285</cdr:x>
      <cdr:y>0.92</cdr:y>
    </cdr:from>
    <cdr:to>
      <cdr:x>0.27449</cdr:x>
      <cdr:y>0.995</cdr:y>
    </cdr:to>
    <cdr:sp macro="" textlink="">
      <cdr:nvSpPr>
        <cdr:cNvPr id="6" name="CuadroTexto 5"/>
        <cdr:cNvSpPr txBox="1"/>
      </cdr:nvSpPr>
      <cdr:spPr>
        <a:xfrm xmlns:a="http://schemas.openxmlformats.org/drawingml/2006/main">
          <a:off x="1896225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200">
              <a:solidFill>
                <a:srgbClr val="595959"/>
              </a:solidFill>
              <a:latin typeface="Arial" panose="020B0604020202020204" pitchFamily="34" charset="0"/>
            </a:rPr>
            <a:t>(2191)</a:t>
          </a:r>
        </a:p>
      </cdr:txBody>
    </cdr:sp>
  </cdr:relSizeAnchor>
</c:userShapes>
</file>

<file path=xl/drawings/drawing10.xml><?xml version="1.0" encoding="utf-8"?>
<c:userShapes xmlns:c="http://schemas.openxmlformats.org/drawingml/2006/chart">
  <cdr:relSizeAnchor xmlns:cdr="http://schemas.openxmlformats.org/drawingml/2006/chartDrawing">
    <cdr:from>
      <cdr:x>0.18075</cdr:x>
      <cdr:y>0.92308</cdr:y>
    </cdr:from>
    <cdr:to>
      <cdr:x>0.73075</cdr:x>
      <cdr:y>1</cdr:y>
    </cdr:to>
    <cdr:sp macro="" textlink="">
      <cdr:nvSpPr>
        <cdr:cNvPr id="2" name="CuadroTexto 1"/>
        <cdr:cNvSpPr txBox="1"/>
      </cdr:nvSpPr>
      <cdr:spPr>
        <a:xfrm xmlns:a="http://schemas.openxmlformats.org/drawingml/2006/main">
          <a:off x="1147762" y="4703762"/>
          <a:ext cx="3492500" cy="381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200" i="1">
              <a:latin typeface="Arial" panose="020B0604020202020204" pitchFamily="34" charset="0"/>
              <a:cs typeface="Arial" panose="020B0604020202020204" pitchFamily="34" charset="0"/>
            </a:rPr>
            <a:t>Total de Respondentes: 4690</a:t>
          </a:r>
        </a:p>
      </cdr:txBody>
    </cdr:sp>
  </cdr:relSizeAnchor>
</c:userShapes>
</file>

<file path=xl/drawings/drawing11.xml><?xml version="1.0" encoding="utf-8"?>
<c:userShapes xmlns:c="http://schemas.openxmlformats.org/drawingml/2006/chart">
  <cdr:relSizeAnchor xmlns:cdr="http://schemas.openxmlformats.org/drawingml/2006/chartDrawing">
    <cdr:from>
      <cdr:x>0.00597</cdr:x>
      <cdr:y>0.20026</cdr:y>
    </cdr:from>
    <cdr:to>
      <cdr:x>0.05075</cdr:x>
      <cdr:y>0.30026</cdr:y>
    </cdr:to>
    <cdr:sp macro="" textlink="">
      <cdr:nvSpPr>
        <cdr:cNvPr id="2" name="TextBox_3_0"/>
        <cdr:cNvSpPr txBox="1"/>
      </cdr:nvSpPr>
      <cdr:spPr>
        <a:xfrm xmlns:a="http://schemas.openxmlformats.org/drawingml/2006/main">
          <a:off x="50800" y="508673"/>
          <a:ext cx="381000" cy="254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2400" b="1">
              <a:latin typeface="Arial" panose="020B0604020202020204" pitchFamily="34" charset="0"/>
            </a:rPr>
            <a:t>83</a:t>
          </a:r>
        </a:p>
      </cdr:txBody>
    </cdr:sp>
  </cdr:relSizeAnchor>
  <cdr:relSizeAnchor xmlns:cdr="http://schemas.openxmlformats.org/drawingml/2006/chartDrawing">
    <cdr:from>
      <cdr:x>0.02146</cdr:x>
      <cdr:y>0.92</cdr:y>
    </cdr:from>
    <cdr:to>
      <cdr:x>0.0731</cdr:x>
      <cdr:y>0.995</cdr:y>
    </cdr:to>
    <cdr:sp macro="" textlink="">
      <cdr:nvSpPr>
        <cdr:cNvPr id="3" name="CuadroTexto 2"/>
        <cdr:cNvSpPr txBox="1"/>
      </cdr:nvSpPr>
      <cdr:spPr>
        <a:xfrm xmlns:a="http://schemas.openxmlformats.org/drawingml/2006/main">
          <a:off x="182616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200">
              <a:solidFill>
                <a:srgbClr val="595959"/>
              </a:solidFill>
              <a:latin typeface="Arial" panose="020B0604020202020204" pitchFamily="34" charset="0"/>
            </a:rPr>
            <a:t>(14)</a:t>
          </a:r>
        </a:p>
      </cdr:txBody>
    </cdr:sp>
  </cdr:relSizeAnchor>
  <cdr:relSizeAnchor xmlns:cdr="http://schemas.openxmlformats.org/drawingml/2006/chartDrawing">
    <cdr:from>
      <cdr:x>0.08085</cdr:x>
      <cdr:y>0.92</cdr:y>
    </cdr:from>
    <cdr:to>
      <cdr:x>0.13248</cdr:x>
      <cdr:y>0.995</cdr:y>
    </cdr:to>
    <cdr:sp macro="" textlink="">
      <cdr:nvSpPr>
        <cdr:cNvPr id="4" name="CuadroTexto 3"/>
        <cdr:cNvSpPr txBox="1"/>
      </cdr:nvSpPr>
      <cdr:spPr>
        <a:xfrm xmlns:a="http://schemas.openxmlformats.org/drawingml/2006/main">
          <a:off x="687911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200">
              <a:solidFill>
                <a:srgbClr val="595959"/>
              </a:solidFill>
              <a:latin typeface="Arial" panose="020B0604020202020204" pitchFamily="34" charset="0"/>
            </a:rPr>
            <a:t>(12)</a:t>
          </a:r>
        </a:p>
      </cdr:txBody>
    </cdr:sp>
  </cdr:relSizeAnchor>
  <cdr:relSizeAnchor xmlns:cdr="http://schemas.openxmlformats.org/drawingml/2006/chartDrawing">
    <cdr:from>
      <cdr:x>0.16347</cdr:x>
      <cdr:y>0.92</cdr:y>
    </cdr:from>
    <cdr:to>
      <cdr:x>0.2151</cdr:x>
      <cdr:y>0.995</cdr:y>
    </cdr:to>
    <cdr:sp macro="" textlink="">
      <cdr:nvSpPr>
        <cdr:cNvPr id="5" name="CuadroTexto 4"/>
        <cdr:cNvSpPr txBox="1"/>
      </cdr:nvSpPr>
      <cdr:spPr>
        <a:xfrm xmlns:a="http://schemas.openxmlformats.org/drawingml/2006/main">
          <a:off x="1390930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200">
              <a:solidFill>
                <a:srgbClr val="595959"/>
              </a:solidFill>
              <a:latin typeface="Arial" panose="020B0604020202020204" pitchFamily="34" charset="0"/>
            </a:rPr>
            <a:t>(413)</a:t>
          </a:r>
        </a:p>
      </cdr:txBody>
    </cdr:sp>
  </cdr:relSizeAnchor>
  <cdr:relSizeAnchor xmlns:cdr="http://schemas.openxmlformats.org/drawingml/2006/chartDrawing">
    <cdr:from>
      <cdr:x>0.22285</cdr:x>
      <cdr:y>0.92</cdr:y>
    </cdr:from>
    <cdr:to>
      <cdr:x>0.27449</cdr:x>
      <cdr:y>0.995</cdr:y>
    </cdr:to>
    <cdr:sp macro="" textlink="">
      <cdr:nvSpPr>
        <cdr:cNvPr id="6" name="CuadroTexto 5"/>
        <cdr:cNvSpPr txBox="1"/>
      </cdr:nvSpPr>
      <cdr:spPr>
        <a:xfrm xmlns:a="http://schemas.openxmlformats.org/drawingml/2006/main">
          <a:off x="1896225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200">
              <a:solidFill>
                <a:srgbClr val="595959"/>
              </a:solidFill>
              <a:latin typeface="Arial" panose="020B0604020202020204" pitchFamily="34" charset="0"/>
            </a:rPr>
            <a:t>(360)</a:t>
          </a:r>
        </a:p>
      </cdr:txBody>
    </cdr:sp>
  </cdr:relSizeAnchor>
  <cdr:relSizeAnchor xmlns:cdr="http://schemas.openxmlformats.org/drawingml/2006/chartDrawing">
    <cdr:from>
      <cdr:x>0.30547</cdr:x>
      <cdr:y>0.92</cdr:y>
    </cdr:from>
    <cdr:to>
      <cdr:x>0.35711</cdr:x>
      <cdr:y>0.995</cdr:y>
    </cdr:to>
    <cdr:sp macro="" textlink="">
      <cdr:nvSpPr>
        <cdr:cNvPr id="7" name="CuadroTexto 6"/>
        <cdr:cNvSpPr txBox="1"/>
      </cdr:nvSpPr>
      <cdr:spPr>
        <a:xfrm xmlns:a="http://schemas.openxmlformats.org/drawingml/2006/main">
          <a:off x="2599245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200">
              <a:solidFill>
                <a:srgbClr val="595959"/>
              </a:solidFill>
              <a:latin typeface="Arial" panose="020B0604020202020204" pitchFamily="34" charset="0"/>
            </a:rPr>
            <a:t>(2318)</a:t>
          </a:r>
        </a:p>
      </cdr:txBody>
    </cdr:sp>
  </cdr:relSizeAnchor>
  <cdr:relSizeAnchor xmlns:cdr="http://schemas.openxmlformats.org/drawingml/2006/chartDrawing">
    <cdr:from>
      <cdr:x>0.36485</cdr:x>
      <cdr:y>0.92</cdr:y>
    </cdr:from>
    <cdr:to>
      <cdr:x>0.41649</cdr:x>
      <cdr:y>0.995</cdr:y>
    </cdr:to>
    <cdr:sp macro="" textlink="">
      <cdr:nvSpPr>
        <cdr:cNvPr id="8" name="CuadroTexto 7"/>
        <cdr:cNvSpPr txBox="1"/>
      </cdr:nvSpPr>
      <cdr:spPr>
        <a:xfrm xmlns:a="http://schemas.openxmlformats.org/drawingml/2006/main">
          <a:off x="3104540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200">
              <a:solidFill>
                <a:srgbClr val="595959"/>
              </a:solidFill>
              <a:latin typeface="Arial" panose="020B0604020202020204" pitchFamily="34" charset="0"/>
            </a:rPr>
            <a:t>(2276)</a:t>
          </a:r>
        </a:p>
      </cdr:txBody>
    </cdr:sp>
  </cdr:relSizeAnchor>
  <cdr:relSizeAnchor xmlns:cdr="http://schemas.openxmlformats.org/drawingml/2006/chartDrawing">
    <cdr:from>
      <cdr:x>0.44747</cdr:x>
      <cdr:y>0.92</cdr:y>
    </cdr:from>
    <cdr:to>
      <cdr:x>0.49911</cdr:x>
      <cdr:y>0.995</cdr:y>
    </cdr:to>
    <cdr:sp macro="" textlink="">
      <cdr:nvSpPr>
        <cdr:cNvPr id="9" name="CuadroTexto 8"/>
        <cdr:cNvSpPr txBox="1"/>
      </cdr:nvSpPr>
      <cdr:spPr>
        <a:xfrm xmlns:a="http://schemas.openxmlformats.org/drawingml/2006/main">
          <a:off x="3807559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200">
              <a:solidFill>
                <a:srgbClr val="595959"/>
              </a:solidFill>
              <a:latin typeface="Arial" panose="020B0604020202020204" pitchFamily="34" charset="0"/>
            </a:rPr>
            <a:t>(1467)</a:t>
          </a:r>
        </a:p>
      </cdr:txBody>
    </cdr:sp>
  </cdr:relSizeAnchor>
  <cdr:relSizeAnchor xmlns:cdr="http://schemas.openxmlformats.org/drawingml/2006/chartDrawing">
    <cdr:from>
      <cdr:x>0.50686</cdr:x>
      <cdr:y>0.92</cdr:y>
    </cdr:from>
    <cdr:to>
      <cdr:x>0.5585</cdr:x>
      <cdr:y>0.995</cdr:y>
    </cdr:to>
    <cdr:sp macro="" textlink="">
      <cdr:nvSpPr>
        <cdr:cNvPr id="10" name="CuadroTexto 9"/>
        <cdr:cNvSpPr txBox="1"/>
      </cdr:nvSpPr>
      <cdr:spPr>
        <a:xfrm xmlns:a="http://schemas.openxmlformats.org/drawingml/2006/main">
          <a:off x="4312854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200">
              <a:solidFill>
                <a:srgbClr val="595959"/>
              </a:solidFill>
              <a:latin typeface="Arial" panose="020B0604020202020204" pitchFamily="34" charset="0"/>
            </a:rPr>
            <a:t>(1542)</a:t>
          </a:r>
        </a:p>
      </cdr:txBody>
    </cdr:sp>
  </cdr:relSizeAnchor>
  <cdr:relSizeAnchor xmlns:cdr="http://schemas.openxmlformats.org/drawingml/2006/chartDrawing">
    <cdr:from>
      <cdr:x>0.58948</cdr:x>
      <cdr:y>0.92</cdr:y>
    </cdr:from>
    <cdr:to>
      <cdr:x>0.64112</cdr:x>
      <cdr:y>0.995</cdr:y>
    </cdr:to>
    <cdr:sp macro="" textlink="">
      <cdr:nvSpPr>
        <cdr:cNvPr id="11" name="CuadroTexto 10"/>
        <cdr:cNvSpPr txBox="1"/>
      </cdr:nvSpPr>
      <cdr:spPr>
        <a:xfrm xmlns:a="http://schemas.openxmlformats.org/drawingml/2006/main">
          <a:off x="5015873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200">
              <a:solidFill>
                <a:srgbClr val="595959"/>
              </a:solidFill>
              <a:latin typeface="Arial" panose="020B0604020202020204" pitchFamily="34" charset="0"/>
            </a:rPr>
            <a:t>(425)</a:t>
          </a:r>
        </a:p>
      </cdr:txBody>
    </cdr:sp>
  </cdr:relSizeAnchor>
  <cdr:relSizeAnchor xmlns:cdr="http://schemas.openxmlformats.org/drawingml/2006/chartDrawing">
    <cdr:from>
      <cdr:x>0.64886</cdr:x>
      <cdr:y>0.92</cdr:y>
    </cdr:from>
    <cdr:to>
      <cdr:x>0.7005</cdr:x>
      <cdr:y>0.995</cdr:y>
    </cdr:to>
    <cdr:sp macro="" textlink="">
      <cdr:nvSpPr>
        <cdr:cNvPr id="12" name="CuadroTexto 11"/>
        <cdr:cNvSpPr txBox="1"/>
      </cdr:nvSpPr>
      <cdr:spPr>
        <a:xfrm xmlns:a="http://schemas.openxmlformats.org/drawingml/2006/main">
          <a:off x="5521168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200">
              <a:solidFill>
                <a:srgbClr val="595959"/>
              </a:solidFill>
              <a:latin typeface="Arial" panose="020B0604020202020204" pitchFamily="34" charset="0"/>
            </a:rPr>
            <a:t>(500)</a:t>
          </a:r>
        </a:p>
      </cdr:txBody>
    </cdr:sp>
  </cdr:relSizeAnchor>
</c:userShapes>
</file>

<file path=xl/drawings/drawing12.xml><?xml version="1.0" encoding="utf-8"?>
<c:userShapes xmlns:c="http://schemas.openxmlformats.org/drawingml/2006/chart">
  <cdr:relSizeAnchor xmlns:cdr="http://schemas.openxmlformats.org/drawingml/2006/chartDrawing">
    <cdr:from>
      <cdr:x>0.022</cdr:x>
      <cdr:y>0.92308</cdr:y>
    </cdr:from>
    <cdr:to>
      <cdr:x>0.978</cdr:x>
      <cdr:y>1</cdr:y>
    </cdr:to>
    <cdr:sp macro="" textlink="">
      <cdr:nvSpPr>
        <cdr:cNvPr id="2" name="CuadroTexto 1"/>
        <cdr:cNvSpPr txBox="1"/>
      </cdr:nvSpPr>
      <cdr:spPr>
        <a:xfrm xmlns:a="http://schemas.openxmlformats.org/drawingml/2006/main">
          <a:off x="139700" y="5092700"/>
          <a:ext cx="6070600" cy="381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l"/>
          <a:r>
            <a:rPr lang="es-AR" sz="1200" i="1">
              <a:latin typeface="Arial" panose="020B0604020202020204" pitchFamily="34" charset="0"/>
              <a:cs typeface="Arial" panose="020B0604020202020204" pitchFamily="34" charset="0"/>
            </a:rPr>
            <a:t>Total de Respondentes: 4649</a:t>
          </a:r>
        </a:p>
      </cdr:txBody>
    </cdr:sp>
  </cdr:relSizeAnchor>
</c:userShapes>
</file>

<file path=xl/drawings/drawing13.xml><?xml version="1.0" encoding="utf-8"?>
<c:userShapes xmlns:c="http://schemas.openxmlformats.org/drawingml/2006/chart">
  <cdr:relSizeAnchor xmlns:cdr="http://schemas.openxmlformats.org/drawingml/2006/chartDrawing">
    <cdr:from>
      <cdr:x>0.00597</cdr:x>
      <cdr:y>0.31772</cdr:y>
    </cdr:from>
    <cdr:to>
      <cdr:x>0.05075</cdr:x>
      <cdr:y>0.41772</cdr:y>
    </cdr:to>
    <cdr:sp macro="" textlink="">
      <cdr:nvSpPr>
        <cdr:cNvPr id="2" name="TextBox_3_0"/>
        <cdr:cNvSpPr txBox="1"/>
      </cdr:nvSpPr>
      <cdr:spPr>
        <a:xfrm xmlns:a="http://schemas.openxmlformats.org/drawingml/2006/main">
          <a:off x="50800" y="807011"/>
          <a:ext cx="381000" cy="254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2400" b="1">
              <a:latin typeface="Arial" panose="020B0604020202020204" pitchFamily="34" charset="0"/>
            </a:rPr>
            <a:t>83</a:t>
          </a:r>
        </a:p>
      </cdr:txBody>
    </cdr:sp>
  </cdr:relSizeAnchor>
  <cdr:relSizeAnchor xmlns:cdr="http://schemas.openxmlformats.org/drawingml/2006/chartDrawing">
    <cdr:from>
      <cdr:x>0.02146</cdr:x>
      <cdr:y>0.92</cdr:y>
    </cdr:from>
    <cdr:to>
      <cdr:x>0.0731</cdr:x>
      <cdr:y>0.995</cdr:y>
    </cdr:to>
    <cdr:sp macro="" textlink="">
      <cdr:nvSpPr>
        <cdr:cNvPr id="3" name="CuadroTexto 2"/>
        <cdr:cNvSpPr txBox="1"/>
      </cdr:nvSpPr>
      <cdr:spPr>
        <a:xfrm xmlns:a="http://schemas.openxmlformats.org/drawingml/2006/main">
          <a:off x="182616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200">
              <a:solidFill>
                <a:srgbClr val="595959"/>
              </a:solidFill>
              <a:latin typeface="Arial" panose="020B0604020202020204" pitchFamily="34" charset="0"/>
            </a:rPr>
            <a:t>(65)</a:t>
          </a:r>
        </a:p>
      </cdr:txBody>
    </cdr:sp>
  </cdr:relSizeAnchor>
  <cdr:relSizeAnchor xmlns:cdr="http://schemas.openxmlformats.org/drawingml/2006/chartDrawing">
    <cdr:from>
      <cdr:x>0.08085</cdr:x>
      <cdr:y>0.92</cdr:y>
    </cdr:from>
    <cdr:to>
      <cdr:x>0.13248</cdr:x>
      <cdr:y>0.995</cdr:y>
    </cdr:to>
    <cdr:sp macro="" textlink="">
      <cdr:nvSpPr>
        <cdr:cNvPr id="4" name="CuadroTexto 3"/>
        <cdr:cNvSpPr txBox="1"/>
      </cdr:nvSpPr>
      <cdr:spPr>
        <a:xfrm xmlns:a="http://schemas.openxmlformats.org/drawingml/2006/main">
          <a:off x="687911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200">
              <a:solidFill>
                <a:srgbClr val="595959"/>
              </a:solidFill>
              <a:latin typeface="Arial" panose="020B0604020202020204" pitchFamily="34" charset="0"/>
            </a:rPr>
            <a:t>(74)</a:t>
          </a:r>
        </a:p>
      </cdr:txBody>
    </cdr:sp>
  </cdr:relSizeAnchor>
  <cdr:relSizeAnchor xmlns:cdr="http://schemas.openxmlformats.org/drawingml/2006/chartDrawing">
    <cdr:from>
      <cdr:x>0.16347</cdr:x>
      <cdr:y>0.92</cdr:y>
    </cdr:from>
    <cdr:to>
      <cdr:x>0.2151</cdr:x>
      <cdr:y>0.995</cdr:y>
    </cdr:to>
    <cdr:sp macro="" textlink="">
      <cdr:nvSpPr>
        <cdr:cNvPr id="5" name="CuadroTexto 4"/>
        <cdr:cNvSpPr txBox="1"/>
      </cdr:nvSpPr>
      <cdr:spPr>
        <a:xfrm xmlns:a="http://schemas.openxmlformats.org/drawingml/2006/main">
          <a:off x="1390930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200">
              <a:solidFill>
                <a:srgbClr val="595959"/>
              </a:solidFill>
              <a:latin typeface="Arial" panose="020B0604020202020204" pitchFamily="34" charset="0"/>
            </a:rPr>
            <a:t>(121)</a:t>
          </a:r>
        </a:p>
      </cdr:txBody>
    </cdr:sp>
  </cdr:relSizeAnchor>
  <cdr:relSizeAnchor xmlns:cdr="http://schemas.openxmlformats.org/drawingml/2006/chartDrawing">
    <cdr:from>
      <cdr:x>0.22285</cdr:x>
      <cdr:y>0.92</cdr:y>
    </cdr:from>
    <cdr:to>
      <cdr:x>0.27449</cdr:x>
      <cdr:y>0.995</cdr:y>
    </cdr:to>
    <cdr:sp macro="" textlink="">
      <cdr:nvSpPr>
        <cdr:cNvPr id="6" name="CuadroTexto 5"/>
        <cdr:cNvSpPr txBox="1"/>
      </cdr:nvSpPr>
      <cdr:spPr>
        <a:xfrm xmlns:a="http://schemas.openxmlformats.org/drawingml/2006/main">
          <a:off x="1896225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200">
              <a:solidFill>
                <a:srgbClr val="595959"/>
              </a:solidFill>
              <a:latin typeface="Arial" panose="020B0604020202020204" pitchFamily="34" charset="0"/>
            </a:rPr>
            <a:t>(139)</a:t>
          </a:r>
        </a:p>
      </cdr:txBody>
    </cdr:sp>
  </cdr:relSizeAnchor>
  <cdr:relSizeAnchor xmlns:cdr="http://schemas.openxmlformats.org/drawingml/2006/chartDrawing">
    <cdr:from>
      <cdr:x>0.30547</cdr:x>
      <cdr:y>0.92</cdr:y>
    </cdr:from>
    <cdr:to>
      <cdr:x>0.35711</cdr:x>
      <cdr:y>0.995</cdr:y>
    </cdr:to>
    <cdr:sp macro="" textlink="">
      <cdr:nvSpPr>
        <cdr:cNvPr id="7" name="CuadroTexto 6"/>
        <cdr:cNvSpPr txBox="1"/>
      </cdr:nvSpPr>
      <cdr:spPr>
        <a:xfrm xmlns:a="http://schemas.openxmlformats.org/drawingml/2006/main">
          <a:off x="2599245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200">
              <a:solidFill>
                <a:srgbClr val="595959"/>
              </a:solidFill>
              <a:latin typeface="Arial" panose="020B0604020202020204" pitchFamily="34" charset="0"/>
            </a:rPr>
            <a:t>(895)</a:t>
          </a:r>
        </a:p>
      </cdr:txBody>
    </cdr:sp>
  </cdr:relSizeAnchor>
  <cdr:relSizeAnchor xmlns:cdr="http://schemas.openxmlformats.org/drawingml/2006/chartDrawing">
    <cdr:from>
      <cdr:x>0.36485</cdr:x>
      <cdr:y>0.92</cdr:y>
    </cdr:from>
    <cdr:to>
      <cdr:x>0.41649</cdr:x>
      <cdr:y>0.995</cdr:y>
    </cdr:to>
    <cdr:sp macro="" textlink="">
      <cdr:nvSpPr>
        <cdr:cNvPr id="8" name="CuadroTexto 7"/>
        <cdr:cNvSpPr txBox="1"/>
      </cdr:nvSpPr>
      <cdr:spPr>
        <a:xfrm xmlns:a="http://schemas.openxmlformats.org/drawingml/2006/main">
          <a:off x="3104540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200">
              <a:solidFill>
                <a:srgbClr val="595959"/>
              </a:solidFill>
              <a:latin typeface="Arial" panose="020B0604020202020204" pitchFamily="34" charset="0"/>
            </a:rPr>
            <a:t>(979)</a:t>
          </a:r>
        </a:p>
      </cdr:txBody>
    </cdr:sp>
  </cdr:relSizeAnchor>
  <cdr:relSizeAnchor xmlns:cdr="http://schemas.openxmlformats.org/drawingml/2006/chartDrawing">
    <cdr:from>
      <cdr:x>0.44747</cdr:x>
      <cdr:y>0.92</cdr:y>
    </cdr:from>
    <cdr:to>
      <cdr:x>0.49911</cdr:x>
      <cdr:y>0.995</cdr:y>
    </cdr:to>
    <cdr:sp macro="" textlink="">
      <cdr:nvSpPr>
        <cdr:cNvPr id="9" name="CuadroTexto 8"/>
        <cdr:cNvSpPr txBox="1"/>
      </cdr:nvSpPr>
      <cdr:spPr>
        <a:xfrm xmlns:a="http://schemas.openxmlformats.org/drawingml/2006/main">
          <a:off x="3807559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200">
              <a:solidFill>
                <a:srgbClr val="595959"/>
              </a:solidFill>
              <a:latin typeface="Arial" panose="020B0604020202020204" pitchFamily="34" charset="0"/>
            </a:rPr>
            <a:t>(768)</a:t>
          </a:r>
        </a:p>
      </cdr:txBody>
    </cdr:sp>
  </cdr:relSizeAnchor>
  <cdr:relSizeAnchor xmlns:cdr="http://schemas.openxmlformats.org/drawingml/2006/chartDrawing">
    <cdr:from>
      <cdr:x>0.50686</cdr:x>
      <cdr:y>0.92</cdr:y>
    </cdr:from>
    <cdr:to>
      <cdr:x>0.5585</cdr:x>
      <cdr:y>0.995</cdr:y>
    </cdr:to>
    <cdr:sp macro="" textlink="">
      <cdr:nvSpPr>
        <cdr:cNvPr id="10" name="CuadroTexto 9"/>
        <cdr:cNvSpPr txBox="1"/>
      </cdr:nvSpPr>
      <cdr:spPr>
        <a:xfrm xmlns:a="http://schemas.openxmlformats.org/drawingml/2006/main">
          <a:off x="4312854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200">
              <a:solidFill>
                <a:srgbClr val="595959"/>
              </a:solidFill>
              <a:latin typeface="Arial" panose="020B0604020202020204" pitchFamily="34" charset="0"/>
            </a:rPr>
            <a:t>(794)</a:t>
          </a:r>
        </a:p>
      </cdr:txBody>
    </cdr:sp>
  </cdr:relSizeAnchor>
  <cdr:relSizeAnchor xmlns:cdr="http://schemas.openxmlformats.org/drawingml/2006/chartDrawing">
    <cdr:from>
      <cdr:x>0.58948</cdr:x>
      <cdr:y>0.92</cdr:y>
    </cdr:from>
    <cdr:to>
      <cdr:x>0.64112</cdr:x>
      <cdr:y>0.995</cdr:y>
    </cdr:to>
    <cdr:sp macro="" textlink="">
      <cdr:nvSpPr>
        <cdr:cNvPr id="11" name="CuadroTexto 10"/>
        <cdr:cNvSpPr txBox="1"/>
      </cdr:nvSpPr>
      <cdr:spPr>
        <a:xfrm xmlns:a="http://schemas.openxmlformats.org/drawingml/2006/main">
          <a:off x="5015873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200">
              <a:solidFill>
                <a:srgbClr val="595959"/>
              </a:solidFill>
              <a:latin typeface="Arial" panose="020B0604020202020204" pitchFamily="34" charset="0"/>
            </a:rPr>
            <a:t>(265)</a:t>
          </a:r>
        </a:p>
      </cdr:txBody>
    </cdr:sp>
  </cdr:relSizeAnchor>
  <cdr:relSizeAnchor xmlns:cdr="http://schemas.openxmlformats.org/drawingml/2006/chartDrawing">
    <cdr:from>
      <cdr:x>0.64886</cdr:x>
      <cdr:y>0.92</cdr:y>
    </cdr:from>
    <cdr:to>
      <cdr:x>0.7005</cdr:x>
      <cdr:y>0.995</cdr:y>
    </cdr:to>
    <cdr:sp macro="" textlink="">
      <cdr:nvSpPr>
        <cdr:cNvPr id="12" name="CuadroTexto 11"/>
        <cdr:cNvSpPr txBox="1"/>
      </cdr:nvSpPr>
      <cdr:spPr>
        <a:xfrm xmlns:a="http://schemas.openxmlformats.org/drawingml/2006/main">
          <a:off x="5521168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200">
              <a:solidFill>
                <a:srgbClr val="595959"/>
              </a:solidFill>
              <a:latin typeface="Arial" panose="020B0604020202020204" pitchFamily="34" charset="0"/>
            </a:rPr>
            <a:t>(386)</a:t>
          </a:r>
        </a:p>
      </cdr:txBody>
    </cdr:sp>
  </cdr:relSizeAnchor>
</c:userShapes>
</file>

<file path=xl/drawings/drawing14.xml><?xml version="1.0" encoding="utf-8"?>
<c:userShapes xmlns:c="http://schemas.openxmlformats.org/drawingml/2006/chart">
  <cdr:relSizeAnchor xmlns:cdr="http://schemas.openxmlformats.org/drawingml/2006/chartDrawing">
    <cdr:from>
      <cdr:x>0.00597</cdr:x>
      <cdr:y>0.12196</cdr:y>
    </cdr:from>
    <cdr:to>
      <cdr:x>0.05075</cdr:x>
      <cdr:y>0.22196</cdr:y>
    </cdr:to>
    <cdr:sp macro="" textlink="">
      <cdr:nvSpPr>
        <cdr:cNvPr id="2" name="TextBox_3_1"/>
        <cdr:cNvSpPr txBox="1"/>
      </cdr:nvSpPr>
      <cdr:spPr>
        <a:xfrm xmlns:a="http://schemas.openxmlformats.org/drawingml/2006/main">
          <a:off x="50800" y="309781"/>
          <a:ext cx="381000" cy="254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2400" b="1">
              <a:latin typeface="Arial" panose="020B0604020202020204" pitchFamily="34" charset="0"/>
            </a:rPr>
            <a:t>83</a:t>
          </a:r>
        </a:p>
      </cdr:txBody>
    </cdr:sp>
  </cdr:relSizeAnchor>
  <cdr:relSizeAnchor xmlns:cdr="http://schemas.openxmlformats.org/drawingml/2006/chartDrawing">
    <cdr:from>
      <cdr:x>0.02146</cdr:x>
      <cdr:y>0.92</cdr:y>
    </cdr:from>
    <cdr:to>
      <cdr:x>0.0731</cdr:x>
      <cdr:y>0.995</cdr:y>
    </cdr:to>
    <cdr:sp macro="" textlink="">
      <cdr:nvSpPr>
        <cdr:cNvPr id="3" name="CuadroTexto 2"/>
        <cdr:cNvSpPr txBox="1"/>
      </cdr:nvSpPr>
      <cdr:spPr>
        <a:xfrm xmlns:a="http://schemas.openxmlformats.org/drawingml/2006/main">
          <a:off x="182616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200">
              <a:solidFill>
                <a:srgbClr val="595959"/>
              </a:solidFill>
              <a:latin typeface="Arial" panose="020B0604020202020204" pitchFamily="34" charset="0"/>
            </a:rPr>
            <a:t>(519)</a:t>
          </a:r>
        </a:p>
      </cdr:txBody>
    </cdr:sp>
  </cdr:relSizeAnchor>
  <cdr:relSizeAnchor xmlns:cdr="http://schemas.openxmlformats.org/drawingml/2006/chartDrawing">
    <cdr:from>
      <cdr:x>0.08085</cdr:x>
      <cdr:y>0.92</cdr:y>
    </cdr:from>
    <cdr:to>
      <cdr:x>0.13248</cdr:x>
      <cdr:y>0.995</cdr:y>
    </cdr:to>
    <cdr:sp macro="" textlink="">
      <cdr:nvSpPr>
        <cdr:cNvPr id="4" name="CuadroTexto 3"/>
        <cdr:cNvSpPr txBox="1"/>
      </cdr:nvSpPr>
      <cdr:spPr>
        <a:xfrm xmlns:a="http://schemas.openxmlformats.org/drawingml/2006/main">
          <a:off x="687911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200">
              <a:solidFill>
                <a:srgbClr val="595959"/>
              </a:solidFill>
              <a:latin typeface="Arial" panose="020B0604020202020204" pitchFamily="34" charset="0"/>
            </a:rPr>
            <a:t>(426)</a:t>
          </a:r>
        </a:p>
      </cdr:txBody>
    </cdr:sp>
  </cdr:relSizeAnchor>
  <cdr:relSizeAnchor xmlns:cdr="http://schemas.openxmlformats.org/drawingml/2006/chartDrawing">
    <cdr:from>
      <cdr:x>0.16347</cdr:x>
      <cdr:y>0.92</cdr:y>
    </cdr:from>
    <cdr:to>
      <cdr:x>0.2151</cdr:x>
      <cdr:y>0.995</cdr:y>
    </cdr:to>
    <cdr:sp macro="" textlink="">
      <cdr:nvSpPr>
        <cdr:cNvPr id="5" name="CuadroTexto 4"/>
        <cdr:cNvSpPr txBox="1"/>
      </cdr:nvSpPr>
      <cdr:spPr>
        <a:xfrm xmlns:a="http://schemas.openxmlformats.org/drawingml/2006/main">
          <a:off x="1390930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200">
              <a:solidFill>
                <a:srgbClr val="595959"/>
              </a:solidFill>
              <a:latin typeface="Arial" panose="020B0604020202020204" pitchFamily="34" charset="0"/>
            </a:rPr>
            <a:t>(572)</a:t>
          </a:r>
        </a:p>
      </cdr:txBody>
    </cdr:sp>
  </cdr:relSizeAnchor>
  <cdr:relSizeAnchor xmlns:cdr="http://schemas.openxmlformats.org/drawingml/2006/chartDrawing">
    <cdr:from>
      <cdr:x>0.22285</cdr:x>
      <cdr:y>0.92</cdr:y>
    </cdr:from>
    <cdr:to>
      <cdr:x>0.27449</cdr:x>
      <cdr:y>0.995</cdr:y>
    </cdr:to>
    <cdr:sp macro="" textlink="">
      <cdr:nvSpPr>
        <cdr:cNvPr id="6" name="CuadroTexto 5"/>
        <cdr:cNvSpPr txBox="1"/>
      </cdr:nvSpPr>
      <cdr:spPr>
        <a:xfrm xmlns:a="http://schemas.openxmlformats.org/drawingml/2006/main">
          <a:off x="1896225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200">
              <a:solidFill>
                <a:srgbClr val="595959"/>
              </a:solidFill>
              <a:latin typeface="Arial" panose="020B0604020202020204" pitchFamily="34" charset="0"/>
            </a:rPr>
            <a:t>(536)</a:t>
          </a:r>
        </a:p>
      </cdr:txBody>
    </cdr:sp>
  </cdr:relSizeAnchor>
  <cdr:relSizeAnchor xmlns:cdr="http://schemas.openxmlformats.org/drawingml/2006/chartDrawing">
    <cdr:from>
      <cdr:x>0.30547</cdr:x>
      <cdr:y>0.92</cdr:y>
    </cdr:from>
    <cdr:to>
      <cdr:x>0.35711</cdr:x>
      <cdr:y>0.995</cdr:y>
    </cdr:to>
    <cdr:sp macro="" textlink="">
      <cdr:nvSpPr>
        <cdr:cNvPr id="7" name="CuadroTexto 6"/>
        <cdr:cNvSpPr txBox="1"/>
      </cdr:nvSpPr>
      <cdr:spPr>
        <a:xfrm xmlns:a="http://schemas.openxmlformats.org/drawingml/2006/main">
          <a:off x="2599245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200">
              <a:solidFill>
                <a:srgbClr val="595959"/>
              </a:solidFill>
              <a:latin typeface="Arial" panose="020B0604020202020204" pitchFamily="34" charset="0"/>
            </a:rPr>
            <a:t>(937)</a:t>
          </a:r>
        </a:p>
      </cdr:txBody>
    </cdr:sp>
  </cdr:relSizeAnchor>
  <cdr:relSizeAnchor xmlns:cdr="http://schemas.openxmlformats.org/drawingml/2006/chartDrawing">
    <cdr:from>
      <cdr:x>0.36485</cdr:x>
      <cdr:y>0.92</cdr:y>
    </cdr:from>
    <cdr:to>
      <cdr:x>0.41649</cdr:x>
      <cdr:y>0.995</cdr:y>
    </cdr:to>
    <cdr:sp macro="" textlink="">
      <cdr:nvSpPr>
        <cdr:cNvPr id="8" name="CuadroTexto 7"/>
        <cdr:cNvSpPr txBox="1"/>
      </cdr:nvSpPr>
      <cdr:spPr>
        <a:xfrm xmlns:a="http://schemas.openxmlformats.org/drawingml/2006/main">
          <a:off x="3104540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200">
              <a:solidFill>
                <a:srgbClr val="595959"/>
              </a:solidFill>
              <a:latin typeface="Arial" panose="020B0604020202020204" pitchFamily="34" charset="0"/>
            </a:rPr>
            <a:t>(877)</a:t>
          </a:r>
        </a:p>
      </cdr:txBody>
    </cdr:sp>
  </cdr:relSizeAnchor>
  <cdr:relSizeAnchor xmlns:cdr="http://schemas.openxmlformats.org/drawingml/2006/chartDrawing">
    <cdr:from>
      <cdr:x>0.44747</cdr:x>
      <cdr:y>0.92</cdr:y>
    </cdr:from>
    <cdr:to>
      <cdr:x>0.49911</cdr:x>
      <cdr:y>0.995</cdr:y>
    </cdr:to>
    <cdr:sp macro="" textlink="">
      <cdr:nvSpPr>
        <cdr:cNvPr id="9" name="CuadroTexto 8"/>
        <cdr:cNvSpPr txBox="1"/>
      </cdr:nvSpPr>
      <cdr:spPr>
        <a:xfrm xmlns:a="http://schemas.openxmlformats.org/drawingml/2006/main">
          <a:off x="3807559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200">
              <a:solidFill>
                <a:srgbClr val="595959"/>
              </a:solidFill>
              <a:latin typeface="Arial" panose="020B0604020202020204" pitchFamily="34" charset="0"/>
            </a:rPr>
            <a:t>(444)</a:t>
          </a:r>
        </a:p>
      </cdr:txBody>
    </cdr:sp>
  </cdr:relSizeAnchor>
  <cdr:relSizeAnchor xmlns:cdr="http://schemas.openxmlformats.org/drawingml/2006/chartDrawing">
    <cdr:from>
      <cdr:x>0.50686</cdr:x>
      <cdr:y>0.92</cdr:y>
    </cdr:from>
    <cdr:to>
      <cdr:x>0.5585</cdr:x>
      <cdr:y>0.995</cdr:y>
    </cdr:to>
    <cdr:sp macro="" textlink="">
      <cdr:nvSpPr>
        <cdr:cNvPr id="10" name="CuadroTexto 9"/>
        <cdr:cNvSpPr txBox="1"/>
      </cdr:nvSpPr>
      <cdr:spPr>
        <a:xfrm xmlns:a="http://schemas.openxmlformats.org/drawingml/2006/main">
          <a:off x="4312854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200">
              <a:solidFill>
                <a:srgbClr val="595959"/>
              </a:solidFill>
              <a:latin typeface="Arial" panose="020B0604020202020204" pitchFamily="34" charset="0"/>
            </a:rPr>
            <a:t>(396)</a:t>
          </a:r>
        </a:p>
      </cdr:txBody>
    </cdr:sp>
  </cdr:relSizeAnchor>
  <cdr:relSizeAnchor xmlns:cdr="http://schemas.openxmlformats.org/drawingml/2006/chartDrawing">
    <cdr:from>
      <cdr:x>0.58948</cdr:x>
      <cdr:y>0.92</cdr:y>
    </cdr:from>
    <cdr:to>
      <cdr:x>0.64112</cdr:x>
      <cdr:y>0.995</cdr:y>
    </cdr:to>
    <cdr:sp macro="" textlink="">
      <cdr:nvSpPr>
        <cdr:cNvPr id="11" name="CuadroTexto 10"/>
        <cdr:cNvSpPr txBox="1"/>
      </cdr:nvSpPr>
      <cdr:spPr>
        <a:xfrm xmlns:a="http://schemas.openxmlformats.org/drawingml/2006/main">
          <a:off x="5015873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200">
              <a:solidFill>
                <a:srgbClr val="595959"/>
              </a:solidFill>
              <a:latin typeface="Arial" panose="020B0604020202020204" pitchFamily="34" charset="0"/>
            </a:rPr>
            <a:t>(-)</a:t>
          </a:r>
        </a:p>
      </cdr:txBody>
    </cdr:sp>
  </cdr:relSizeAnchor>
  <cdr:relSizeAnchor xmlns:cdr="http://schemas.openxmlformats.org/drawingml/2006/chartDrawing">
    <cdr:from>
      <cdr:x>0.64886</cdr:x>
      <cdr:y>0.92</cdr:y>
    </cdr:from>
    <cdr:to>
      <cdr:x>0.7005</cdr:x>
      <cdr:y>0.995</cdr:y>
    </cdr:to>
    <cdr:sp macro="" textlink="">
      <cdr:nvSpPr>
        <cdr:cNvPr id="12" name="CuadroTexto 11"/>
        <cdr:cNvSpPr txBox="1"/>
      </cdr:nvSpPr>
      <cdr:spPr>
        <a:xfrm xmlns:a="http://schemas.openxmlformats.org/drawingml/2006/main">
          <a:off x="5521168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200">
              <a:solidFill>
                <a:srgbClr val="595959"/>
              </a:solidFill>
              <a:latin typeface="Arial" panose="020B0604020202020204" pitchFamily="34" charset="0"/>
            </a:rPr>
            <a:t>(42)</a:t>
          </a:r>
        </a:p>
      </cdr:txBody>
    </cdr:sp>
  </cdr:relSizeAnchor>
</c:userShapes>
</file>

<file path=xl/drawings/drawing15.xml><?xml version="1.0" encoding="utf-8"?>
<c:userShapes xmlns:c="http://schemas.openxmlformats.org/drawingml/2006/chart">
  <cdr:relSizeAnchor xmlns:cdr="http://schemas.openxmlformats.org/drawingml/2006/chartDrawing">
    <cdr:from>
      <cdr:x>0.18075</cdr:x>
      <cdr:y>0.92308</cdr:y>
    </cdr:from>
    <cdr:to>
      <cdr:x>0.73075</cdr:x>
      <cdr:y>1</cdr:y>
    </cdr:to>
    <cdr:sp macro="" textlink="">
      <cdr:nvSpPr>
        <cdr:cNvPr id="2" name="CuadroTexto 1"/>
        <cdr:cNvSpPr txBox="1"/>
      </cdr:nvSpPr>
      <cdr:spPr>
        <a:xfrm xmlns:a="http://schemas.openxmlformats.org/drawingml/2006/main">
          <a:off x="1147762" y="4703762"/>
          <a:ext cx="3492500" cy="381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200" i="1">
              <a:latin typeface="Arial" panose="020B0604020202020204" pitchFamily="34" charset="0"/>
              <a:cs typeface="Arial" panose="020B0604020202020204" pitchFamily="34" charset="0"/>
            </a:rPr>
            <a:t>Total de Respondentes: 4670</a:t>
          </a:r>
        </a:p>
      </cdr:txBody>
    </cdr:sp>
  </cdr:relSizeAnchor>
</c:userShapes>
</file>

<file path=xl/drawings/drawing16.xml><?xml version="1.0" encoding="utf-8"?>
<c:userShapes xmlns:c="http://schemas.openxmlformats.org/drawingml/2006/chart">
  <cdr:relSizeAnchor xmlns:cdr="http://schemas.openxmlformats.org/drawingml/2006/chartDrawing">
    <cdr:from>
      <cdr:x>0.00597</cdr:x>
      <cdr:y>0.39755</cdr:y>
    </cdr:from>
    <cdr:to>
      <cdr:x>0.05075</cdr:x>
      <cdr:y>0.49755</cdr:y>
    </cdr:to>
    <cdr:sp macro="" textlink="">
      <cdr:nvSpPr>
        <cdr:cNvPr id="2" name="TextBox_3_0"/>
        <cdr:cNvSpPr txBox="1"/>
      </cdr:nvSpPr>
      <cdr:spPr>
        <a:xfrm xmlns:a="http://schemas.openxmlformats.org/drawingml/2006/main">
          <a:off x="50800" y="1009777"/>
          <a:ext cx="381000" cy="254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2400" b="1">
              <a:latin typeface="Arial" panose="020B0604020202020204" pitchFamily="34" charset="0"/>
            </a:rPr>
            <a:t>83</a:t>
          </a:r>
        </a:p>
      </cdr:txBody>
    </cdr:sp>
  </cdr:relSizeAnchor>
  <cdr:relSizeAnchor xmlns:cdr="http://schemas.openxmlformats.org/drawingml/2006/chartDrawing">
    <cdr:from>
      <cdr:x>0.02146</cdr:x>
      <cdr:y>0.92</cdr:y>
    </cdr:from>
    <cdr:to>
      <cdr:x>0.0731</cdr:x>
      <cdr:y>0.995</cdr:y>
    </cdr:to>
    <cdr:sp macro="" textlink="">
      <cdr:nvSpPr>
        <cdr:cNvPr id="3" name="CuadroTexto 2"/>
        <cdr:cNvSpPr txBox="1"/>
      </cdr:nvSpPr>
      <cdr:spPr>
        <a:xfrm xmlns:a="http://schemas.openxmlformats.org/drawingml/2006/main">
          <a:off x="182616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200">
              <a:solidFill>
                <a:srgbClr val="595959"/>
              </a:solidFill>
              <a:latin typeface="Arial" panose="020B0604020202020204" pitchFamily="34" charset="0"/>
            </a:rPr>
            <a:t>(305)</a:t>
          </a:r>
        </a:p>
      </cdr:txBody>
    </cdr:sp>
  </cdr:relSizeAnchor>
  <cdr:relSizeAnchor xmlns:cdr="http://schemas.openxmlformats.org/drawingml/2006/chartDrawing">
    <cdr:from>
      <cdr:x>0.08085</cdr:x>
      <cdr:y>0.92</cdr:y>
    </cdr:from>
    <cdr:to>
      <cdr:x>0.13248</cdr:x>
      <cdr:y>0.995</cdr:y>
    </cdr:to>
    <cdr:sp macro="" textlink="">
      <cdr:nvSpPr>
        <cdr:cNvPr id="4" name="CuadroTexto 3"/>
        <cdr:cNvSpPr txBox="1"/>
      </cdr:nvSpPr>
      <cdr:spPr>
        <a:xfrm xmlns:a="http://schemas.openxmlformats.org/drawingml/2006/main">
          <a:off x="687911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200">
              <a:solidFill>
                <a:srgbClr val="595959"/>
              </a:solidFill>
              <a:latin typeface="Arial" panose="020B0604020202020204" pitchFamily="34" charset="0"/>
            </a:rPr>
            <a:t>(425)</a:t>
          </a:r>
        </a:p>
      </cdr:txBody>
    </cdr:sp>
  </cdr:relSizeAnchor>
  <cdr:relSizeAnchor xmlns:cdr="http://schemas.openxmlformats.org/drawingml/2006/chartDrawing">
    <cdr:from>
      <cdr:x>0.16347</cdr:x>
      <cdr:y>0.92</cdr:y>
    </cdr:from>
    <cdr:to>
      <cdr:x>0.2151</cdr:x>
      <cdr:y>0.995</cdr:y>
    </cdr:to>
    <cdr:sp macro="" textlink="">
      <cdr:nvSpPr>
        <cdr:cNvPr id="5" name="CuadroTexto 4"/>
        <cdr:cNvSpPr txBox="1"/>
      </cdr:nvSpPr>
      <cdr:spPr>
        <a:xfrm xmlns:a="http://schemas.openxmlformats.org/drawingml/2006/main">
          <a:off x="1390930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200">
              <a:solidFill>
                <a:srgbClr val="595959"/>
              </a:solidFill>
              <a:latin typeface="Arial" panose="020B0604020202020204" pitchFamily="34" charset="0"/>
            </a:rPr>
            <a:t>(1135)</a:t>
          </a:r>
        </a:p>
      </cdr:txBody>
    </cdr:sp>
  </cdr:relSizeAnchor>
  <cdr:relSizeAnchor xmlns:cdr="http://schemas.openxmlformats.org/drawingml/2006/chartDrawing">
    <cdr:from>
      <cdr:x>0.22285</cdr:x>
      <cdr:y>0.92</cdr:y>
    </cdr:from>
    <cdr:to>
      <cdr:x>0.27449</cdr:x>
      <cdr:y>0.995</cdr:y>
    </cdr:to>
    <cdr:sp macro="" textlink="">
      <cdr:nvSpPr>
        <cdr:cNvPr id="6" name="CuadroTexto 5"/>
        <cdr:cNvSpPr txBox="1"/>
      </cdr:nvSpPr>
      <cdr:spPr>
        <a:xfrm xmlns:a="http://schemas.openxmlformats.org/drawingml/2006/main">
          <a:off x="1896225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200">
              <a:solidFill>
                <a:srgbClr val="595959"/>
              </a:solidFill>
              <a:latin typeface="Arial" panose="020B0604020202020204" pitchFamily="34" charset="0"/>
            </a:rPr>
            <a:t>(1125)</a:t>
          </a:r>
        </a:p>
      </cdr:txBody>
    </cdr:sp>
  </cdr:relSizeAnchor>
  <cdr:relSizeAnchor xmlns:cdr="http://schemas.openxmlformats.org/drawingml/2006/chartDrawing">
    <cdr:from>
      <cdr:x>0.30547</cdr:x>
      <cdr:y>0.92</cdr:y>
    </cdr:from>
    <cdr:to>
      <cdr:x>0.35711</cdr:x>
      <cdr:y>0.995</cdr:y>
    </cdr:to>
    <cdr:sp macro="" textlink="">
      <cdr:nvSpPr>
        <cdr:cNvPr id="7" name="CuadroTexto 6"/>
        <cdr:cNvSpPr txBox="1"/>
      </cdr:nvSpPr>
      <cdr:spPr>
        <a:xfrm xmlns:a="http://schemas.openxmlformats.org/drawingml/2006/main">
          <a:off x="2599245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200">
              <a:solidFill>
                <a:srgbClr val="595959"/>
              </a:solidFill>
              <a:latin typeface="Arial" panose="020B0604020202020204" pitchFamily="34" charset="0"/>
            </a:rPr>
            <a:t>(1202)</a:t>
          </a:r>
        </a:p>
      </cdr:txBody>
    </cdr:sp>
  </cdr:relSizeAnchor>
  <cdr:relSizeAnchor xmlns:cdr="http://schemas.openxmlformats.org/drawingml/2006/chartDrawing">
    <cdr:from>
      <cdr:x>0.36485</cdr:x>
      <cdr:y>0.92</cdr:y>
    </cdr:from>
    <cdr:to>
      <cdr:x>0.41649</cdr:x>
      <cdr:y>0.995</cdr:y>
    </cdr:to>
    <cdr:sp macro="" textlink="">
      <cdr:nvSpPr>
        <cdr:cNvPr id="8" name="CuadroTexto 7"/>
        <cdr:cNvSpPr txBox="1"/>
      </cdr:nvSpPr>
      <cdr:spPr>
        <a:xfrm xmlns:a="http://schemas.openxmlformats.org/drawingml/2006/main">
          <a:off x="3104540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200">
              <a:solidFill>
                <a:srgbClr val="595959"/>
              </a:solidFill>
              <a:latin typeface="Arial" panose="020B0604020202020204" pitchFamily="34" charset="0"/>
            </a:rPr>
            <a:t>(1198)</a:t>
          </a:r>
        </a:p>
      </cdr:txBody>
    </cdr:sp>
  </cdr:relSizeAnchor>
  <cdr:relSizeAnchor xmlns:cdr="http://schemas.openxmlformats.org/drawingml/2006/chartDrawing">
    <cdr:from>
      <cdr:x>0.44747</cdr:x>
      <cdr:y>0.92</cdr:y>
    </cdr:from>
    <cdr:to>
      <cdr:x>0.49911</cdr:x>
      <cdr:y>0.995</cdr:y>
    </cdr:to>
    <cdr:sp macro="" textlink="">
      <cdr:nvSpPr>
        <cdr:cNvPr id="9" name="CuadroTexto 8"/>
        <cdr:cNvSpPr txBox="1"/>
      </cdr:nvSpPr>
      <cdr:spPr>
        <a:xfrm xmlns:a="http://schemas.openxmlformats.org/drawingml/2006/main">
          <a:off x="3807559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200">
              <a:solidFill>
                <a:srgbClr val="595959"/>
              </a:solidFill>
              <a:latin typeface="Arial" panose="020B0604020202020204" pitchFamily="34" charset="0"/>
            </a:rPr>
            <a:t>(481)</a:t>
          </a:r>
        </a:p>
      </cdr:txBody>
    </cdr:sp>
  </cdr:relSizeAnchor>
  <cdr:relSizeAnchor xmlns:cdr="http://schemas.openxmlformats.org/drawingml/2006/chartDrawing">
    <cdr:from>
      <cdr:x>0.50686</cdr:x>
      <cdr:y>0.92</cdr:y>
    </cdr:from>
    <cdr:to>
      <cdr:x>0.5585</cdr:x>
      <cdr:y>0.995</cdr:y>
    </cdr:to>
    <cdr:sp macro="" textlink="">
      <cdr:nvSpPr>
        <cdr:cNvPr id="10" name="CuadroTexto 9"/>
        <cdr:cNvSpPr txBox="1"/>
      </cdr:nvSpPr>
      <cdr:spPr>
        <a:xfrm xmlns:a="http://schemas.openxmlformats.org/drawingml/2006/main">
          <a:off x="4312854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200">
              <a:solidFill>
                <a:srgbClr val="595959"/>
              </a:solidFill>
              <a:latin typeface="Arial" panose="020B0604020202020204" pitchFamily="34" charset="0"/>
            </a:rPr>
            <a:t>(412)</a:t>
          </a:r>
        </a:p>
      </cdr:txBody>
    </cdr:sp>
  </cdr:relSizeAnchor>
  <cdr:relSizeAnchor xmlns:cdr="http://schemas.openxmlformats.org/drawingml/2006/chartDrawing">
    <cdr:from>
      <cdr:x>0.58948</cdr:x>
      <cdr:y>0.92</cdr:y>
    </cdr:from>
    <cdr:to>
      <cdr:x>0.64112</cdr:x>
      <cdr:y>0.995</cdr:y>
    </cdr:to>
    <cdr:sp macro="" textlink="">
      <cdr:nvSpPr>
        <cdr:cNvPr id="11" name="CuadroTexto 10"/>
        <cdr:cNvSpPr txBox="1"/>
      </cdr:nvSpPr>
      <cdr:spPr>
        <a:xfrm xmlns:a="http://schemas.openxmlformats.org/drawingml/2006/main">
          <a:off x="5015873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200">
              <a:solidFill>
                <a:srgbClr val="595959"/>
              </a:solidFill>
              <a:latin typeface="Arial" panose="020B0604020202020204" pitchFamily="34" charset="0"/>
            </a:rPr>
            <a:t>(715)</a:t>
          </a:r>
        </a:p>
      </cdr:txBody>
    </cdr:sp>
  </cdr:relSizeAnchor>
  <cdr:relSizeAnchor xmlns:cdr="http://schemas.openxmlformats.org/drawingml/2006/chartDrawing">
    <cdr:from>
      <cdr:x>0.64886</cdr:x>
      <cdr:y>0.92</cdr:y>
    </cdr:from>
    <cdr:to>
      <cdr:x>0.7005</cdr:x>
      <cdr:y>0.995</cdr:y>
    </cdr:to>
    <cdr:sp macro="" textlink="">
      <cdr:nvSpPr>
        <cdr:cNvPr id="12" name="CuadroTexto 11"/>
        <cdr:cNvSpPr txBox="1"/>
      </cdr:nvSpPr>
      <cdr:spPr>
        <a:xfrm xmlns:a="http://schemas.openxmlformats.org/drawingml/2006/main">
          <a:off x="5521168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200">
              <a:solidFill>
                <a:srgbClr val="595959"/>
              </a:solidFill>
              <a:latin typeface="Arial" panose="020B0604020202020204" pitchFamily="34" charset="0"/>
            </a:rPr>
            <a:t>(791)</a:t>
          </a:r>
        </a:p>
      </cdr:txBody>
    </cdr:sp>
  </cdr:relSizeAnchor>
  <cdr:relSizeAnchor xmlns:cdr="http://schemas.openxmlformats.org/drawingml/2006/chartDrawing">
    <cdr:from>
      <cdr:x>0.73148</cdr:x>
      <cdr:y>0.92</cdr:y>
    </cdr:from>
    <cdr:to>
      <cdr:x>0.78312</cdr:x>
      <cdr:y>0.995</cdr:y>
    </cdr:to>
    <cdr:sp macro="" textlink="">
      <cdr:nvSpPr>
        <cdr:cNvPr id="13" name="CuadroTexto 12"/>
        <cdr:cNvSpPr txBox="1"/>
      </cdr:nvSpPr>
      <cdr:spPr>
        <a:xfrm xmlns:a="http://schemas.openxmlformats.org/drawingml/2006/main">
          <a:off x="6224188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200">
              <a:solidFill>
                <a:srgbClr val="595959"/>
              </a:solidFill>
              <a:latin typeface="Arial" panose="020B0604020202020204" pitchFamily="34" charset="0"/>
            </a:rPr>
            <a:t>(773)</a:t>
          </a:r>
        </a:p>
      </cdr:txBody>
    </cdr:sp>
  </cdr:relSizeAnchor>
  <cdr:relSizeAnchor xmlns:cdr="http://schemas.openxmlformats.org/drawingml/2006/chartDrawing">
    <cdr:from>
      <cdr:x>0.79087</cdr:x>
      <cdr:y>0.92</cdr:y>
    </cdr:from>
    <cdr:to>
      <cdr:x>0.8425</cdr:x>
      <cdr:y>0.995</cdr:y>
    </cdr:to>
    <cdr:sp macro="" textlink="">
      <cdr:nvSpPr>
        <cdr:cNvPr id="14" name="CuadroTexto 13"/>
        <cdr:cNvSpPr txBox="1"/>
      </cdr:nvSpPr>
      <cdr:spPr>
        <a:xfrm xmlns:a="http://schemas.openxmlformats.org/drawingml/2006/main">
          <a:off x="6729483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200">
              <a:solidFill>
                <a:srgbClr val="595959"/>
              </a:solidFill>
              <a:latin typeface="Arial" panose="020B0604020202020204" pitchFamily="34" charset="0"/>
            </a:rPr>
            <a:t>(719)</a:t>
          </a:r>
        </a:p>
      </cdr:txBody>
    </cdr:sp>
  </cdr:relSizeAnchor>
</c:userShapes>
</file>

<file path=xl/drawings/drawing17.xml><?xml version="1.0" encoding="utf-8"?>
<c:userShapes xmlns:c="http://schemas.openxmlformats.org/drawingml/2006/chart">
  <cdr:relSizeAnchor xmlns:cdr="http://schemas.openxmlformats.org/drawingml/2006/chartDrawing">
    <cdr:from>
      <cdr:x>0.00597</cdr:x>
      <cdr:y>0.31772</cdr:y>
    </cdr:from>
    <cdr:to>
      <cdr:x>0.05075</cdr:x>
      <cdr:y>0.41772</cdr:y>
    </cdr:to>
    <cdr:sp macro="" textlink="">
      <cdr:nvSpPr>
        <cdr:cNvPr id="2" name="TextBox_3_0"/>
        <cdr:cNvSpPr txBox="1"/>
      </cdr:nvSpPr>
      <cdr:spPr>
        <a:xfrm xmlns:a="http://schemas.openxmlformats.org/drawingml/2006/main">
          <a:off x="50800" y="807011"/>
          <a:ext cx="381000" cy="254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2400" b="1">
              <a:latin typeface="Arial" panose="020B0604020202020204" pitchFamily="34" charset="0"/>
            </a:rPr>
            <a:t>83</a:t>
          </a:r>
        </a:p>
      </cdr:txBody>
    </cdr:sp>
  </cdr:relSizeAnchor>
  <cdr:relSizeAnchor xmlns:cdr="http://schemas.openxmlformats.org/drawingml/2006/chartDrawing">
    <cdr:from>
      <cdr:x>0.02146</cdr:x>
      <cdr:y>0.92</cdr:y>
    </cdr:from>
    <cdr:to>
      <cdr:x>0.0731</cdr:x>
      <cdr:y>0.995</cdr:y>
    </cdr:to>
    <cdr:sp macro="" textlink="">
      <cdr:nvSpPr>
        <cdr:cNvPr id="3" name="CuadroTexto 2"/>
        <cdr:cNvSpPr txBox="1"/>
      </cdr:nvSpPr>
      <cdr:spPr>
        <a:xfrm xmlns:a="http://schemas.openxmlformats.org/drawingml/2006/main">
          <a:off x="182616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200">
              <a:solidFill>
                <a:srgbClr val="595959"/>
              </a:solidFill>
              <a:latin typeface="Arial" panose="020B0604020202020204" pitchFamily="34" charset="0"/>
            </a:rPr>
            <a:t>(22)</a:t>
          </a:r>
        </a:p>
      </cdr:txBody>
    </cdr:sp>
  </cdr:relSizeAnchor>
  <cdr:relSizeAnchor xmlns:cdr="http://schemas.openxmlformats.org/drawingml/2006/chartDrawing">
    <cdr:from>
      <cdr:x>0.08085</cdr:x>
      <cdr:y>0.92</cdr:y>
    </cdr:from>
    <cdr:to>
      <cdr:x>0.13248</cdr:x>
      <cdr:y>0.995</cdr:y>
    </cdr:to>
    <cdr:sp macro="" textlink="">
      <cdr:nvSpPr>
        <cdr:cNvPr id="4" name="CuadroTexto 3"/>
        <cdr:cNvSpPr txBox="1"/>
      </cdr:nvSpPr>
      <cdr:spPr>
        <a:xfrm xmlns:a="http://schemas.openxmlformats.org/drawingml/2006/main">
          <a:off x="687911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200">
              <a:solidFill>
                <a:srgbClr val="595959"/>
              </a:solidFill>
              <a:latin typeface="Arial" panose="020B0604020202020204" pitchFamily="34" charset="0"/>
            </a:rPr>
            <a:t>(8)</a:t>
          </a:r>
        </a:p>
      </cdr:txBody>
    </cdr:sp>
  </cdr:relSizeAnchor>
  <cdr:relSizeAnchor xmlns:cdr="http://schemas.openxmlformats.org/drawingml/2006/chartDrawing">
    <cdr:from>
      <cdr:x>0.16347</cdr:x>
      <cdr:y>0.92</cdr:y>
    </cdr:from>
    <cdr:to>
      <cdr:x>0.2151</cdr:x>
      <cdr:y>0.995</cdr:y>
    </cdr:to>
    <cdr:sp macro="" textlink="">
      <cdr:nvSpPr>
        <cdr:cNvPr id="5" name="CuadroTexto 4"/>
        <cdr:cNvSpPr txBox="1"/>
      </cdr:nvSpPr>
      <cdr:spPr>
        <a:xfrm xmlns:a="http://schemas.openxmlformats.org/drawingml/2006/main">
          <a:off x="1390930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200">
              <a:solidFill>
                <a:srgbClr val="595959"/>
              </a:solidFill>
              <a:latin typeface="Arial" panose="020B0604020202020204" pitchFamily="34" charset="0"/>
            </a:rPr>
            <a:t>(10)</a:t>
          </a:r>
        </a:p>
      </cdr:txBody>
    </cdr:sp>
  </cdr:relSizeAnchor>
  <cdr:relSizeAnchor xmlns:cdr="http://schemas.openxmlformats.org/drawingml/2006/chartDrawing">
    <cdr:from>
      <cdr:x>0.22285</cdr:x>
      <cdr:y>0.92</cdr:y>
    </cdr:from>
    <cdr:to>
      <cdr:x>0.27449</cdr:x>
      <cdr:y>0.995</cdr:y>
    </cdr:to>
    <cdr:sp macro="" textlink="">
      <cdr:nvSpPr>
        <cdr:cNvPr id="6" name="CuadroTexto 5"/>
        <cdr:cNvSpPr txBox="1"/>
      </cdr:nvSpPr>
      <cdr:spPr>
        <a:xfrm xmlns:a="http://schemas.openxmlformats.org/drawingml/2006/main">
          <a:off x="1896225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200">
              <a:solidFill>
                <a:srgbClr val="595959"/>
              </a:solidFill>
              <a:latin typeface="Arial" panose="020B0604020202020204" pitchFamily="34" charset="0"/>
            </a:rPr>
            <a:t>(14)</a:t>
          </a:r>
        </a:p>
      </cdr:txBody>
    </cdr:sp>
  </cdr:relSizeAnchor>
  <cdr:relSizeAnchor xmlns:cdr="http://schemas.openxmlformats.org/drawingml/2006/chartDrawing">
    <cdr:from>
      <cdr:x>0.30547</cdr:x>
      <cdr:y>0.92</cdr:y>
    </cdr:from>
    <cdr:to>
      <cdr:x>0.35711</cdr:x>
      <cdr:y>0.995</cdr:y>
    </cdr:to>
    <cdr:sp macro="" textlink="">
      <cdr:nvSpPr>
        <cdr:cNvPr id="7" name="CuadroTexto 6"/>
        <cdr:cNvSpPr txBox="1"/>
      </cdr:nvSpPr>
      <cdr:spPr>
        <a:xfrm xmlns:a="http://schemas.openxmlformats.org/drawingml/2006/main">
          <a:off x="2599245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200">
              <a:solidFill>
                <a:srgbClr val="595959"/>
              </a:solidFill>
              <a:latin typeface="Arial" panose="020B0604020202020204" pitchFamily="34" charset="0"/>
            </a:rPr>
            <a:t>(47)</a:t>
          </a:r>
        </a:p>
      </cdr:txBody>
    </cdr:sp>
  </cdr:relSizeAnchor>
  <cdr:relSizeAnchor xmlns:cdr="http://schemas.openxmlformats.org/drawingml/2006/chartDrawing">
    <cdr:from>
      <cdr:x>0.36485</cdr:x>
      <cdr:y>0.92</cdr:y>
    </cdr:from>
    <cdr:to>
      <cdr:x>0.41649</cdr:x>
      <cdr:y>0.995</cdr:y>
    </cdr:to>
    <cdr:sp macro="" textlink="">
      <cdr:nvSpPr>
        <cdr:cNvPr id="8" name="CuadroTexto 7"/>
        <cdr:cNvSpPr txBox="1"/>
      </cdr:nvSpPr>
      <cdr:spPr>
        <a:xfrm xmlns:a="http://schemas.openxmlformats.org/drawingml/2006/main">
          <a:off x="3104540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200">
              <a:solidFill>
                <a:srgbClr val="595959"/>
              </a:solidFill>
              <a:latin typeface="Arial" panose="020B0604020202020204" pitchFamily="34" charset="0"/>
            </a:rPr>
            <a:t>(41)</a:t>
          </a:r>
        </a:p>
      </cdr:txBody>
    </cdr:sp>
  </cdr:relSizeAnchor>
  <cdr:relSizeAnchor xmlns:cdr="http://schemas.openxmlformats.org/drawingml/2006/chartDrawing">
    <cdr:from>
      <cdr:x>0.44747</cdr:x>
      <cdr:y>0.92</cdr:y>
    </cdr:from>
    <cdr:to>
      <cdr:x>0.49911</cdr:x>
      <cdr:y>0.995</cdr:y>
    </cdr:to>
    <cdr:sp macro="" textlink="">
      <cdr:nvSpPr>
        <cdr:cNvPr id="9" name="CuadroTexto 8"/>
        <cdr:cNvSpPr txBox="1"/>
      </cdr:nvSpPr>
      <cdr:spPr>
        <a:xfrm xmlns:a="http://schemas.openxmlformats.org/drawingml/2006/main">
          <a:off x="3807559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200">
              <a:solidFill>
                <a:srgbClr val="595959"/>
              </a:solidFill>
              <a:latin typeface="Arial" panose="020B0604020202020204" pitchFamily="34" charset="0"/>
            </a:rPr>
            <a:t>(187)</a:t>
          </a:r>
        </a:p>
      </cdr:txBody>
    </cdr:sp>
  </cdr:relSizeAnchor>
  <cdr:relSizeAnchor xmlns:cdr="http://schemas.openxmlformats.org/drawingml/2006/chartDrawing">
    <cdr:from>
      <cdr:x>0.50686</cdr:x>
      <cdr:y>0.92</cdr:y>
    </cdr:from>
    <cdr:to>
      <cdr:x>0.5585</cdr:x>
      <cdr:y>0.995</cdr:y>
    </cdr:to>
    <cdr:sp macro="" textlink="">
      <cdr:nvSpPr>
        <cdr:cNvPr id="10" name="CuadroTexto 9"/>
        <cdr:cNvSpPr txBox="1"/>
      </cdr:nvSpPr>
      <cdr:spPr>
        <a:xfrm xmlns:a="http://schemas.openxmlformats.org/drawingml/2006/main">
          <a:off x="4312854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200">
              <a:solidFill>
                <a:srgbClr val="595959"/>
              </a:solidFill>
              <a:latin typeface="Arial" panose="020B0604020202020204" pitchFamily="34" charset="0"/>
            </a:rPr>
            <a:t>(199)</a:t>
          </a:r>
        </a:p>
      </cdr:txBody>
    </cdr:sp>
  </cdr:relSizeAnchor>
  <cdr:relSizeAnchor xmlns:cdr="http://schemas.openxmlformats.org/drawingml/2006/chartDrawing">
    <cdr:from>
      <cdr:x>0.58948</cdr:x>
      <cdr:y>0.92</cdr:y>
    </cdr:from>
    <cdr:to>
      <cdr:x>0.64112</cdr:x>
      <cdr:y>0.995</cdr:y>
    </cdr:to>
    <cdr:sp macro="" textlink="">
      <cdr:nvSpPr>
        <cdr:cNvPr id="11" name="CuadroTexto 10"/>
        <cdr:cNvSpPr txBox="1"/>
      </cdr:nvSpPr>
      <cdr:spPr>
        <a:xfrm xmlns:a="http://schemas.openxmlformats.org/drawingml/2006/main">
          <a:off x="5015873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200">
              <a:solidFill>
                <a:srgbClr val="595959"/>
              </a:solidFill>
              <a:latin typeface="Arial" panose="020B0604020202020204" pitchFamily="34" charset="0"/>
            </a:rPr>
            <a:t>(2535)</a:t>
          </a:r>
        </a:p>
      </cdr:txBody>
    </cdr:sp>
  </cdr:relSizeAnchor>
  <cdr:relSizeAnchor xmlns:cdr="http://schemas.openxmlformats.org/drawingml/2006/chartDrawing">
    <cdr:from>
      <cdr:x>0.64886</cdr:x>
      <cdr:y>0.92</cdr:y>
    </cdr:from>
    <cdr:to>
      <cdr:x>0.7005</cdr:x>
      <cdr:y>0.995</cdr:y>
    </cdr:to>
    <cdr:sp macro="" textlink="">
      <cdr:nvSpPr>
        <cdr:cNvPr id="12" name="CuadroTexto 11"/>
        <cdr:cNvSpPr txBox="1"/>
      </cdr:nvSpPr>
      <cdr:spPr>
        <a:xfrm xmlns:a="http://schemas.openxmlformats.org/drawingml/2006/main">
          <a:off x="5521168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200">
              <a:solidFill>
                <a:srgbClr val="595959"/>
              </a:solidFill>
              <a:latin typeface="Arial" panose="020B0604020202020204" pitchFamily="34" charset="0"/>
            </a:rPr>
            <a:t>(2612)</a:t>
          </a:r>
        </a:p>
      </cdr:txBody>
    </cdr:sp>
  </cdr:relSizeAnchor>
  <cdr:relSizeAnchor xmlns:cdr="http://schemas.openxmlformats.org/drawingml/2006/chartDrawing">
    <cdr:from>
      <cdr:x>0.73148</cdr:x>
      <cdr:y>0.92</cdr:y>
    </cdr:from>
    <cdr:to>
      <cdr:x>0.78312</cdr:x>
      <cdr:y>0.995</cdr:y>
    </cdr:to>
    <cdr:sp macro="" textlink="">
      <cdr:nvSpPr>
        <cdr:cNvPr id="13" name="CuadroTexto 12"/>
        <cdr:cNvSpPr txBox="1"/>
      </cdr:nvSpPr>
      <cdr:spPr>
        <a:xfrm xmlns:a="http://schemas.openxmlformats.org/drawingml/2006/main">
          <a:off x="6224188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200">
              <a:solidFill>
                <a:srgbClr val="595959"/>
              </a:solidFill>
              <a:latin typeface="Arial" panose="020B0604020202020204" pitchFamily="34" charset="0"/>
            </a:rPr>
            <a:t>(89)</a:t>
          </a:r>
        </a:p>
      </cdr:txBody>
    </cdr:sp>
  </cdr:relSizeAnchor>
  <cdr:relSizeAnchor xmlns:cdr="http://schemas.openxmlformats.org/drawingml/2006/chartDrawing">
    <cdr:from>
      <cdr:x>0.79087</cdr:x>
      <cdr:y>0.92</cdr:y>
    </cdr:from>
    <cdr:to>
      <cdr:x>0.8425</cdr:x>
      <cdr:y>0.995</cdr:y>
    </cdr:to>
    <cdr:sp macro="" textlink="">
      <cdr:nvSpPr>
        <cdr:cNvPr id="14" name="CuadroTexto 13"/>
        <cdr:cNvSpPr txBox="1"/>
      </cdr:nvSpPr>
      <cdr:spPr>
        <a:xfrm xmlns:a="http://schemas.openxmlformats.org/drawingml/2006/main">
          <a:off x="6729483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200">
              <a:solidFill>
                <a:srgbClr val="595959"/>
              </a:solidFill>
              <a:latin typeface="Arial" panose="020B0604020202020204" pitchFamily="34" charset="0"/>
            </a:rPr>
            <a:t>(95)</a:t>
          </a:r>
        </a:p>
      </cdr:txBody>
    </cdr:sp>
  </cdr:relSizeAnchor>
  <cdr:relSizeAnchor xmlns:cdr="http://schemas.openxmlformats.org/drawingml/2006/chartDrawing">
    <cdr:from>
      <cdr:x>0.87349</cdr:x>
      <cdr:y>0.92</cdr:y>
    </cdr:from>
    <cdr:to>
      <cdr:x>0.92513</cdr:x>
      <cdr:y>0.995</cdr:y>
    </cdr:to>
    <cdr:sp macro="" textlink="">
      <cdr:nvSpPr>
        <cdr:cNvPr id="15" name="CuadroTexto 14"/>
        <cdr:cNvSpPr txBox="1"/>
      </cdr:nvSpPr>
      <cdr:spPr>
        <a:xfrm xmlns:a="http://schemas.openxmlformats.org/drawingml/2006/main">
          <a:off x="7432502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200">
              <a:solidFill>
                <a:srgbClr val="595959"/>
              </a:solidFill>
              <a:latin typeface="Arial" panose="020B0604020202020204" pitchFamily="34" charset="0"/>
            </a:rPr>
            <a:t>(-)</a:t>
          </a:r>
        </a:p>
      </cdr:txBody>
    </cdr:sp>
  </cdr:relSizeAnchor>
  <cdr:relSizeAnchor xmlns:cdr="http://schemas.openxmlformats.org/drawingml/2006/chartDrawing">
    <cdr:from>
      <cdr:x>0.93287</cdr:x>
      <cdr:y>0.92</cdr:y>
    </cdr:from>
    <cdr:to>
      <cdr:x>0.98451</cdr:x>
      <cdr:y>0.995</cdr:y>
    </cdr:to>
    <cdr:sp macro="" textlink="">
      <cdr:nvSpPr>
        <cdr:cNvPr id="16" name="CuadroTexto 15"/>
        <cdr:cNvSpPr txBox="1"/>
      </cdr:nvSpPr>
      <cdr:spPr>
        <a:xfrm xmlns:a="http://schemas.openxmlformats.org/drawingml/2006/main">
          <a:off x="7937797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200">
              <a:solidFill>
                <a:srgbClr val="595959"/>
              </a:solidFill>
              <a:latin typeface="Arial" panose="020B0604020202020204" pitchFamily="34" charset="0"/>
            </a:rPr>
            <a:t>(21)</a:t>
          </a:r>
        </a:p>
      </cdr:txBody>
    </cdr:sp>
  </cdr:relSizeAnchor>
</c:userShapes>
</file>

<file path=xl/drawings/drawing18.xml><?xml version="1.0" encoding="utf-8"?>
<c:userShapes xmlns:c="http://schemas.openxmlformats.org/drawingml/2006/chart">
  <cdr:relSizeAnchor xmlns:cdr="http://schemas.openxmlformats.org/drawingml/2006/chartDrawing">
    <cdr:from>
      <cdr:x>0.00597</cdr:x>
      <cdr:y>0.31772</cdr:y>
    </cdr:from>
    <cdr:to>
      <cdr:x>0.05075</cdr:x>
      <cdr:y>0.41772</cdr:y>
    </cdr:to>
    <cdr:sp macro="" textlink="">
      <cdr:nvSpPr>
        <cdr:cNvPr id="2" name="TextBox_3_1"/>
        <cdr:cNvSpPr txBox="1"/>
      </cdr:nvSpPr>
      <cdr:spPr>
        <a:xfrm xmlns:a="http://schemas.openxmlformats.org/drawingml/2006/main">
          <a:off x="50800" y="807011"/>
          <a:ext cx="381000" cy="254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2400" b="1">
              <a:latin typeface="Arial" panose="020B0604020202020204" pitchFamily="34" charset="0"/>
            </a:rPr>
            <a:t>83</a:t>
          </a:r>
        </a:p>
      </cdr:txBody>
    </cdr:sp>
  </cdr:relSizeAnchor>
  <cdr:relSizeAnchor xmlns:cdr="http://schemas.openxmlformats.org/drawingml/2006/chartDrawing">
    <cdr:from>
      <cdr:x>0.02146</cdr:x>
      <cdr:y>0.92</cdr:y>
    </cdr:from>
    <cdr:to>
      <cdr:x>0.0731</cdr:x>
      <cdr:y>0.995</cdr:y>
    </cdr:to>
    <cdr:sp macro="" textlink="">
      <cdr:nvSpPr>
        <cdr:cNvPr id="3" name="CuadroTexto 2"/>
        <cdr:cNvSpPr txBox="1"/>
      </cdr:nvSpPr>
      <cdr:spPr>
        <a:xfrm xmlns:a="http://schemas.openxmlformats.org/drawingml/2006/main">
          <a:off x="182616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200">
              <a:solidFill>
                <a:srgbClr val="595959"/>
              </a:solidFill>
              <a:latin typeface="Arial" panose="020B0604020202020204" pitchFamily="34" charset="0"/>
            </a:rPr>
            <a:t>(159)</a:t>
          </a:r>
        </a:p>
      </cdr:txBody>
    </cdr:sp>
  </cdr:relSizeAnchor>
  <cdr:relSizeAnchor xmlns:cdr="http://schemas.openxmlformats.org/drawingml/2006/chartDrawing">
    <cdr:from>
      <cdr:x>0.08085</cdr:x>
      <cdr:y>0.92</cdr:y>
    </cdr:from>
    <cdr:to>
      <cdr:x>0.13248</cdr:x>
      <cdr:y>0.995</cdr:y>
    </cdr:to>
    <cdr:sp macro="" textlink="">
      <cdr:nvSpPr>
        <cdr:cNvPr id="4" name="CuadroTexto 3"/>
        <cdr:cNvSpPr txBox="1"/>
      </cdr:nvSpPr>
      <cdr:spPr>
        <a:xfrm xmlns:a="http://schemas.openxmlformats.org/drawingml/2006/main">
          <a:off x="687911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200">
              <a:solidFill>
                <a:srgbClr val="595959"/>
              </a:solidFill>
              <a:latin typeface="Arial" panose="020B0604020202020204" pitchFamily="34" charset="0"/>
            </a:rPr>
            <a:t>(170)</a:t>
          </a:r>
        </a:p>
      </cdr:txBody>
    </cdr:sp>
  </cdr:relSizeAnchor>
  <cdr:relSizeAnchor xmlns:cdr="http://schemas.openxmlformats.org/drawingml/2006/chartDrawing">
    <cdr:from>
      <cdr:x>0.16347</cdr:x>
      <cdr:y>0.92</cdr:y>
    </cdr:from>
    <cdr:to>
      <cdr:x>0.2151</cdr:x>
      <cdr:y>0.995</cdr:y>
    </cdr:to>
    <cdr:sp macro="" textlink="">
      <cdr:nvSpPr>
        <cdr:cNvPr id="5" name="CuadroTexto 4"/>
        <cdr:cNvSpPr txBox="1"/>
      </cdr:nvSpPr>
      <cdr:spPr>
        <a:xfrm xmlns:a="http://schemas.openxmlformats.org/drawingml/2006/main">
          <a:off x="1390930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200">
              <a:solidFill>
                <a:srgbClr val="595959"/>
              </a:solidFill>
              <a:latin typeface="Arial" panose="020B0604020202020204" pitchFamily="34" charset="0"/>
            </a:rPr>
            <a:t>(99)</a:t>
          </a:r>
        </a:p>
      </cdr:txBody>
    </cdr:sp>
  </cdr:relSizeAnchor>
  <cdr:relSizeAnchor xmlns:cdr="http://schemas.openxmlformats.org/drawingml/2006/chartDrawing">
    <cdr:from>
      <cdr:x>0.22285</cdr:x>
      <cdr:y>0.92</cdr:y>
    </cdr:from>
    <cdr:to>
      <cdr:x>0.27449</cdr:x>
      <cdr:y>0.995</cdr:y>
    </cdr:to>
    <cdr:sp macro="" textlink="">
      <cdr:nvSpPr>
        <cdr:cNvPr id="6" name="CuadroTexto 5"/>
        <cdr:cNvSpPr txBox="1"/>
      </cdr:nvSpPr>
      <cdr:spPr>
        <a:xfrm xmlns:a="http://schemas.openxmlformats.org/drawingml/2006/main">
          <a:off x="1896225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200">
              <a:solidFill>
                <a:srgbClr val="595959"/>
              </a:solidFill>
              <a:latin typeface="Arial" panose="020B0604020202020204" pitchFamily="34" charset="0"/>
            </a:rPr>
            <a:t>(102)</a:t>
          </a:r>
        </a:p>
      </cdr:txBody>
    </cdr:sp>
  </cdr:relSizeAnchor>
  <cdr:relSizeAnchor xmlns:cdr="http://schemas.openxmlformats.org/drawingml/2006/chartDrawing">
    <cdr:from>
      <cdr:x>0.30547</cdr:x>
      <cdr:y>0.92</cdr:y>
    </cdr:from>
    <cdr:to>
      <cdr:x>0.35711</cdr:x>
      <cdr:y>0.995</cdr:y>
    </cdr:to>
    <cdr:sp macro="" textlink="">
      <cdr:nvSpPr>
        <cdr:cNvPr id="7" name="CuadroTexto 6"/>
        <cdr:cNvSpPr txBox="1"/>
      </cdr:nvSpPr>
      <cdr:spPr>
        <a:xfrm xmlns:a="http://schemas.openxmlformats.org/drawingml/2006/main">
          <a:off x="2599245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200">
              <a:solidFill>
                <a:srgbClr val="595959"/>
              </a:solidFill>
              <a:latin typeface="Arial" panose="020B0604020202020204" pitchFamily="34" charset="0"/>
            </a:rPr>
            <a:t>(55)</a:t>
          </a:r>
        </a:p>
      </cdr:txBody>
    </cdr:sp>
  </cdr:relSizeAnchor>
  <cdr:relSizeAnchor xmlns:cdr="http://schemas.openxmlformats.org/drawingml/2006/chartDrawing">
    <cdr:from>
      <cdr:x>0.36485</cdr:x>
      <cdr:y>0.92</cdr:y>
    </cdr:from>
    <cdr:to>
      <cdr:x>0.41649</cdr:x>
      <cdr:y>0.995</cdr:y>
    </cdr:to>
    <cdr:sp macro="" textlink="">
      <cdr:nvSpPr>
        <cdr:cNvPr id="8" name="CuadroTexto 7"/>
        <cdr:cNvSpPr txBox="1"/>
      </cdr:nvSpPr>
      <cdr:spPr>
        <a:xfrm xmlns:a="http://schemas.openxmlformats.org/drawingml/2006/main">
          <a:off x="3104540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200">
              <a:solidFill>
                <a:srgbClr val="595959"/>
              </a:solidFill>
              <a:latin typeface="Arial" panose="020B0604020202020204" pitchFamily="34" charset="0"/>
            </a:rPr>
            <a:t>(60)</a:t>
          </a:r>
        </a:p>
      </cdr:txBody>
    </cdr:sp>
  </cdr:relSizeAnchor>
  <cdr:relSizeAnchor xmlns:cdr="http://schemas.openxmlformats.org/drawingml/2006/chartDrawing">
    <cdr:from>
      <cdr:x>0.44747</cdr:x>
      <cdr:y>0.92</cdr:y>
    </cdr:from>
    <cdr:to>
      <cdr:x>0.49911</cdr:x>
      <cdr:y>0.995</cdr:y>
    </cdr:to>
    <cdr:sp macro="" textlink="">
      <cdr:nvSpPr>
        <cdr:cNvPr id="9" name="CuadroTexto 8"/>
        <cdr:cNvSpPr txBox="1"/>
      </cdr:nvSpPr>
      <cdr:spPr>
        <a:xfrm xmlns:a="http://schemas.openxmlformats.org/drawingml/2006/main">
          <a:off x="3807559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200">
              <a:solidFill>
                <a:srgbClr val="595959"/>
              </a:solidFill>
              <a:latin typeface="Arial" panose="020B0604020202020204" pitchFamily="34" charset="0"/>
            </a:rPr>
            <a:t>(1432)</a:t>
          </a:r>
        </a:p>
      </cdr:txBody>
    </cdr:sp>
  </cdr:relSizeAnchor>
  <cdr:relSizeAnchor xmlns:cdr="http://schemas.openxmlformats.org/drawingml/2006/chartDrawing">
    <cdr:from>
      <cdr:x>0.50686</cdr:x>
      <cdr:y>0.92</cdr:y>
    </cdr:from>
    <cdr:to>
      <cdr:x>0.5585</cdr:x>
      <cdr:y>0.995</cdr:y>
    </cdr:to>
    <cdr:sp macro="" textlink="">
      <cdr:nvSpPr>
        <cdr:cNvPr id="10" name="CuadroTexto 9"/>
        <cdr:cNvSpPr txBox="1"/>
      </cdr:nvSpPr>
      <cdr:spPr>
        <a:xfrm xmlns:a="http://schemas.openxmlformats.org/drawingml/2006/main">
          <a:off x="4312854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200">
              <a:solidFill>
                <a:srgbClr val="595959"/>
              </a:solidFill>
              <a:latin typeface="Arial" panose="020B0604020202020204" pitchFamily="34" charset="0"/>
            </a:rPr>
            <a:t>(1478)</a:t>
          </a:r>
        </a:p>
      </cdr:txBody>
    </cdr:sp>
  </cdr:relSizeAnchor>
  <cdr:relSizeAnchor xmlns:cdr="http://schemas.openxmlformats.org/drawingml/2006/chartDrawing">
    <cdr:from>
      <cdr:x>0.58948</cdr:x>
      <cdr:y>0.92</cdr:y>
    </cdr:from>
    <cdr:to>
      <cdr:x>0.64112</cdr:x>
      <cdr:y>0.995</cdr:y>
    </cdr:to>
    <cdr:sp macro="" textlink="">
      <cdr:nvSpPr>
        <cdr:cNvPr id="11" name="CuadroTexto 10"/>
        <cdr:cNvSpPr txBox="1"/>
      </cdr:nvSpPr>
      <cdr:spPr>
        <a:xfrm xmlns:a="http://schemas.openxmlformats.org/drawingml/2006/main">
          <a:off x="5015873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200">
              <a:solidFill>
                <a:srgbClr val="595959"/>
              </a:solidFill>
              <a:latin typeface="Arial" panose="020B0604020202020204" pitchFamily="34" charset="0"/>
            </a:rPr>
            <a:t>(77)</a:t>
          </a:r>
        </a:p>
      </cdr:txBody>
    </cdr:sp>
  </cdr:relSizeAnchor>
  <cdr:relSizeAnchor xmlns:cdr="http://schemas.openxmlformats.org/drawingml/2006/chartDrawing">
    <cdr:from>
      <cdr:x>0.64886</cdr:x>
      <cdr:y>0.92</cdr:y>
    </cdr:from>
    <cdr:to>
      <cdr:x>0.7005</cdr:x>
      <cdr:y>0.995</cdr:y>
    </cdr:to>
    <cdr:sp macro="" textlink="">
      <cdr:nvSpPr>
        <cdr:cNvPr id="12" name="CuadroTexto 11"/>
        <cdr:cNvSpPr txBox="1"/>
      </cdr:nvSpPr>
      <cdr:spPr>
        <a:xfrm xmlns:a="http://schemas.openxmlformats.org/drawingml/2006/main">
          <a:off x="5521168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200">
              <a:solidFill>
                <a:srgbClr val="595959"/>
              </a:solidFill>
              <a:latin typeface="Arial" panose="020B0604020202020204" pitchFamily="34" charset="0"/>
            </a:rPr>
            <a:t>(73)</a:t>
          </a:r>
        </a:p>
      </cdr:txBody>
    </cdr:sp>
  </cdr:relSizeAnchor>
  <cdr:relSizeAnchor xmlns:cdr="http://schemas.openxmlformats.org/drawingml/2006/chartDrawing">
    <cdr:from>
      <cdr:x>0.73148</cdr:x>
      <cdr:y>0.92</cdr:y>
    </cdr:from>
    <cdr:to>
      <cdr:x>0.78312</cdr:x>
      <cdr:y>0.995</cdr:y>
    </cdr:to>
    <cdr:sp macro="" textlink="">
      <cdr:nvSpPr>
        <cdr:cNvPr id="13" name="CuadroTexto 12"/>
        <cdr:cNvSpPr txBox="1"/>
      </cdr:nvSpPr>
      <cdr:spPr>
        <a:xfrm xmlns:a="http://schemas.openxmlformats.org/drawingml/2006/main">
          <a:off x="6224188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200">
              <a:solidFill>
                <a:srgbClr val="595959"/>
              </a:solidFill>
              <a:latin typeface="Arial" panose="020B0604020202020204" pitchFamily="34" charset="0"/>
            </a:rPr>
            <a:t>(5)</a:t>
          </a:r>
        </a:p>
      </cdr:txBody>
    </cdr:sp>
  </cdr:relSizeAnchor>
  <cdr:relSizeAnchor xmlns:cdr="http://schemas.openxmlformats.org/drawingml/2006/chartDrawing">
    <cdr:from>
      <cdr:x>0.79087</cdr:x>
      <cdr:y>0.92</cdr:y>
    </cdr:from>
    <cdr:to>
      <cdr:x>0.8425</cdr:x>
      <cdr:y>0.995</cdr:y>
    </cdr:to>
    <cdr:sp macro="" textlink="">
      <cdr:nvSpPr>
        <cdr:cNvPr id="14" name="CuadroTexto 13"/>
        <cdr:cNvSpPr txBox="1"/>
      </cdr:nvSpPr>
      <cdr:spPr>
        <a:xfrm xmlns:a="http://schemas.openxmlformats.org/drawingml/2006/main">
          <a:off x="6729483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200">
              <a:solidFill>
                <a:srgbClr val="595959"/>
              </a:solidFill>
              <a:latin typeface="Arial" panose="020B0604020202020204" pitchFamily="34" charset="0"/>
            </a:rPr>
            <a:t>(3)</a:t>
          </a:r>
        </a:p>
      </cdr:txBody>
    </cdr:sp>
  </cdr:relSizeAnchor>
  <cdr:relSizeAnchor xmlns:cdr="http://schemas.openxmlformats.org/drawingml/2006/chartDrawing">
    <cdr:from>
      <cdr:x>0.87349</cdr:x>
      <cdr:y>0.92</cdr:y>
    </cdr:from>
    <cdr:to>
      <cdr:x>0.92513</cdr:x>
      <cdr:y>0.995</cdr:y>
    </cdr:to>
    <cdr:sp macro="" textlink="">
      <cdr:nvSpPr>
        <cdr:cNvPr id="15" name="CuadroTexto 14"/>
        <cdr:cNvSpPr txBox="1"/>
      </cdr:nvSpPr>
      <cdr:spPr>
        <a:xfrm xmlns:a="http://schemas.openxmlformats.org/drawingml/2006/main">
          <a:off x="7432502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200">
              <a:solidFill>
                <a:srgbClr val="595959"/>
              </a:solidFill>
              <a:latin typeface="Arial" panose="020B0604020202020204" pitchFamily="34" charset="0"/>
            </a:rPr>
            <a:t>(11)</a:t>
          </a:r>
        </a:p>
      </cdr:txBody>
    </cdr:sp>
  </cdr:relSizeAnchor>
  <cdr:relSizeAnchor xmlns:cdr="http://schemas.openxmlformats.org/drawingml/2006/chartDrawing">
    <cdr:from>
      <cdr:x>0.93287</cdr:x>
      <cdr:y>0.92</cdr:y>
    </cdr:from>
    <cdr:to>
      <cdr:x>0.98451</cdr:x>
      <cdr:y>0.995</cdr:y>
    </cdr:to>
    <cdr:sp macro="" textlink="">
      <cdr:nvSpPr>
        <cdr:cNvPr id="16" name="CuadroTexto 15"/>
        <cdr:cNvSpPr txBox="1"/>
      </cdr:nvSpPr>
      <cdr:spPr>
        <a:xfrm xmlns:a="http://schemas.openxmlformats.org/drawingml/2006/main">
          <a:off x="7937797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200">
              <a:solidFill>
                <a:srgbClr val="595959"/>
              </a:solidFill>
              <a:latin typeface="Arial" panose="020B0604020202020204" pitchFamily="34" charset="0"/>
            </a:rPr>
            <a:t>(10)</a:t>
          </a:r>
        </a:p>
      </cdr:txBody>
    </cdr:sp>
  </cdr:relSizeAnchor>
</c:userShapes>
</file>

<file path=xl/drawings/drawing19.xml><?xml version="1.0" encoding="utf-8"?>
<c:userShapes xmlns:c="http://schemas.openxmlformats.org/drawingml/2006/chart">
  <cdr:relSizeAnchor xmlns:cdr="http://schemas.openxmlformats.org/drawingml/2006/chartDrawing">
    <cdr:from>
      <cdr:x>0.18075</cdr:x>
      <cdr:y>0.92308</cdr:y>
    </cdr:from>
    <cdr:to>
      <cdr:x>0.73075</cdr:x>
      <cdr:y>1</cdr:y>
    </cdr:to>
    <cdr:sp macro="" textlink="">
      <cdr:nvSpPr>
        <cdr:cNvPr id="2" name="CuadroTexto 1"/>
        <cdr:cNvSpPr txBox="1"/>
      </cdr:nvSpPr>
      <cdr:spPr>
        <a:xfrm xmlns:a="http://schemas.openxmlformats.org/drawingml/2006/main">
          <a:off x="1147762" y="4703762"/>
          <a:ext cx="3492500" cy="381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200" i="1">
              <a:latin typeface="Arial" panose="020B0604020202020204" pitchFamily="34" charset="0"/>
              <a:cs typeface="Arial" panose="020B0604020202020204" pitchFamily="34" charset="0"/>
            </a:rPr>
            <a:t>Total de Respondentes: 4149</a:t>
          </a:r>
        </a:p>
      </cdr:txBody>
    </cdr:sp>
  </cdr:relSizeAnchor>
</c:userShapes>
</file>

<file path=xl/drawings/drawing20.xml><?xml version="1.0" encoding="utf-8"?>
<c:userShapes xmlns:c="http://schemas.openxmlformats.org/drawingml/2006/chart">
  <cdr:relSizeAnchor xmlns:cdr="http://schemas.openxmlformats.org/drawingml/2006/chartDrawing">
    <cdr:from>
      <cdr:x>0.00597</cdr:x>
      <cdr:y>0.20026</cdr:y>
    </cdr:from>
    <cdr:to>
      <cdr:x>0.05075</cdr:x>
      <cdr:y>0.30026</cdr:y>
    </cdr:to>
    <cdr:sp macro="" textlink="">
      <cdr:nvSpPr>
        <cdr:cNvPr id="2" name="TextBox_3_0"/>
        <cdr:cNvSpPr txBox="1"/>
      </cdr:nvSpPr>
      <cdr:spPr>
        <a:xfrm xmlns:a="http://schemas.openxmlformats.org/drawingml/2006/main">
          <a:off x="50800" y="508673"/>
          <a:ext cx="381000" cy="254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2400" b="1">
              <a:latin typeface="Arial" panose="020B0604020202020204" pitchFamily="34" charset="0"/>
            </a:rPr>
            <a:t>83</a:t>
          </a:r>
        </a:p>
      </cdr:txBody>
    </cdr:sp>
  </cdr:relSizeAnchor>
  <cdr:relSizeAnchor xmlns:cdr="http://schemas.openxmlformats.org/drawingml/2006/chartDrawing">
    <cdr:from>
      <cdr:x>0.02146</cdr:x>
      <cdr:y>0.92</cdr:y>
    </cdr:from>
    <cdr:to>
      <cdr:x>0.0731</cdr:x>
      <cdr:y>0.995</cdr:y>
    </cdr:to>
    <cdr:sp macro="" textlink="">
      <cdr:nvSpPr>
        <cdr:cNvPr id="3" name="CuadroTexto 2"/>
        <cdr:cNvSpPr txBox="1"/>
      </cdr:nvSpPr>
      <cdr:spPr>
        <a:xfrm xmlns:a="http://schemas.openxmlformats.org/drawingml/2006/main">
          <a:off x="182616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200">
              <a:solidFill>
                <a:srgbClr val="595959"/>
              </a:solidFill>
              <a:latin typeface="Arial" panose="020B0604020202020204" pitchFamily="34" charset="0"/>
            </a:rPr>
            <a:t>(2773)</a:t>
          </a:r>
        </a:p>
      </cdr:txBody>
    </cdr:sp>
  </cdr:relSizeAnchor>
  <cdr:relSizeAnchor xmlns:cdr="http://schemas.openxmlformats.org/drawingml/2006/chartDrawing">
    <cdr:from>
      <cdr:x>0.08085</cdr:x>
      <cdr:y>0.92</cdr:y>
    </cdr:from>
    <cdr:to>
      <cdr:x>0.13248</cdr:x>
      <cdr:y>0.995</cdr:y>
    </cdr:to>
    <cdr:sp macro="" textlink="">
      <cdr:nvSpPr>
        <cdr:cNvPr id="4" name="CuadroTexto 3"/>
        <cdr:cNvSpPr txBox="1"/>
      </cdr:nvSpPr>
      <cdr:spPr>
        <a:xfrm xmlns:a="http://schemas.openxmlformats.org/drawingml/2006/main">
          <a:off x="687911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200">
              <a:solidFill>
                <a:srgbClr val="595959"/>
              </a:solidFill>
              <a:latin typeface="Arial" panose="020B0604020202020204" pitchFamily="34" charset="0"/>
            </a:rPr>
            <a:t>(2444)</a:t>
          </a:r>
        </a:p>
      </cdr:txBody>
    </cdr:sp>
  </cdr:relSizeAnchor>
  <cdr:relSizeAnchor xmlns:cdr="http://schemas.openxmlformats.org/drawingml/2006/chartDrawing">
    <cdr:from>
      <cdr:x>0.16347</cdr:x>
      <cdr:y>0.92</cdr:y>
    </cdr:from>
    <cdr:to>
      <cdr:x>0.2151</cdr:x>
      <cdr:y>0.995</cdr:y>
    </cdr:to>
    <cdr:sp macro="" textlink="">
      <cdr:nvSpPr>
        <cdr:cNvPr id="5" name="CuadroTexto 4"/>
        <cdr:cNvSpPr txBox="1"/>
      </cdr:nvSpPr>
      <cdr:spPr>
        <a:xfrm xmlns:a="http://schemas.openxmlformats.org/drawingml/2006/main">
          <a:off x="1390930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200">
              <a:solidFill>
                <a:srgbClr val="595959"/>
              </a:solidFill>
              <a:latin typeface="Arial" panose="020B0604020202020204" pitchFamily="34" charset="0"/>
            </a:rPr>
            <a:t>(1087)</a:t>
          </a:r>
        </a:p>
      </cdr:txBody>
    </cdr:sp>
  </cdr:relSizeAnchor>
  <cdr:relSizeAnchor xmlns:cdr="http://schemas.openxmlformats.org/drawingml/2006/chartDrawing">
    <cdr:from>
      <cdr:x>0.22285</cdr:x>
      <cdr:y>0.92</cdr:y>
    </cdr:from>
    <cdr:to>
      <cdr:x>0.27449</cdr:x>
      <cdr:y>0.995</cdr:y>
    </cdr:to>
    <cdr:sp macro="" textlink="">
      <cdr:nvSpPr>
        <cdr:cNvPr id="6" name="CuadroTexto 5"/>
        <cdr:cNvSpPr txBox="1"/>
      </cdr:nvSpPr>
      <cdr:spPr>
        <a:xfrm xmlns:a="http://schemas.openxmlformats.org/drawingml/2006/main">
          <a:off x="1896225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200">
              <a:solidFill>
                <a:srgbClr val="595959"/>
              </a:solidFill>
              <a:latin typeface="Arial" panose="020B0604020202020204" pitchFamily="34" charset="0"/>
            </a:rPr>
            <a:t>(1088)</a:t>
          </a:r>
        </a:p>
      </cdr:txBody>
    </cdr:sp>
  </cdr:relSizeAnchor>
  <cdr:relSizeAnchor xmlns:cdr="http://schemas.openxmlformats.org/drawingml/2006/chartDrawing">
    <cdr:from>
      <cdr:x>0.30547</cdr:x>
      <cdr:y>0.92</cdr:y>
    </cdr:from>
    <cdr:to>
      <cdr:x>0.35711</cdr:x>
      <cdr:y>0.995</cdr:y>
    </cdr:to>
    <cdr:sp macro="" textlink="">
      <cdr:nvSpPr>
        <cdr:cNvPr id="7" name="CuadroTexto 6"/>
        <cdr:cNvSpPr txBox="1"/>
      </cdr:nvSpPr>
      <cdr:spPr>
        <a:xfrm xmlns:a="http://schemas.openxmlformats.org/drawingml/2006/main">
          <a:off x="2599245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200">
              <a:solidFill>
                <a:srgbClr val="595959"/>
              </a:solidFill>
              <a:latin typeface="Arial" panose="020B0604020202020204" pitchFamily="34" charset="0"/>
            </a:rPr>
            <a:t>(595)</a:t>
          </a:r>
        </a:p>
      </cdr:txBody>
    </cdr:sp>
  </cdr:relSizeAnchor>
  <cdr:relSizeAnchor xmlns:cdr="http://schemas.openxmlformats.org/drawingml/2006/chartDrawing">
    <cdr:from>
      <cdr:x>0.36485</cdr:x>
      <cdr:y>0.92</cdr:y>
    </cdr:from>
    <cdr:to>
      <cdr:x>0.41649</cdr:x>
      <cdr:y>0.995</cdr:y>
    </cdr:to>
    <cdr:sp macro="" textlink="">
      <cdr:nvSpPr>
        <cdr:cNvPr id="8" name="CuadroTexto 7"/>
        <cdr:cNvSpPr txBox="1"/>
      </cdr:nvSpPr>
      <cdr:spPr>
        <a:xfrm xmlns:a="http://schemas.openxmlformats.org/drawingml/2006/main">
          <a:off x="3104540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200">
              <a:solidFill>
                <a:srgbClr val="595959"/>
              </a:solidFill>
              <a:latin typeface="Arial" panose="020B0604020202020204" pitchFamily="34" charset="0"/>
            </a:rPr>
            <a:t>(501)</a:t>
          </a:r>
        </a:p>
      </cdr:txBody>
    </cdr:sp>
  </cdr:relSizeAnchor>
  <cdr:relSizeAnchor xmlns:cdr="http://schemas.openxmlformats.org/drawingml/2006/chartDrawing">
    <cdr:from>
      <cdr:x>0.44747</cdr:x>
      <cdr:y>0.92</cdr:y>
    </cdr:from>
    <cdr:to>
      <cdr:x>0.49911</cdr:x>
      <cdr:y>0.995</cdr:y>
    </cdr:to>
    <cdr:sp macro="" textlink="">
      <cdr:nvSpPr>
        <cdr:cNvPr id="9" name="CuadroTexto 8"/>
        <cdr:cNvSpPr txBox="1"/>
      </cdr:nvSpPr>
      <cdr:spPr>
        <a:xfrm xmlns:a="http://schemas.openxmlformats.org/drawingml/2006/main">
          <a:off x="3807559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200">
              <a:solidFill>
                <a:srgbClr val="595959"/>
              </a:solidFill>
              <a:latin typeface="Arial" panose="020B0604020202020204" pitchFamily="34" charset="0"/>
            </a:rPr>
            <a:t>(110)</a:t>
          </a:r>
        </a:p>
      </cdr:txBody>
    </cdr:sp>
  </cdr:relSizeAnchor>
  <cdr:relSizeAnchor xmlns:cdr="http://schemas.openxmlformats.org/drawingml/2006/chartDrawing">
    <cdr:from>
      <cdr:x>0.50686</cdr:x>
      <cdr:y>0.92</cdr:y>
    </cdr:from>
    <cdr:to>
      <cdr:x>0.5585</cdr:x>
      <cdr:y>0.995</cdr:y>
    </cdr:to>
    <cdr:sp macro="" textlink="">
      <cdr:nvSpPr>
        <cdr:cNvPr id="10" name="CuadroTexto 9"/>
        <cdr:cNvSpPr txBox="1"/>
      </cdr:nvSpPr>
      <cdr:spPr>
        <a:xfrm xmlns:a="http://schemas.openxmlformats.org/drawingml/2006/main">
          <a:off x="4312854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200">
              <a:solidFill>
                <a:srgbClr val="595959"/>
              </a:solidFill>
              <a:latin typeface="Arial" panose="020B0604020202020204" pitchFamily="34" charset="0"/>
            </a:rPr>
            <a:t>(116)</a:t>
          </a:r>
        </a:p>
      </cdr:txBody>
    </cdr:sp>
  </cdr:relSizeAnchor>
</c:userShapes>
</file>

<file path=xl/drawings/drawing21.xml><?xml version="1.0" encoding="utf-8"?>
<c:userShapes xmlns:c="http://schemas.openxmlformats.org/drawingml/2006/chart">
  <cdr:relSizeAnchor xmlns:cdr="http://schemas.openxmlformats.org/drawingml/2006/chartDrawing">
    <cdr:from>
      <cdr:x>0.028</cdr:x>
      <cdr:y>0.8984</cdr:y>
    </cdr:from>
    <cdr:to>
      <cdr:x>0.068</cdr:x>
      <cdr:y>0.93686</cdr:y>
    </cdr:to>
    <cdr:sp macro="" textlink="">
      <cdr:nvSpPr>
        <cdr:cNvPr id="2" name="CuadroTexto 1"/>
        <cdr:cNvSpPr txBox="1"/>
      </cdr:nvSpPr>
      <cdr:spPr>
        <a:xfrm xmlns:a="http://schemas.openxmlformats.org/drawingml/2006/main">
          <a:off x="177800" y="4449762"/>
          <a:ext cx="25400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r>
            <a:rPr lang="es-AR" sz="1400">
              <a:latin typeface="Arial" panose="020B0604020202020204" pitchFamily="34" charset="0"/>
              <a:cs typeface="Arial" panose="020B0604020202020204" pitchFamily="34" charset="0"/>
            </a:rPr>
            <a:t>2017</a:t>
          </a:r>
        </a:p>
      </cdr:txBody>
    </cdr:sp>
  </cdr:relSizeAnchor>
  <cdr:relSizeAnchor xmlns:cdr="http://schemas.openxmlformats.org/drawingml/2006/chartDrawing">
    <cdr:from>
      <cdr:x>0.028</cdr:x>
      <cdr:y>0.94968</cdr:y>
    </cdr:from>
    <cdr:to>
      <cdr:x>0.068</cdr:x>
      <cdr:y>0.98814</cdr:y>
    </cdr:to>
    <cdr:sp macro="" textlink="">
      <cdr:nvSpPr>
        <cdr:cNvPr id="3" name="CuadroTexto 2"/>
        <cdr:cNvSpPr txBox="1"/>
      </cdr:nvSpPr>
      <cdr:spPr>
        <a:xfrm xmlns:a="http://schemas.openxmlformats.org/drawingml/2006/main">
          <a:off x="177800" y="4703762"/>
          <a:ext cx="25400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r>
            <a:rPr lang="es-AR" sz="1400">
              <a:latin typeface="Arial" panose="020B0604020202020204" pitchFamily="34" charset="0"/>
              <a:cs typeface="Arial" panose="020B0604020202020204" pitchFamily="34" charset="0"/>
            </a:rPr>
            <a:t>2016</a:t>
          </a:r>
        </a:p>
      </cdr:txBody>
    </cdr:sp>
  </cdr:relSizeAnchor>
  <cdr:relSizeAnchor xmlns:cdr="http://schemas.openxmlformats.org/drawingml/2006/chartDrawing">
    <cdr:from>
      <cdr:x>0.078</cdr:x>
      <cdr:y>0.8984</cdr:y>
    </cdr:from>
    <cdr:to>
      <cdr:x>0.118</cdr:x>
      <cdr:y>0.93686</cdr:y>
    </cdr:to>
    <cdr:sp macro="" textlink="">
      <cdr:nvSpPr>
        <cdr:cNvPr id="4" name="GrafDemo9_rectangulo2017"/>
        <cdr:cNvSpPr/>
      </cdr:nvSpPr>
      <cdr:spPr>
        <a:xfrm xmlns:a="http://schemas.openxmlformats.org/drawingml/2006/main">
          <a:off x="495300" y="4449762"/>
          <a:ext cx="254000" cy="190500"/>
        </a:xfrm>
        <a:prstGeom xmlns:a="http://schemas.openxmlformats.org/drawingml/2006/main" prst="rect">
          <a:avLst/>
        </a:prstGeom>
        <a:solidFill xmlns:a="http://schemas.openxmlformats.org/drawingml/2006/main">
          <a:srgbClr val="BD1934"/>
        </a:solidFill>
        <a:ln xmlns:a="http://schemas.openxmlformats.org/drawingml/2006/main" w="25400" cap="flat" cmpd="sng" algn="ctr">
          <a:noFill/>
          <a:prstDash val="solid"/>
        </a:ln>
        <a:effectLst xmlns:a="http://schemas.openxmlformats.org/drawingml/2006/main"/>
        <a:extLst xmlns:a="http://schemas.openxmlformats.org/drawingml/2006/main"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s-AR"/>
        </a:p>
      </cdr:txBody>
    </cdr:sp>
  </cdr:relSizeAnchor>
  <cdr:relSizeAnchor xmlns:cdr="http://schemas.openxmlformats.org/drawingml/2006/chartDrawing">
    <cdr:from>
      <cdr:x>0.078</cdr:x>
      <cdr:y>0.94968</cdr:y>
    </cdr:from>
    <cdr:to>
      <cdr:x>0.118</cdr:x>
      <cdr:y>0.98814</cdr:y>
    </cdr:to>
    <cdr:sp macro="" textlink="">
      <cdr:nvSpPr>
        <cdr:cNvPr id="5" name="GrafDemo9_rectangulo2016"/>
        <cdr:cNvSpPr/>
      </cdr:nvSpPr>
      <cdr:spPr>
        <a:xfrm xmlns:a="http://schemas.openxmlformats.org/drawingml/2006/main">
          <a:off x="495300" y="4703762"/>
          <a:ext cx="254000" cy="190500"/>
        </a:xfrm>
        <a:prstGeom xmlns:a="http://schemas.openxmlformats.org/drawingml/2006/main" prst="rect">
          <a:avLst/>
        </a:prstGeom>
        <a:solidFill xmlns:a="http://schemas.openxmlformats.org/drawingml/2006/main">
          <a:srgbClr val="BD1934">
            <a:alpha val="50000"/>
          </a:srgbClr>
        </a:solidFill>
        <a:ln xmlns:a="http://schemas.openxmlformats.org/drawingml/2006/main" w="25400" cap="flat" cmpd="sng" algn="ctr">
          <a:noFill/>
          <a:prstDash val="solid"/>
        </a:ln>
        <a:effectLst xmlns:a="http://schemas.openxmlformats.org/drawingml/2006/main"/>
        <a:extLst xmlns:a="http://schemas.openxmlformats.org/drawingml/2006/main"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s-AR"/>
        </a:p>
      </cdr:txBody>
    </cdr:sp>
  </cdr:relSizeAnchor>
  <cdr:relSizeAnchor xmlns:cdr="http://schemas.openxmlformats.org/drawingml/2006/chartDrawing">
    <cdr:from>
      <cdr:x>0.118</cdr:x>
      <cdr:y>0.8984</cdr:y>
    </cdr:from>
    <cdr:to>
      <cdr:x>0.198</cdr:x>
      <cdr:y>0.93686</cdr:y>
    </cdr:to>
    <cdr:sp macro="" textlink="">
      <cdr:nvSpPr>
        <cdr:cNvPr id="6" name="CuadroTexto 5"/>
        <cdr:cNvSpPr txBox="1"/>
      </cdr:nvSpPr>
      <cdr:spPr>
        <a:xfrm xmlns:a="http://schemas.openxmlformats.org/drawingml/2006/main">
          <a:off x="749300" y="4449762"/>
          <a:ext cx="50800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r>
            <a:rPr lang="es-AR" sz="1400">
              <a:latin typeface="Arial" panose="020B0604020202020204" pitchFamily="34" charset="0"/>
              <a:cs typeface="Arial" panose="020B0604020202020204" pitchFamily="34" charset="0"/>
            </a:rPr>
            <a:t>Exterior</a:t>
          </a:r>
        </a:p>
      </cdr:txBody>
    </cdr:sp>
  </cdr:relSizeAnchor>
  <cdr:relSizeAnchor xmlns:cdr="http://schemas.openxmlformats.org/drawingml/2006/chartDrawing">
    <cdr:from>
      <cdr:x>0.118</cdr:x>
      <cdr:y>0.94968</cdr:y>
    </cdr:from>
    <cdr:to>
      <cdr:x>0.198</cdr:x>
      <cdr:y>0.98814</cdr:y>
    </cdr:to>
    <cdr:sp macro="" textlink="">
      <cdr:nvSpPr>
        <cdr:cNvPr id="7" name="CuadroTexto 6"/>
        <cdr:cNvSpPr txBox="1"/>
      </cdr:nvSpPr>
      <cdr:spPr>
        <a:xfrm xmlns:a="http://schemas.openxmlformats.org/drawingml/2006/main">
          <a:off x="749300" y="4703762"/>
          <a:ext cx="50800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r>
            <a:rPr lang="es-AR" sz="1400">
              <a:latin typeface="Arial" panose="020B0604020202020204" pitchFamily="34" charset="0"/>
              <a:cs typeface="Arial" panose="020B0604020202020204" pitchFamily="34" charset="0"/>
            </a:rPr>
            <a:t>Interior</a:t>
          </a:r>
        </a:p>
      </cdr:txBody>
    </cdr:sp>
  </cdr:relSizeAnchor>
  <cdr:relSizeAnchor xmlns:cdr="http://schemas.openxmlformats.org/drawingml/2006/chartDrawing">
    <cdr:from>
      <cdr:x>0.218</cdr:x>
      <cdr:y>0.8984</cdr:y>
    </cdr:from>
    <cdr:to>
      <cdr:x>0.518</cdr:x>
      <cdr:y>0.93686</cdr:y>
    </cdr:to>
    <cdr:sp macro="" textlink="">
      <cdr:nvSpPr>
        <cdr:cNvPr id="8" name="CuadroTexto 7"/>
        <cdr:cNvSpPr txBox="1"/>
      </cdr:nvSpPr>
      <cdr:spPr>
        <a:xfrm xmlns:a="http://schemas.openxmlformats.org/drawingml/2006/main">
          <a:off x="1384300" y="4449762"/>
          <a:ext cx="190500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r>
            <a:rPr lang="es-AR" sz="1200">
              <a:solidFill>
                <a:srgbClr val="808080"/>
              </a:solidFill>
              <a:latin typeface="Arial" panose="020B0604020202020204" pitchFamily="34" charset="0"/>
              <a:cs typeface="Arial" panose="020B0604020202020204" pitchFamily="34" charset="0"/>
            </a:rPr>
            <a:t>Total de Respondentes: 3932</a:t>
          </a:r>
        </a:p>
      </cdr:txBody>
    </cdr:sp>
  </cdr:relSizeAnchor>
  <cdr:relSizeAnchor xmlns:cdr="http://schemas.openxmlformats.org/drawingml/2006/chartDrawing">
    <cdr:from>
      <cdr:x>0.218</cdr:x>
      <cdr:y>0.94968</cdr:y>
    </cdr:from>
    <cdr:to>
      <cdr:x>0.518</cdr:x>
      <cdr:y>0.98814</cdr:y>
    </cdr:to>
    <cdr:sp macro="" textlink="">
      <cdr:nvSpPr>
        <cdr:cNvPr id="9" name="CuadroTexto 8"/>
        <cdr:cNvSpPr txBox="1"/>
      </cdr:nvSpPr>
      <cdr:spPr>
        <a:xfrm xmlns:a="http://schemas.openxmlformats.org/drawingml/2006/main">
          <a:off x="1384300" y="4703762"/>
          <a:ext cx="190500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r>
            <a:rPr lang="es-AR" sz="1200">
              <a:solidFill>
                <a:srgbClr val="808080"/>
              </a:solidFill>
              <a:latin typeface="Arial" panose="020B0604020202020204" pitchFamily="34" charset="0"/>
              <a:cs typeface="Arial" panose="020B0604020202020204" pitchFamily="34" charset="0"/>
            </a:rPr>
            <a:t>Total de Respondentes: 4577</a:t>
          </a:r>
        </a:p>
      </cdr:txBody>
    </cdr:sp>
  </cdr:relSizeAnchor>
  <cdr:relSizeAnchor xmlns:cdr="http://schemas.openxmlformats.org/drawingml/2006/chartDrawing">
    <cdr:from>
      <cdr:x>0.37575</cdr:x>
      <cdr:y>0.34071</cdr:y>
    </cdr:from>
    <cdr:to>
      <cdr:x>0.54575</cdr:x>
      <cdr:y>0.57147</cdr:y>
    </cdr:to>
    <cdr:sp macro="" textlink="">
      <cdr:nvSpPr>
        <cdr:cNvPr id="10" name="CuadroTexto 9"/>
        <cdr:cNvSpPr txBox="1"/>
      </cdr:nvSpPr>
      <cdr:spPr>
        <a:xfrm xmlns:a="http://schemas.openxmlformats.org/drawingml/2006/main">
          <a:off x="2386012" y="1687512"/>
          <a:ext cx="1079500" cy="1143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square" rtlCol="0" anchor="ctr"/>
        <a:lstStyle xmlns:a="http://schemas.openxmlformats.org/drawingml/2006/main"/>
        <a:p xmlns:a="http://schemas.openxmlformats.org/drawingml/2006/main">
          <a:r>
            <a:rPr lang="es-AR" sz="1600">
              <a:solidFill>
                <a:srgbClr val="262626"/>
              </a:solidFill>
              <a:latin typeface="Arial" panose="020B0604020202020204" pitchFamily="34" charset="0"/>
              <a:cs typeface="Arial" panose="020B0604020202020204" pitchFamily="34" charset="0"/>
            </a:rPr>
            <a:t>El principal motivo por el que permanezco en esta empresa es</a:t>
          </a:r>
        </a:p>
      </cdr:txBody>
    </cdr:sp>
  </cdr:relSizeAnchor>
</c:userShapes>
</file>

<file path=xl/drawings/drawing22.xml><?xml version="1.0" encoding="utf-8"?>
<c:userShapes xmlns:c="http://schemas.openxmlformats.org/drawingml/2006/chart">
  <cdr:relSizeAnchor xmlns:cdr="http://schemas.openxmlformats.org/drawingml/2006/chartDrawing">
    <cdr:from>
      <cdr:x>0.00597</cdr:x>
      <cdr:y>0.20026</cdr:y>
    </cdr:from>
    <cdr:to>
      <cdr:x>0.05075</cdr:x>
      <cdr:y>0.30026</cdr:y>
    </cdr:to>
    <cdr:sp macro="" textlink="">
      <cdr:nvSpPr>
        <cdr:cNvPr id="2" name="TextBox_3_0"/>
        <cdr:cNvSpPr txBox="1"/>
      </cdr:nvSpPr>
      <cdr:spPr>
        <a:xfrm xmlns:a="http://schemas.openxmlformats.org/drawingml/2006/main">
          <a:off x="50800" y="508673"/>
          <a:ext cx="381000" cy="254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2400" b="1">
              <a:latin typeface="Arial" panose="020B0604020202020204" pitchFamily="34" charset="0"/>
            </a:rPr>
            <a:t>83</a:t>
          </a:r>
        </a:p>
      </cdr:txBody>
    </cdr:sp>
  </cdr:relSizeAnchor>
  <cdr:relSizeAnchor xmlns:cdr="http://schemas.openxmlformats.org/drawingml/2006/chartDrawing">
    <cdr:from>
      <cdr:x>0.02146</cdr:x>
      <cdr:y>0.92</cdr:y>
    </cdr:from>
    <cdr:to>
      <cdr:x>0.0731</cdr:x>
      <cdr:y>0.995</cdr:y>
    </cdr:to>
    <cdr:sp macro="" textlink="">
      <cdr:nvSpPr>
        <cdr:cNvPr id="3" name="CuadroTexto 2"/>
        <cdr:cNvSpPr txBox="1"/>
      </cdr:nvSpPr>
      <cdr:spPr>
        <a:xfrm xmlns:a="http://schemas.openxmlformats.org/drawingml/2006/main">
          <a:off x="182616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200">
              <a:solidFill>
                <a:srgbClr val="595959"/>
              </a:solidFill>
              <a:latin typeface="Arial" panose="020B0604020202020204" pitchFamily="34" charset="0"/>
            </a:rPr>
            <a:t>(764)</a:t>
          </a:r>
        </a:p>
      </cdr:txBody>
    </cdr:sp>
  </cdr:relSizeAnchor>
  <cdr:relSizeAnchor xmlns:cdr="http://schemas.openxmlformats.org/drawingml/2006/chartDrawing">
    <cdr:from>
      <cdr:x>0.08085</cdr:x>
      <cdr:y>0.92</cdr:y>
    </cdr:from>
    <cdr:to>
      <cdr:x>0.13248</cdr:x>
      <cdr:y>0.995</cdr:y>
    </cdr:to>
    <cdr:sp macro="" textlink="">
      <cdr:nvSpPr>
        <cdr:cNvPr id="4" name="CuadroTexto 3"/>
        <cdr:cNvSpPr txBox="1"/>
      </cdr:nvSpPr>
      <cdr:spPr>
        <a:xfrm xmlns:a="http://schemas.openxmlformats.org/drawingml/2006/main">
          <a:off x="687911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200">
              <a:solidFill>
                <a:srgbClr val="595959"/>
              </a:solidFill>
              <a:latin typeface="Arial" panose="020B0604020202020204" pitchFamily="34" charset="0"/>
            </a:rPr>
            <a:t>(680)</a:t>
          </a:r>
        </a:p>
      </cdr:txBody>
    </cdr:sp>
  </cdr:relSizeAnchor>
  <cdr:relSizeAnchor xmlns:cdr="http://schemas.openxmlformats.org/drawingml/2006/chartDrawing">
    <cdr:from>
      <cdr:x>0.16347</cdr:x>
      <cdr:y>0.92</cdr:y>
    </cdr:from>
    <cdr:to>
      <cdr:x>0.2151</cdr:x>
      <cdr:y>0.995</cdr:y>
    </cdr:to>
    <cdr:sp macro="" textlink="">
      <cdr:nvSpPr>
        <cdr:cNvPr id="5" name="CuadroTexto 4"/>
        <cdr:cNvSpPr txBox="1"/>
      </cdr:nvSpPr>
      <cdr:spPr>
        <a:xfrm xmlns:a="http://schemas.openxmlformats.org/drawingml/2006/main">
          <a:off x="1390930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200">
              <a:solidFill>
                <a:srgbClr val="595959"/>
              </a:solidFill>
              <a:latin typeface="Arial" panose="020B0604020202020204" pitchFamily="34" charset="0"/>
            </a:rPr>
            <a:t>(1235)</a:t>
          </a:r>
        </a:p>
      </cdr:txBody>
    </cdr:sp>
  </cdr:relSizeAnchor>
  <cdr:relSizeAnchor xmlns:cdr="http://schemas.openxmlformats.org/drawingml/2006/chartDrawing">
    <cdr:from>
      <cdr:x>0.22285</cdr:x>
      <cdr:y>0.92</cdr:y>
    </cdr:from>
    <cdr:to>
      <cdr:x>0.27449</cdr:x>
      <cdr:y>0.995</cdr:y>
    </cdr:to>
    <cdr:sp macro="" textlink="">
      <cdr:nvSpPr>
        <cdr:cNvPr id="6" name="CuadroTexto 5"/>
        <cdr:cNvSpPr txBox="1"/>
      </cdr:nvSpPr>
      <cdr:spPr>
        <a:xfrm xmlns:a="http://schemas.openxmlformats.org/drawingml/2006/main">
          <a:off x="1896225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200">
              <a:solidFill>
                <a:srgbClr val="595959"/>
              </a:solidFill>
              <a:latin typeface="Arial" panose="020B0604020202020204" pitchFamily="34" charset="0"/>
            </a:rPr>
            <a:t>(940)</a:t>
          </a:r>
        </a:p>
      </cdr:txBody>
    </cdr:sp>
  </cdr:relSizeAnchor>
  <cdr:relSizeAnchor xmlns:cdr="http://schemas.openxmlformats.org/drawingml/2006/chartDrawing">
    <cdr:from>
      <cdr:x>0.30547</cdr:x>
      <cdr:y>0.92</cdr:y>
    </cdr:from>
    <cdr:to>
      <cdr:x>0.35711</cdr:x>
      <cdr:y>0.995</cdr:y>
    </cdr:to>
    <cdr:sp macro="" textlink="">
      <cdr:nvSpPr>
        <cdr:cNvPr id="7" name="CuadroTexto 6"/>
        <cdr:cNvSpPr txBox="1"/>
      </cdr:nvSpPr>
      <cdr:spPr>
        <a:xfrm xmlns:a="http://schemas.openxmlformats.org/drawingml/2006/main">
          <a:off x="2599245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200">
              <a:solidFill>
                <a:srgbClr val="595959"/>
              </a:solidFill>
              <a:latin typeface="Arial" panose="020B0604020202020204" pitchFamily="34" charset="0"/>
            </a:rPr>
            <a:t>(132)</a:t>
          </a:r>
        </a:p>
      </cdr:txBody>
    </cdr:sp>
  </cdr:relSizeAnchor>
  <cdr:relSizeAnchor xmlns:cdr="http://schemas.openxmlformats.org/drawingml/2006/chartDrawing">
    <cdr:from>
      <cdr:x>0.36485</cdr:x>
      <cdr:y>0.92</cdr:y>
    </cdr:from>
    <cdr:to>
      <cdr:x>0.41649</cdr:x>
      <cdr:y>0.995</cdr:y>
    </cdr:to>
    <cdr:sp macro="" textlink="">
      <cdr:nvSpPr>
        <cdr:cNvPr id="8" name="CuadroTexto 7"/>
        <cdr:cNvSpPr txBox="1"/>
      </cdr:nvSpPr>
      <cdr:spPr>
        <a:xfrm xmlns:a="http://schemas.openxmlformats.org/drawingml/2006/main">
          <a:off x="3104540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200">
              <a:solidFill>
                <a:srgbClr val="595959"/>
              </a:solidFill>
              <a:latin typeface="Arial" panose="020B0604020202020204" pitchFamily="34" charset="0"/>
            </a:rPr>
            <a:t>(101)</a:t>
          </a:r>
        </a:p>
      </cdr:txBody>
    </cdr:sp>
  </cdr:relSizeAnchor>
  <cdr:relSizeAnchor xmlns:cdr="http://schemas.openxmlformats.org/drawingml/2006/chartDrawing">
    <cdr:from>
      <cdr:x>0.44747</cdr:x>
      <cdr:y>0.92</cdr:y>
    </cdr:from>
    <cdr:to>
      <cdr:x>0.49911</cdr:x>
      <cdr:y>0.995</cdr:y>
    </cdr:to>
    <cdr:sp macro="" textlink="">
      <cdr:nvSpPr>
        <cdr:cNvPr id="9" name="CuadroTexto 8"/>
        <cdr:cNvSpPr txBox="1"/>
      </cdr:nvSpPr>
      <cdr:spPr>
        <a:xfrm xmlns:a="http://schemas.openxmlformats.org/drawingml/2006/main">
          <a:off x="3807559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200">
              <a:solidFill>
                <a:srgbClr val="595959"/>
              </a:solidFill>
              <a:latin typeface="Arial" panose="020B0604020202020204" pitchFamily="34" charset="0"/>
            </a:rPr>
            <a:t>(2149)</a:t>
          </a:r>
        </a:p>
      </cdr:txBody>
    </cdr:sp>
  </cdr:relSizeAnchor>
  <cdr:relSizeAnchor xmlns:cdr="http://schemas.openxmlformats.org/drawingml/2006/chartDrawing">
    <cdr:from>
      <cdr:x>0.50686</cdr:x>
      <cdr:y>0.92</cdr:y>
    </cdr:from>
    <cdr:to>
      <cdr:x>0.5585</cdr:x>
      <cdr:y>0.995</cdr:y>
    </cdr:to>
    <cdr:sp macro="" textlink="">
      <cdr:nvSpPr>
        <cdr:cNvPr id="10" name="CuadroTexto 9"/>
        <cdr:cNvSpPr txBox="1"/>
      </cdr:nvSpPr>
      <cdr:spPr>
        <a:xfrm xmlns:a="http://schemas.openxmlformats.org/drawingml/2006/main">
          <a:off x="4312854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200">
              <a:solidFill>
                <a:srgbClr val="595959"/>
              </a:solidFill>
              <a:latin typeface="Arial" panose="020B0604020202020204" pitchFamily="34" charset="0"/>
            </a:rPr>
            <a:t>(1993)</a:t>
          </a:r>
        </a:p>
      </cdr:txBody>
    </cdr:sp>
  </cdr:relSizeAnchor>
  <cdr:relSizeAnchor xmlns:cdr="http://schemas.openxmlformats.org/drawingml/2006/chartDrawing">
    <cdr:from>
      <cdr:x>0.58948</cdr:x>
      <cdr:y>0.92</cdr:y>
    </cdr:from>
    <cdr:to>
      <cdr:x>0.64112</cdr:x>
      <cdr:y>0.995</cdr:y>
    </cdr:to>
    <cdr:sp macro="" textlink="">
      <cdr:nvSpPr>
        <cdr:cNvPr id="11" name="CuadroTexto 10"/>
        <cdr:cNvSpPr txBox="1"/>
      </cdr:nvSpPr>
      <cdr:spPr>
        <a:xfrm xmlns:a="http://schemas.openxmlformats.org/drawingml/2006/main">
          <a:off x="5015873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200">
              <a:solidFill>
                <a:srgbClr val="595959"/>
              </a:solidFill>
              <a:latin typeface="Arial" panose="020B0604020202020204" pitchFamily="34" charset="0"/>
            </a:rPr>
            <a:t>(297)</a:t>
          </a:r>
        </a:p>
      </cdr:txBody>
    </cdr:sp>
  </cdr:relSizeAnchor>
  <cdr:relSizeAnchor xmlns:cdr="http://schemas.openxmlformats.org/drawingml/2006/chartDrawing">
    <cdr:from>
      <cdr:x>0.64886</cdr:x>
      <cdr:y>0.92</cdr:y>
    </cdr:from>
    <cdr:to>
      <cdr:x>0.7005</cdr:x>
      <cdr:y>0.995</cdr:y>
    </cdr:to>
    <cdr:sp macro="" textlink="">
      <cdr:nvSpPr>
        <cdr:cNvPr id="12" name="CuadroTexto 11"/>
        <cdr:cNvSpPr txBox="1"/>
      </cdr:nvSpPr>
      <cdr:spPr>
        <a:xfrm xmlns:a="http://schemas.openxmlformats.org/drawingml/2006/main">
          <a:off x="5521168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200">
              <a:solidFill>
                <a:srgbClr val="595959"/>
              </a:solidFill>
              <a:latin typeface="Arial" panose="020B0604020202020204" pitchFamily="34" charset="0"/>
            </a:rPr>
            <a:t>(218)</a:t>
          </a:r>
        </a:p>
      </cdr:txBody>
    </cdr:sp>
  </cdr:relSizeAnchor>
</c:userShapes>
</file>

<file path=xl/drawings/drawing23.xml><?xml version="1.0" encoding="utf-8"?>
<c:userShapes xmlns:c="http://schemas.openxmlformats.org/drawingml/2006/chart">
  <cdr:relSizeAnchor xmlns:cdr="http://schemas.openxmlformats.org/drawingml/2006/chartDrawing">
    <cdr:from>
      <cdr:x>0.18075</cdr:x>
      <cdr:y>0.92308</cdr:y>
    </cdr:from>
    <cdr:to>
      <cdr:x>0.73075</cdr:x>
      <cdr:y>1</cdr:y>
    </cdr:to>
    <cdr:sp macro="" textlink="">
      <cdr:nvSpPr>
        <cdr:cNvPr id="2" name="CuadroTexto 1"/>
        <cdr:cNvSpPr txBox="1"/>
      </cdr:nvSpPr>
      <cdr:spPr>
        <a:xfrm xmlns:a="http://schemas.openxmlformats.org/drawingml/2006/main">
          <a:off x="1147762" y="4703762"/>
          <a:ext cx="3492500" cy="381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200" i="1">
              <a:latin typeface="Arial" panose="020B0604020202020204" pitchFamily="34" charset="0"/>
              <a:cs typeface="Arial" panose="020B0604020202020204" pitchFamily="34" charset="0"/>
            </a:rPr>
            <a:t>Total de Respondentes: 1839</a:t>
          </a:r>
        </a:p>
      </cdr:txBody>
    </cdr:sp>
  </cdr:relSizeAnchor>
</c:userShapes>
</file>

<file path=xl/drawings/drawing24.xml><?xml version="1.0" encoding="utf-8"?>
<c:userShapes xmlns:c="http://schemas.openxmlformats.org/drawingml/2006/chart">
  <cdr:relSizeAnchor xmlns:cdr="http://schemas.openxmlformats.org/drawingml/2006/chartDrawing">
    <cdr:from>
      <cdr:x>0.00597</cdr:x>
      <cdr:y>0.20026</cdr:y>
    </cdr:from>
    <cdr:to>
      <cdr:x>0.05075</cdr:x>
      <cdr:y>0.30026</cdr:y>
    </cdr:to>
    <cdr:sp macro="" textlink="">
      <cdr:nvSpPr>
        <cdr:cNvPr id="2" name="TextBox_3_0"/>
        <cdr:cNvSpPr txBox="1"/>
      </cdr:nvSpPr>
      <cdr:spPr>
        <a:xfrm xmlns:a="http://schemas.openxmlformats.org/drawingml/2006/main">
          <a:off x="50800" y="508673"/>
          <a:ext cx="381000" cy="254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2400" b="1">
              <a:latin typeface="Arial" panose="020B0604020202020204" pitchFamily="34" charset="0"/>
            </a:rPr>
            <a:t>83</a:t>
          </a:r>
        </a:p>
      </cdr:txBody>
    </cdr:sp>
  </cdr:relSizeAnchor>
  <cdr:relSizeAnchor xmlns:cdr="http://schemas.openxmlformats.org/drawingml/2006/chartDrawing">
    <cdr:from>
      <cdr:x>0.02146</cdr:x>
      <cdr:y>0.92</cdr:y>
    </cdr:from>
    <cdr:to>
      <cdr:x>0.0731</cdr:x>
      <cdr:y>0.995</cdr:y>
    </cdr:to>
    <cdr:sp macro="" textlink="">
      <cdr:nvSpPr>
        <cdr:cNvPr id="3" name="CuadroTexto 2"/>
        <cdr:cNvSpPr txBox="1"/>
      </cdr:nvSpPr>
      <cdr:spPr>
        <a:xfrm xmlns:a="http://schemas.openxmlformats.org/drawingml/2006/main">
          <a:off x="182616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200">
              <a:solidFill>
                <a:srgbClr val="595959"/>
              </a:solidFill>
              <a:latin typeface="Arial" panose="020B0604020202020204" pitchFamily="34" charset="0"/>
            </a:rPr>
            <a:t>(-)</a:t>
          </a:r>
        </a:p>
      </cdr:txBody>
    </cdr:sp>
  </cdr:relSizeAnchor>
  <cdr:relSizeAnchor xmlns:cdr="http://schemas.openxmlformats.org/drawingml/2006/chartDrawing">
    <cdr:from>
      <cdr:x>0.08085</cdr:x>
      <cdr:y>0.92</cdr:y>
    </cdr:from>
    <cdr:to>
      <cdr:x>0.13248</cdr:x>
      <cdr:y>0.995</cdr:y>
    </cdr:to>
    <cdr:sp macro="" textlink="">
      <cdr:nvSpPr>
        <cdr:cNvPr id="4" name="CuadroTexto 3"/>
        <cdr:cNvSpPr txBox="1"/>
      </cdr:nvSpPr>
      <cdr:spPr>
        <a:xfrm xmlns:a="http://schemas.openxmlformats.org/drawingml/2006/main">
          <a:off x="687911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200">
              <a:solidFill>
                <a:srgbClr val="595959"/>
              </a:solidFill>
              <a:latin typeface="Arial" panose="020B0604020202020204" pitchFamily="34" charset="0"/>
            </a:rPr>
            <a:t>(789)</a:t>
          </a:r>
        </a:p>
      </cdr:txBody>
    </cdr:sp>
  </cdr:relSizeAnchor>
  <cdr:relSizeAnchor xmlns:cdr="http://schemas.openxmlformats.org/drawingml/2006/chartDrawing">
    <cdr:from>
      <cdr:x>0.16347</cdr:x>
      <cdr:y>0.92</cdr:y>
    </cdr:from>
    <cdr:to>
      <cdr:x>0.2151</cdr:x>
      <cdr:y>0.995</cdr:y>
    </cdr:to>
    <cdr:sp macro="" textlink="">
      <cdr:nvSpPr>
        <cdr:cNvPr id="5" name="CuadroTexto 4"/>
        <cdr:cNvSpPr txBox="1"/>
      </cdr:nvSpPr>
      <cdr:spPr>
        <a:xfrm xmlns:a="http://schemas.openxmlformats.org/drawingml/2006/main">
          <a:off x="1390930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200">
              <a:solidFill>
                <a:srgbClr val="595959"/>
              </a:solidFill>
              <a:latin typeface="Arial" panose="020B0604020202020204" pitchFamily="34" charset="0"/>
            </a:rPr>
            <a:t>(-)</a:t>
          </a:r>
        </a:p>
      </cdr:txBody>
    </cdr:sp>
  </cdr:relSizeAnchor>
  <cdr:relSizeAnchor xmlns:cdr="http://schemas.openxmlformats.org/drawingml/2006/chartDrawing">
    <cdr:from>
      <cdr:x>0.22285</cdr:x>
      <cdr:y>0.92</cdr:y>
    </cdr:from>
    <cdr:to>
      <cdr:x>0.27449</cdr:x>
      <cdr:y>0.995</cdr:y>
    </cdr:to>
    <cdr:sp macro="" textlink="">
      <cdr:nvSpPr>
        <cdr:cNvPr id="6" name="CuadroTexto 5"/>
        <cdr:cNvSpPr txBox="1"/>
      </cdr:nvSpPr>
      <cdr:spPr>
        <a:xfrm xmlns:a="http://schemas.openxmlformats.org/drawingml/2006/main">
          <a:off x="1896225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200">
              <a:solidFill>
                <a:srgbClr val="595959"/>
              </a:solidFill>
              <a:latin typeface="Arial" panose="020B0604020202020204" pitchFamily="34" charset="0"/>
            </a:rPr>
            <a:t>(283)</a:t>
          </a:r>
        </a:p>
      </cdr:txBody>
    </cdr:sp>
  </cdr:relSizeAnchor>
  <cdr:relSizeAnchor xmlns:cdr="http://schemas.openxmlformats.org/drawingml/2006/chartDrawing">
    <cdr:from>
      <cdr:x>0.30547</cdr:x>
      <cdr:y>0.92</cdr:y>
    </cdr:from>
    <cdr:to>
      <cdr:x>0.35711</cdr:x>
      <cdr:y>0.995</cdr:y>
    </cdr:to>
    <cdr:sp macro="" textlink="">
      <cdr:nvSpPr>
        <cdr:cNvPr id="7" name="CuadroTexto 6"/>
        <cdr:cNvSpPr txBox="1"/>
      </cdr:nvSpPr>
      <cdr:spPr>
        <a:xfrm xmlns:a="http://schemas.openxmlformats.org/drawingml/2006/main">
          <a:off x="2599245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200">
              <a:solidFill>
                <a:srgbClr val="595959"/>
              </a:solidFill>
              <a:latin typeface="Arial" panose="020B0604020202020204" pitchFamily="34" charset="0"/>
            </a:rPr>
            <a:t>(-)</a:t>
          </a:r>
        </a:p>
      </cdr:txBody>
    </cdr:sp>
  </cdr:relSizeAnchor>
  <cdr:relSizeAnchor xmlns:cdr="http://schemas.openxmlformats.org/drawingml/2006/chartDrawing">
    <cdr:from>
      <cdr:x>0.36485</cdr:x>
      <cdr:y>0.92</cdr:y>
    </cdr:from>
    <cdr:to>
      <cdr:x>0.41649</cdr:x>
      <cdr:y>0.995</cdr:y>
    </cdr:to>
    <cdr:sp macro="" textlink="">
      <cdr:nvSpPr>
        <cdr:cNvPr id="8" name="CuadroTexto 7"/>
        <cdr:cNvSpPr txBox="1"/>
      </cdr:nvSpPr>
      <cdr:spPr>
        <a:xfrm xmlns:a="http://schemas.openxmlformats.org/drawingml/2006/main">
          <a:off x="3104540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200">
              <a:solidFill>
                <a:srgbClr val="595959"/>
              </a:solidFill>
              <a:latin typeface="Arial" panose="020B0604020202020204" pitchFamily="34" charset="0"/>
            </a:rPr>
            <a:t>(450)</a:t>
          </a:r>
        </a:p>
      </cdr:txBody>
    </cdr:sp>
  </cdr:relSizeAnchor>
  <cdr:relSizeAnchor xmlns:cdr="http://schemas.openxmlformats.org/drawingml/2006/chartDrawing">
    <cdr:from>
      <cdr:x>0.44747</cdr:x>
      <cdr:y>0.92</cdr:y>
    </cdr:from>
    <cdr:to>
      <cdr:x>0.49911</cdr:x>
      <cdr:y>0.995</cdr:y>
    </cdr:to>
    <cdr:sp macro="" textlink="">
      <cdr:nvSpPr>
        <cdr:cNvPr id="9" name="CuadroTexto 8"/>
        <cdr:cNvSpPr txBox="1"/>
      </cdr:nvSpPr>
      <cdr:spPr>
        <a:xfrm xmlns:a="http://schemas.openxmlformats.org/drawingml/2006/main">
          <a:off x="3807559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200">
              <a:solidFill>
                <a:srgbClr val="595959"/>
              </a:solidFill>
              <a:latin typeface="Arial" panose="020B0604020202020204" pitchFamily="34" charset="0"/>
            </a:rPr>
            <a:t>(-)</a:t>
          </a:r>
        </a:p>
      </cdr:txBody>
    </cdr:sp>
  </cdr:relSizeAnchor>
  <cdr:relSizeAnchor xmlns:cdr="http://schemas.openxmlformats.org/drawingml/2006/chartDrawing">
    <cdr:from>
      <cdr:x>0.50686</cdr:x>
      <cdr:y>0.92</cdr:y>
    </cdr:from>
    <cdr:to>
      <cdr:x>0.5585</cdr:x>
      <cdr:y>0.995</cdr:y>
    </cdr:to>
    <cdr:sp macro="" textlink="">
      <cdr:nvSpPr>
        <cdr:cNvPr id="10" name="CuadroTexto 9"/>
        <cdr:cNvSpPr txBox="1"/>
      </cdr:nvSpPr>
      <cdr:spPr>
        <a:xfrm xmlns:a="http://schemas.openxmlformats.org/drawingml/2006/main">
          <a:off x="4312854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200">
              <a:solidFill>
                <a:srgbClr val="595959"/>
              </a:solidFill>
              <a:latin typeface="Arial" panose="020B0604020202020204" pitchFamily="34" charset="0"/>
            </a:rPr>
            <a:t>(317)</a:t>
          </a:r>
        </a:p>
      </cdr:txBody>
    </cdr:sp>
  </cdr:relSizeAnchor>
</c:userShapes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20</xdr:row>
      <xdr:rowOff>60325</xdr:rowOff>
    </xdr:from>
    <xdr:to>
      <xdr:col>12</xdr:col>
      <xdr:colOff>635000</xdr:colOff>
      <xdr:row>46</xdr:row>
      <xdr:rowOff>142875</xdr:rowOff>
    </xdr:to>
    <xdr:graphicFrame macro="">
      <xdr:nvGraphicFramePr>
        <xdr:cNvPr id="2" name="ResultadoGeneral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</xdr:col>
      <xdr:colOff>0</xdr:colOff>
      <xdr:row>46</xdr:row>
      <xdr:rowOff>187325</xdr:rowOff>
    </xdr:from>
    <xdr:to>
      <xdr:col>13</xdr:col>
      <xdr:colOff>508000</xdr:colOff>
      <xdr:row>65</xdr:row>
      <xdr:rowOff>9525</xdr:rowOff>
    </xdr:to>
    <xdr:graphicFrame macro="">
      <xdr:nvGraphicFramePr>
        <xdr:cNvPr id="3" name="ResultadoHistorico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</xdr:col>
      <xdr:colOff>0</xdr:colOff>
      <xdr:row>73</xdr:row>
      <xdr:rowOff>123825</xdr:rowOff>
    </xdr:from>
    <xdr:to>
      <xdr:col>12</xdr:col>
      <xdr:colOff>635000</xdr:colOff>
      <xdr:row>100</xdr:row>
      <xdr:rowOff>15875</xdr:rowOff>
    </xdr:to>
    <xdr:graphicFrame macro="">
      <xdr:nvGraphicFramePr>
        <xdr:cNvPr id="4" name="ResultadoGeneral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</xdr:col>
      <xdr:colOff>0</xdr:colOff>
      <xdr:row>100</xdr:row>
      <xdr:rowOff>60325</xdr:rowOff>
    </xdr:from>
    <xdr:to>
      <xdr:col>13</xdr:col>
      <xdr:colOff>508000</xdr:colOff>
      <xdr:row>118</xdr:row>
      <xdr:rowOff>73025</xdr:rowOff>
    </xdr:to>
    <xdr:graphicFrame macro="">
      <xdr:nvGraphicFramePr>
        <xdr:cNvPr id="5" name="ResultadoHistorico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</xdr:col>
      <xdr:colOff>0</xdr:colOff>
      <xdr:row>126</xdr:row>
      <xdr:rowOff>187325</xdr:rowOff>
    </xdr:from>
    <xdr:to>
      <xdr:col>17</xdr:col>
      <xdr:colOff>0</xdr:colOff>
      <xdr:row>147</xdr:row>
      <xdr:rowOff>123825</xdr:rowOff>
    </xdr:to>
    <xdr:grpSp>
      <xdr:nvGrpSpPr>
        <xdr:cNvPr id="8" name="ResultadoDimension1"/>
        <xdr:cNvGrpSpPr/>
      </xdr:nvGrpSpPr>
      <xdr:grpSpPr>
        <a:xfrm>
          <a:off x="2076450" y="25400000"/>
          <a:ext cx="11430000" cy="3937000"/>
          <a:chOff x="1524000" y="25400000"/>
          <a:chExt cx="11430000" cy="3937000"/>
        </a:xfrm>
      </xdr:grpSpPr>
      <xdr:graphicFrame macro="">
        <xdr:nvGraphicFramePr>
          <xdr:cNvPr id="6" name="Dimension1"/>
          <xdr:cNvGraphicFramePr/>
        </xdr:nvGraphicFramePr>
        <xdr:xfrm>
          <a:off x="2540000" y="25400000"/>
          <a:ext cx="2413000" cy="3302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5"/>
          </a:graphicData>
        </a:graphic>
      </xdr:graphicFrame>
      <xdr:graphicFrame macro="">
        <xdr:nvGraphicFramePr>
          <xdr:cNvPr id="7" name="ResultadoDimension1.1"/>
          <xdr:cNvGraphicFramePr/>
        </xdr:nvGraphicFramePr>
        <xdr:xfrm>
          <a:off x="1524000" y="25400000"/>
          <a:ext cx="11430000" cy="3937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6"/>
          </a:graphicData>
        </a:graphic>
      </xdr:graphicFrame>
    </xdr:grpSp>
    <xdr:clientData/>
  </xdr:twoCellAnchor>
  <xdr:twoCellAnchor>
    <xdr:from>
      <xdr:col>2</xdr:col>
      <xdr:colOff>0</xdr:colOff>
      <xdr:row>153</xdr:row>
      <xdr:rowOff>123825</xdr:rowOff>
    </xdr:from>
    <xdr:to>
      <xdr:col>17</xdr:col>
      <xdr:colOff>0</xdr:colOff>
      <xdr:row>174</xdr:row>
      <xdr:rowOff>60325</xdr:rowOff>
    </xdr:to>
    <xdr:grpSp>
      <xdr:nvGrpSpPr>
        <xdr:cNvPr id="11" name="ResultadoDimension2"/>
        <xdr:cNvGrpSpPr/>
      </xdr:nvGrpSpPr>
      <xdr:grpSpPr>
        <a:xfrm>
          <a:off x="2076450" y="30480000"/>
          <a:ext cx="11430000" cy="3937000"/>
          <a:chOff x="1524000" y="30480000"/>
          <a:chExt cx="11430000" cy="3937000"/>
        </a:xfrm>
      </xdr:grpSpPr>
      <xdr:graphicFrame macro="">
        <xdr:nvGraphicFramePr>
          <xdr:cNvPr id="9" name="Dimension2"/>
          <xdr:cNvGraphicFramePr/>
        </xdr:nvGraphicFramePr>
        <xdr:xfrm>
          <a:off x="2540000" y="30480000"/>
          <a:ext cx="2413000" cy="3302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7"/>
          </a:graphicData>
        </a:graphic>
      </xdr:graphicFrame>
      <xdr:graphicFrame macro="">
        <xdr:nvGraphicFramePr>
          <xdr:cNvPr id="10" name="ResultadoDimension2.2"/>
          <xdr:cNvGraphicFramePr/>
        </xdr:nvGraphicFramePr>
        <xdr:xfrm>
          <a:off x="1524000" y="30480000"/>
          <a:ext cx="11430000" cy="3937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8"/>
          </a:graphicData>
        </a:graphic>
      </xdr:graphicFrame>
    </xdr:grpSp>
    <xdr:clientData/>
  </xdr:twoCellAnchor>
  <xdr:twoCellAnchor>
    <xdr:from>
      <xdr:col>2</xdr:col>
      <xdr:colOff>0</xdr:colOff>
      <xdr:row>180</xdr:row>
      <xdr:rowOff>60325</xdr:rowOff>
    </xdr:from>
    <xdr:to>
      <xdr:col>17</xdr:col>
      <xdr:colOff>0</xdr:colOff>
      <xdr:row>200</xdr:row>
      <xdr:rowOff>187325</xdr:rowOff>
    </xdr:to>
    <xdr:grpSp>
      <xdr:nvGrpSpPr>
        <xdr:cNvPr id="14" name="ResultadoDimension3"/>
        <xdr:cNvGrpSpPr/>
      </xdr:nvGrpSpPr>
      <xdr:grpSpPr>
        <a:xfrm>
          <a:off x="2076450" y="35560000"/>
          <a:ext cx="11430000" cy="3937000"/>
          <a:chOff x="1524000" y="35560000"/>
          <a:chExt cx="11430000" cy="3937000"/>
        </a:xfrm>
      </xdr:grpSpPr>
      <xdr:graphicFrame macro="">
        <xdr:nvGraphicFramePr>
          <xdr:cNvPr id="12" name="Dimension3"/>
          <xdr:cNvGraphicFramePr/>
        </xdr:nvGraphicFramePr>
        <xdr:xfrm>
          <a:off x="2540000" y="35560000"/>
          <a:ext cx="2413000" cy="3302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9"/>
          </a:graphicData>
        </a:graphic>
      </xdr:graphicFrame>
      <xdr:graphicFrame macro="">
        <xdr:nvGraphicFramePr>
          <xdr:cNvPr id="13" name="ResultadoDimension3.3"/>
          <xdr:cNvGraphicFramePr/>
        </xdr:nvGraphicFramePr>
        <xdr:xfrm>
          <a:off x="1524000" y="35560000"/>
          <a:ext cx="11430000" cy="3937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0"/>
          </a:graphicData>
        </a:graphic>
      </xdr:graphicFrame>
    </xdr:grpSp>
    <xdr:clientData/>
  </xdr:twoCellAnchor>
  <xdr:twoCellAnchor>
    <xdr:from>
      <xdr:col>2</xdr:col>
      <xdr:colOff>0</xdr:colOff>
      <xdr:row>206</xdr:row>
      <xdr:rowOff>187325</xdr:rowOff>
    </xdr:from>
    <xdr:to>
      <xdr:col>17</xdr:col>
      <xdr:colOff>0</xdr:colOff>
      <xdr:row>227</xdr:row>
      <xdr:rowOff>123825</xdr:rowOff>
    </xdr:to>
    <xdr:grpSp>
      <xdr:nvGrpSpPr>
        <xdr:cNvPr id="17" name="ResultadoDimension4"/>
        <xdr:cNvGrpSpPr/>
      </xdr:nvGrpSpPr>
      <xdr:grpSpPr>
        <a:xfrm>
          <a:off x="2076450" y="40640000"/>
          <a:ext cx="11430000" cy="3937000"/>
          <a:chOff x="1524000" y="40640000"/>
          <a:chExt cx="11430000" cy="3937000"/>
        </a:xfrm>
      </xdr:grpSpPr>
      <xdr:graphicFrame macro="">
        <xdr:nvGraphicFramePr>
          <xdr:cNvPr id="15" name="Dimension4"/>
          <xdr:cNvGraphicFramePr/>
        </xdr:nvGraphicFramePr>
        <xdr:xfrm>
          <a:off x="2540000" y="40640000"/>
          <a:ext cx="2413000" cy="3302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1"/>
          </a:graphicData>
        </a:graphic>
      </xdr:graphicFrame>
      <xdr:graphicFrame macro="">
        <xdr:nvGraphicFramePr>
          <xdr:cNvPr id="16" name="ResultadoDimension4.4"/>
          <xdr:cNvGraphicFramePr/>
        </xdr:nvGraphicFramePr>
        <xdr:xfrm>
          <a:off x="1524000" y="40640000"/>
          <a:ext cx="11430000" cy="3937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2"/>
          </a:graphicData>
        </a:graphic>
      </xdr:graphicFrame>
    </xdr:grpSp>
    <xdr:clientData/>
  </xdr:twoCellAnchor>
  <xdr:twoCellAnchor>
    <xdr:from>
      <xdr:col>2</xdr:col>
      <xdr:colOff>0</xdr:colOff>
      <xdr:row>233</xdr:row>
      <xdr:rowOff>123825</xdr:rowOff>
    </xdr:from>
    <xdr:to>
      <xdr:col>17</xdr:col>
      <xdr:colOff>0</xdr:colOff>
      <xdr:row>254</xdr:row>
      <xdr:rowOff>60325</xdr:rowOff>
    </xdr:to>
    <xdr:grpSp>
      <xdr:nvGrpSpPr>
        <xdr:cNvPr id="20" name="ResultadoDimension5"/>
        <xdr:cNvGrpSpPr/>
      </xdr:nvGrpSpPr>
      <xdr:grpSpPr>
        <a:xfrm>
          <a:off x="2076450" y="45720000"/>
          <a:ext cx="11430000" cy="3937000"/>
          <a:chOff x="1524000" y="45720000"/>
          <a:chExt cx="11430000" cy="3937000"/>
        </a:xfrm>
      </xdr:grpSpPr>
      <xdr:graphicFrame macro="">
        <xdr:nvGraphicFramePr>
          <xdr:cNvPr id="18" name="Dimension5"/>
          <xdr:cNvGraphicFramePr/>
        </xdr:nvGraphicFramePr>
        <xdr:xfrm>
          <a:off x="2540000" y="45720000"/>
          <a:ext cx="2413000" cy="3302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3"/>
          </a:graphicData>
        </a:graphic>
      </xdr:graphicFrame>
      <xdr:graphicFrame macro="">
        <xdr:nvGraphicFramePr>
          <xdr:cNvPr id="19" name="ResultadoDimension5.5"/>
          <xdr:cNvGraphicFramePr/>
        </xdr:nvGraphicFramePr>
        <xdr:xfrm>
          <a:off x="1524000" y="45720000"/>
          <a:ext cx="11430000" cy="3937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4"/>
          </a:graphicData>
        </a:graphic>
      </xdr:graphicFrame>
    </xdr:grpSp>
    <xdr:clientData/>
  </xdr:twoCellAnchor>
  <xdr:twoCellAnchor>
    <xdr:from>
      <xdr:col>1</xdr:col>
      <xdr:colOff>508000</xdr:colOff>
      <xdr:row>399</xdr:row>
      <xdr:rowOff>0</xdr:rowOff>
    </xdr:from>
    <xdr:to>
      <xdr:col>16</xdr:col>
      <xdr:colOff>444500</xdr:colOff>
      <xdr:row>414</xdr:row>
      <xdr:rowOff>120650</xdr:rowOff>
    </xdr:to>
    <xdr:grpSp>
      <xdr:nvGrpSpPr>
        <xdr:cNvPr id="55" name="GraficoSintesis1"/>
        <xdr:cNvGrpSpPr/>
      </xdr:nvGrpSpPr>
      <xdr:grpSpPr>
        <a:xfrm>
          <a:off x="1822450" y="87382350"/>
          <a:ext cx="11366500" cy="5016500"/>
          <a:chOff x="1270000" y="87382350"/>
          <a:chExt cx="11366500" cy="5016500"/>
        </a:xfrm>
      </xdr:grpSpPr>
      <xdr:sp macro="" textlink="">
        <xdr:nvSpPr>
          <xdr:cNvPr id="48" name="GraficoSintesis1_Fondo"/>
          <xdr:cNvSpPr/>
        </xdr:nvSpPr>
        <xdr:spPr>
          <a:xfrm>
            <a:off x="1270000" y="87382350"/>
            <a:ext cx="11366500" cy="5016500"/>
          </a:xfrm>
          <a:prstGeom prst="rect">
            <a:avLst/>
          </a:prstGeom>
          <a:solidFill>
            <a:schemeClr val="bg1">
              <a:lumMod val="95000"/>
            </a:schemeClr>
          </a:solidFill>
          <a:ln w="25400" cap="flat" cmpd="sng" algn="ctr">
            <a:solidFill>
              <a:schemeClr val="bg1">
                <a:lumMod val="9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AR" sz="1100"/>
          </a:p>
        </xdr:txBody>
      </xdr:sp>
      <xdr:grpSp>
        <xdr:nvGrpSpPr>
          <xdr:cNvPr id="47" name="GraficoSintesis1"/>
          <xdr:cNvGrpSpPr/>
        </xdr:nvGrpSpPr>
        <xdr:grpSpPr>
          <a:xfrm>
            <a:off x="1270000" y="87382350"/>
            <a:ext cx="11366500" cy="5016500"/>
            <a:chOff x="1270000" y="87382350"/>
            <a:chExt cx="11366500" cy="5016500"/>
          </a:xfrm>
        </xdr:grpSpPr>
        <xdr:graphicFrame macro="">
          <xdr:nvGraphicFramePr>
            <xdr:cNvPr id="21" name="GraficoSintesis1"/>
            <xdr:cNvGraphicFramePr/>
          </xdr:nvGraphicFramePr>
          <xdr:xfrm>
            <a:off x="6985000" y="87382350"/>
            <a:ext cx="5651500" cy="5016500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15"/>
            </a:graphicData>
          </a:graphic>
        </xdr:graphicFrame>
        <xdr:sp macro="" textlink="">
          <xdr:nvSpPr>
            <xdr:cNvPr id="22" name="GraficoSintesis1_NombreDimension1"/>
            <xdr:cNvSpPr txBox="1"/>
          </xdr:nvSpPr>
          <xdr:spPr>
            <a:xfrm>
              <a:off x="1270000" y="87401400"/>
              <a:ext cx="2032000" cy="762000"/>
            </a:xfrm>
            <a:prstGeom prst="rect">
              <a:avLst/>
            </a:prstGeom>
            <a:noFill/>
            <a:ln w="9525" cmpd="sng"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chemeClr val="lt1"/>
                  </a:solidFill>
                </a14:hiddenFill>
              </a:ext>
              <a:ext uri="{91240B29-F687-4F45-9708-019B960494DF}">
                <a14:hiddenLine xmlns:a14="http://schemas.microsoft.com/office/drawing/2010/main" w="9525" cmpd="sng">
                  <a:solidFill>
                    <a:schemeClr val="lt1">
                      <a:shade val="50000"/>
                    </a:schemeClr>
                  </a:solidFill>
                </a14:hiddenLine>
              </a:ext>
            </a:extLst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vert="horz" rtlCol="0" anchor="ctr"/>
            <a:lstStyle/>
            <a:p>
              <a:pPr algn="l"/>
              <a:r>
                <a:rPr lang="es-AR" sz="2200" b="1">
                  <a:solidFill>
                    <a:srgbClr val="FFC000"/>
                  </a:solidFill>
                  <a:latin typeface="Arial" panose="020B0604020202020204" pitchFamily="34" charset="0"/>
                </a:rPr>
                <a:t>Credibilidad</a:t>
              </a:r>
            </a:p>
          </xdr:txBody>
        </xdr:sp>
        <xdr:sp macro="" textlink="">
          <xdr:nvSpPr>
            <xdr:cNvPr id="23" name="GraficoSintesis1_NombreDimension2"/>
            <xdr:cNvSpPr txBox="1"/>
          </xdr:nvSpPr>
          <xdr:spPr>
            <a:xfrm>
              <a:off x="1270000" y="88404700"/>
              <a:ext cx="2032000" cy="762000"/>
            </a:xfrm>
            <a:prstGeom prst="rect">
              <a:avLst/>
            </a:prstGeom>
            <a:noFill/>
            <a:ln w="9525" cmpd="sng"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chemeClr val="lt1"/>
                  </a:solidFill>
                </a14:hiddenFill>
              </a:ext>
              <a:ext uri="{91240B29-F687-4F45-9708-019B960494DF}">
                <a14:hiddenLine xmlns:a14="http://schemas.microsoft.com/office/drawing/2010/main" w="9525" cmpd="sng">
                  <a:solidFill>
                    <a:schemeClr val="lt1">
                      <a:shade val="50000"/>
                    </a:schemeClr>
                  </a:solidFill>
                </a14:hiddenLine>
              </a:ext>
            </a:extLst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vert="horz" rtlCol="0" anchor="ctr"/>
            <a:lstStyle/>
            <a:p>
              <a:pPr algn="l"/>
              <a:r>
                <a:rPr lang="es-AR" sz="2200" b="1">
                  <a:solidFill>
                    <a:srgbClr val="AA272F"/>
                  </a:solidFill>
                  <a:latin typeface="Arial" panose="020B0604020202020204" pitchFamily="34" charset="0"/>
                </a:rPr>
                <a:t>Respeto</a:t>
              </a:r>
            </a:p>
          </xdr:txBody>
        </xdr:sp>
        <xdr:sp macro="" textlink="">
          <xdr:nvSpPr>
            <xdr:cNvPr id="24" name="GraficoSintesis1_NombreDimension3"/>
            <xdr:cNvSpPr txBox="1"/>
          </xdr:nvSpPr>
          <xdr:spPr>
            <a:xfrm>
              <a:off x="1270000" y="89408000"/>
              <a:ext cx="2032000" cy="762000"/>
            </a:xfrm>
            <a:prstGeom prst="rect">
              <a:avLst/>
            </a:prstGeom>
            <a:noFill/>
            <a:ln w="9525" cmpd="sng"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chemeClr val="lt1"/>
                  </a:solidFill>
                </a14:hiddenFill>
              </a:ext>
              <a:ext uri="{91240B29-F687-4F45-9708-019B960494DF}">
                <a14:hiddenLine xmlns:a14="http://schemas.microsoft.com/office/drawing/2010/main" w="9525" cmpd="sng">
                  <a:solidFill>
                    <a:schemeClr val="lt1">
                      <a:shade val="50000"/>
                    </a:schemeClr>
                  </a:solidFill>
                </a14:hiddenLine>
              </a:ext>
            </a:extLst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vert="horz" rtlCol="0" anchor="ctr"/>
            <a:lstStyle/>
            <a:p>
              <a:pPr algn="l"/>
              <a:r>
                <a:rPr lang="es-AR" sz="2200" b="1">
                  <a:solidFill>
                    <a:srgbClr val="005172"/>
                  </a:solidFill>
                  <a:latin typeface="Arial" panose="020B0604020202020204" pitchFamily="34" charset="0"/>
                </a:rPr>
                <a:t>Imparcialidad</a:t>
              </a:r>
            </a:p>
          </xdr:txBody>
        </xdr:sp>
        <xdr:sp macro="" textlink="">
          <xdr:nvSpPr>
            <xdr:cNvPr id="25" name="GraficoSintesis1_NombreDimension4"/>
            <xdr:cNvSpPr txBox="1"/>
          </xdr:nvSpPr>
          <xdr:spPr>
            <a:xfrm>
              <a:off x="1270000" y="90411300"/>
              <a:ext cx="2032000" cy="762000"/>
            </a:xfrm>
            <a:prstGeom prst="rect">
              <a:avLst/>
            </a:prstGeom>
            <a:noFill/>
            <a:ln w="9525" cmpd="sng"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chemeClr val="lt1"/>
                  </a:solidFill>
                </a14:hiddenFill>
              </a:ext>
              <a:ext uri="{91240B29-F687-4F45-9708-019B960494DF}">
                <a14:hiddenLine xmlns:a14="http://schemas.microsoft.com/office/drawing/2010/main" w="9525" cmpd="sng">
                  <a:solidFill>
                    <a:schemeClr val="lt1">
                      <a:shade val="50000"/>
                    </a:schemeClr>
                  </a:solidFill>
                </a14:hiddenLine>
              </a:ext>
            </a:extLst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vert="horz" rtlCol="0" anchor="ctr"/>
            <a:lstStyle/>
            <a:p>
              <a:pPr algn="l"/>
              <a:r>
                <a:rPr lang="es-AR" sz="2200" b="1">
                  <a:solidFill>
                    <a:srgbClr val="73A11F"/>
                  </a:solidFill>
                  <a:latin typeface="Arial" panose="020B0604020202020204" pitchFamily="34" charset="0"/>
                </a:rPr>
                <a:t>Orgullo</a:t>
              </a:r>
            </a:p>
          </xdr:txBody>
        </xdr:sp>
        <xdr:sp macro="" textlink="">
          <xdr:nvSpPr>
            <xdr:cNvPr id="26" name="GraficoSintesis1_NombreDimension5"/>
            <xdr:cNvSpPr txBox="1"/>
          </xdr:nvSpPr>
          <xdr:spPr>
            <a:xfrm>
              <a:off x="1270000" y="91414600"/>
              <a:ext cx="2032000" cy="762000"/>
            </a:xfrm>
            <a:prstGeom prst="rect">
              <a:avLst/>
            </a:prstGeom>
            <a:noFill/>
            <a:ln w="9525" cmpd="sng"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chemeClr val="lt1"/>
                  </a:solidFill>
                </a14:hiddenFill>
              </a:ext>
              <a:ext uri="{91240B29-F687-4F45-9708-019B960494DF}">
                <a14:hiddenLine xmlns:a14="http://schemas.microsoft.com/office/drawing/2010/main" w="9525" cmpd="sng">
                  <a:solidFill>
                    <a:schemeClr val="lt1">
                      <a:shade val="50000"/>
                    </a:schemeClr>
                  </a:solidFill>
                </a14:hiddenLine>
              </a:ext>
            </a:extLst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vert="horz" rtlCol="0" anchor="ctr"/>
            <a:lstStyle/>
            <a:p>
              <a:pPr algn="l"/>
              <a:r>
                <a:rPr lang="es-AR" sz="2200" b="1">
                  <a:solidFill>
                    <a:srgbClr val="612141"/>
                  </a:solidFill>
                  <a:latin typeface="Arial" panose="020B0604020202020204" pitchFamily="34" charset="0"/>
                </a:rPr>
                <a:t>Camaradería</a:t>
              </a:r>
            </a:p>
          </xdr:txBody>
        </xdr:sp>
        <xdr:sp macro="" textlink="">
          <xdr:nvSpPr>
            <xdr:cNvPr id="27" name="GraficoSintesis1_NombreSerie1"/>
            <xdr:cNvSpPr txBox="1"/>
          </xdr:nvSpPr>
          <xdr:spPr>
            <a:xfrm>
              <a:off x="4445000" y="87512350"/>
              <a:ext cx="2540000" cy="298800"/>
            </a:xfrm>
            <a:prstGeom prst="rect">
              <a:avLst/>
            </a:prstGeom>
            <a:noFill/>
            <a:ln w="9525" cmpd="sng"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chemeClr val="lt1"/>
                  </a:solidFill>
                </a14:hiddenFill>
              </a:ext>
              <a:ext uri="{91240B29-F687-4F45-9708-019B960494DF}">
                <a14:hiddenLine xmlns:a14="http://schemas.microsoft.com/office/drawing/2010/main" w="9525" cmpd="sng">
                  <a:solidFill>
                    <a:schemeClr val="lt1">
                      <a:shade val="50000"/>
                    </a:schemeClr>
                  </a:solidFill>
                </a14:hiddenLine>
              </a:ext>
            </a:extLst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vert="horz" rtlCol="0" anchor="ctr">
              <a:spAutoFit/>
            </a:bodyPr>
            <a:lstStyle/>
            <a:p>
              <a:pPr algn="r"/>
              <a:r>
                <a:rPr lang="es-AR" sz="1400" b="0">
                  <a:solidFill>
                    <a:srgbClr val="FFC000"/>
                  </a:solidFill>
                  <a:latin typeface="Arial" panose="020B0604020202020204" pitchFamily="34" charset="0"/>
                </a:rPr>
                <a:t>Comunicación</a:t>
              </a:r>
            </a:p>
          </xdr:txBody>
        </xdr:sp>
        <xdr:sp macro="" textlink="">
          <xdr:nvSpPr>
            <xdr:cNvPr id="28" name="GraficoSintesis1_NombreSerie2"/>
            <xdr:cNvSpPr txBox="1"/>
          </xdr:nvSpPr>
          <xdr:spPr>
            <a:xfrm>
              <a:off x="4445000" y="87753650"/>
              <a:ext cx="2540000" cy="298800"/>
            </a:xfrm>
            <a:prstGeom prst="rect">
              <a:avLst/>
            </a:prstGeom>
            <a:noFill/>
            <a:ln w="9525" cmpd="sng"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chemeClr val="lt1"/>
                  </a:solidFill>
                </a14:hiddenFill>
              </a:ext>
              <a:ext uri="{91240B29-F687-4F45-9708-019B960494DF}">
                <a14:hiddenLine xmlns:a14="http://schemas.microsoft.com/office/drawing/2010/main" w="9525" cmpd="sng">
                  <a:solidFill>
                    <a:schemeClr val="lt1">
                      <a:shade val="50000"/>
                    </a:schemeClr>
                  </a:solidFill>
                </a14:hiddenLine>
              </a:ext>
            </a:extLst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vert="horz" rtlCol="0" anchor="ctr">
              <a:spAutoFit/>
            </a:bodyPr>
            <a:lstStyle/>
            <a:p>
              <a:pPr algn="r"/>
              <a:r>
                <a:rPr lang="es-AR" sz="1400" b="0">
                  <a:solidFill>
                    <a:srgbClr val="FFC000"/>
                  </a:solidFill>
                  <a:latin typeface="Arial" panose="020B0604020202020204" pitchFamily="34" charset="0"/>
                </a:rPr>
                <a:t>Competencia</a:t>
              </a:r>
            </a:p>
          </xdr:txBody>
        </xdr:sp>
        <xdr:sp macro="" textlink="">
          <xdr:nvSpPr>
            <xdr:cNvPr id="29" name="GraficoSintesis1_NombreSerie3"/>
            <xdr:cNvSpPr txBox="1"/>
          </xdr:nvSpPr>
          <xdr:spPr>
            <a:xfrm>
              <a:off x="4445000" y="87994950"/>
              <a:ext cx="2540000" cy="298800"/>
            </a:xfrm>
            <a:prstGeom prst="rect">
              <a:avLst/>
            </a:prstGeom>
            <a:noFill/>
            <a:ln w="9525" cmpd="sng"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chemeClr val="lt1"/>
                  </a:solidFill>
                </a14:hiddenFill>
              </a:ext>
              <a:ext uri="{91240B29-F687-4F45-9708-019B960494DF}">
                <a14:hiddenLine xmlns:a14="http://schemas.microsoft.com/office/drawing/2010/main" w="9525" cmpd="sng">
                  <a:solidFill>
                    <a:schemeClr val="lt1">
                      <a:shade val="50000"/>
                    </a:schemeClr>
                  </a:solidFill>
                </a14:hiddenLine>
              </a:ext>
            </a:extLst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vert="horz" rtlCol="0" anchor="ctr">
              <a:spAutoFit/>
            </a:bodyPr>
            <a:lstStyle/>
            <a:p>
              <a:pPr algn="r"/>
              <a:r>
                <a:rPr lang="es-AR" sz="1400" b="0">
                  <a:solidFill>
                    <a:srgbClr val="FFC000"/>
                  </a:solidFill>
                  <a:latin typeface="Arial" panose="020B0604020202020204" pitchFamily="34" charset="0"/>
                </a:rPr>
                <a:t>Integridad</a:t>
              </a:r>
            </a:p>
          </xdr:txBody>
        </xdr:sp>
        <xdr:sp macro="" textlink="">
          <xdr:nvSpPr>
            <xdr:cNvPr id="30" name="GraficoSintesis1_NombreSerie4"/>
            <xdr:cNvSpPr txBox="1"/>
          </xdr:nvSpPr>
          <xdr:spPr>
            <a:xfrm>
              <a:off x="4445000" y="88502950"/>
              <a:ext cx="2540000" cy="298800"/>
            </a:xfrm>
            <a:prstGeom prst="rect">
              <a:avLst/>
            </a:prstGeom>
            <a:noFill/>
            <a:ln w="9525" cmpd="sng"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chemeClr val="lt1"/>
                  </a:solidFill>
                </a14:hiddenFill>
              </a:ext>
              <a:ext uri="{91240B29-F687-4F45-9708-019B960494DF}">
                <a14:hiddenLine xmlns:a14="http://schemas.microsoft.com/office/drawing/2010/main" w="9525" cmpd="sng">
                  <a:solidFill>
                    <a:schemeClr val="lt1">
                      <a:shade val="50000"/>
                    </a:schemeClr>
                  </a:solidFill>
                </a14:hiddenLine>
              </a:ext>
            </a:extLst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vert="horz" rtlCol="0" anchor="ctr">
              <a:spAutoFit/>
            </a:bodyPr>
            <a:lstStyle/>
            <a:p>
              <a:pPr algn="r"/>
              <a:r>
                <a:rPr lang="es-AR" sz="1400" b="0">
                  <a:solidFill>
                    <a:srgbClr val="AA272F"/>
                  </a:solidFill>
                  <a:latin typeface="Arial" panose="020B0604020202020204" pitchFamily="34" charset="0"/>
                </a:rPr>
                <a:t>Respaldo</a:t>
              </a:r>
            </a:p>
          </xdr:txBody>
        </xdr:sp>
        <xdr:sp macro="" textlink="">
          <xdr:nvSpPr>
            <xdr:cNvPr id="31" name="GraficoSintesis1_NombreSerie5"/>
            <xdr:cNvSpPr txBox="1"/>
          </xdr:nvSpPr>
          <xdr:spPr>
            <a:xfrm>
              <a:off x="4445000" y="88744250"/>
              <a:ext cx="2540000" cy="298800"/>
            </a:xfrm>
            <a:prstGeom prst="rect">
              <a:avLst/>
            </a:prstGeom>
            <a:noFill/>
            <a:ln w="9525" cmpd="sng"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chemeClr val="lt1"/>
                  </a:solidFill>
                </a14:hiddenFill>
              </a:ext>
              <a:ext uri="{91240B29-F687-4F45-9708-019B960494DF}">
                <a14:hiddenLine xmlns:a14="http://schemas.microsoft.com/office/drawing/2010/main" w="9525" cmpd="sng">
                  <a:solidFill>
                    <a:schemeClr val="lt1">
                      <a:shade val="50000"/>
                    </a:schemeClr>
                  </a:solidFill>
                </a14:hiddenLine>
              </a:ext>
            </a:extLst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vert="horz" rtlCol="0" anchor="ctr">
              <a:spAutoFit/>
            </a:bodyPr>
            <a:lstStyle/>
            <a:p>
              <a:pPr algn="r"/>
              <a:r>
                <a:rPr lang="es-AR" sz="1400" b="0">
                  <a:solidFill>
                    <a:srgbClr val="AA272F"/>
                  </a:solidFill>
                  <a:latin typeface="Arial" panose="020B0604020202020204" pitchFamily="34" charset="0"/>
                </a:rPr>
                <a:t>Participación</a:t>
              </a:r>
            </a:p>
          </xdr:txBody>
        </xdr:sp>
        <xdr:sp macro="" textlink="">
          <xdr:nvSpPr>
            <xdr:cNvPr id="32" name="GraficoSintesis1_NombreSerie6"/>
            <xdr:cNvSpPr txBox="1"/>
          </xdr:nvSpPr>
          <xdr:spPr>
            <a:xfrm>
              <a:off x="4445000" y="88985550"/>
              <a:ext cx="2540000" cy="298800"/>
            </a:xfrm>
            <a:prstGeom prst="rect">
              <a:avLst/>
            </a:prstGeom>
            <a:noFill/>
            <a:ln w="9525" cmpd="sng"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chemeClr val="lt1"/>
                  </a:solidFill>
                </a14:hiddenFill>
              </a:ext>
              <a:ext uri="{91240B29-F687-4F45-9708-019B960494DF}">
                <a14:hiddenLine xmlns:a14="http://schemas.microsoft.com/office/drawing/2010/main" w="9525" cmpd="sng">
                  <a:solidFill>
                    <a:schemeClr val="lt1">
                      <a:shade val="50000"/>
                    </a:schemeClr>
                  </a:solidFill>
                </a14:hiddenLine>
              </a:ext>
            </a:extLst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vert="horz" rtlCol="0" anchor="ctr">
              <a:spAutoFit/>
            </a:bodyPr>
            <a:lstStyle/>
            <a:p>
              <a:pPr algn="r"/>
              <a:r>
                <a:rPr lang="es-AR" sz="1400" b="0">
                  <a:solidFill>
                    <a:srgbClr val="AA272F"/>
                  </a:solidFill>
                  <a:latin typeface="Arial" panose="020B0604020202020204" pitchFamily="34" charset="0"/>
                </a:rPr>
                <a:t>Cuidado de las Personas</a:t>
              </a:r>
            </a:p>
          </xdr:txBody>
        </xdr:sp>
        <xdr:sp macro="" textlink="">
          <xdr:nvSpPr>
            <xdr:cNvPr id="33" name="GraficoSintesis1_NombreSerie7"/>
            <xdr:cNvSpPr txBox="1"/>
          </xdr:nvSpPr>
          <xdr:spPr>
            <a:xfrm>
              <a:off x="4445000" y="89493550"/>
              <a:ext cx="2540000" cy="298800"/>
            </a:xfrm>
            <a:prstGeom prst="rect">
              <a:avLst/>
            </a:prstGeom>
            <a:noFill/>
            <a:ln w="9525" cmpd="sng"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chemeClr val="lt1"/>
                  </a:solidFill>
                </a14:hiddenFill>
              </a:ext>
              <a:ext uri="{91240B29-F687-4F45-9708-019B960494DF}">
                <a14:hiddenLine xmlns:a14="http://schemas.microsoft.com/office/drawing/2010/main" w="9525" cmpd="sng">
                  <a:solidFill>
                    <a:schemeClr val="lt1">
                      <a:shade val="50000"/>
                    </a:schemeClr>
                  </a:solidFill>
                </a14:hiddenLine>
              </a:ext>
            </a:extLst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vert="horz" rtlCol="0" anchor="ctr">
              <a:spAutoFit/>
            </a:bodyPr>
            <a:lstStyle/>
            <a:p>
              <a:pPr algn="r"/>
              <a:r>
                <a:rPr lang="es-AR" sz="1400" b="0">
                  <a:solidFill>
                    <a:srgbClr val="005172"/>
                  </a:solidFill>
                  <a:latin typeface="Arial" panose="020B0604020202020204" pitchFamily="34" charset="0"/>
                </a:rPr>
                <a:t>Equidad</a:t>
              </a:r>
            </a:p>
          </xdr:txBody>
        </xdr:sp>
        <xdr:sp macro="" textlink="">
          <xdr:nvSpPr>
            <xdr:cNvPr id="34" name="GraficoSintesis1_NombreSerie8"/>
            <xdr:cNvSpPr txBox="1"/>
          </xdr:nvSpPr>
          <xdr:spPr>
            <a:xfrm>
              <a:off x="4445000" y="89734850"/>
              <a:ext cx="2540000" cy="298800"/>
            </a:xfrm>
            <a:prstGeom prst="rect">
              <a:avLst/>
            </a:prstGeom>
            <a:noFill/>
            <a:ln w="9525" cmpd="sng"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chemeClr val="lt1"/>
                  </a:solidFill>
                </a14:hiddenFill>
              </a:ext>
              <a:ext uri="{91240B29-F687-4F45-9708-019B960494DF}">
                <a14:hiddenLine xmlns:a14="http://schemas.microsoft.com/office/drawing/2010/main" w="9525" cmpd="sng">
                  <a:solidFill>
                    <a:schemeClr val="lt1">
                      <a:shade val="50000"/>
                    </a:schemeClr>
                  </a:solidFill>
                </a14:hiddenLine>
              </a:ext>
            </a:extLst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vert="horz" rtlCol="0" anchor="ctr">
              <a:spAutoFit/>
            </a:bodyPr>
            <a:lstStyle/>
            <a:p>
              <a:pPr algn="r"/>
              <a:r>
                <a:rPr lang="es-AR" sz="1400" b="0">
                  <a:solidFill>
                    <a:srgbClr val="005172"/>
                  </a:solidFill>
                  <a:latin typeface="Arial" panose="020B0604020202020204" pitchFamily="34" charset="0"/>
                </a:rPr>
                <a:t>Ausencia de Favoritismo</a:t>
              </a:r>
            </a:p>
          </xdr:txBody>
        </xdr:sp>
        <xdr:sp macro="" textlink="">
          <xdr:nvSpPr>
            <xdr:cNvPr id="35" name="GraficoSintesis1_NombreSerie9"/>
            <xdr:cNvSpPr txBox="1"/>
          </xdr:nvSpPr>
          <xdr:spPr>
            <a:xfrm>
              <a:off x="4445000" y="89976150"/>
              <a:ext cx="2540000" cy="298800"/>
            </a:xfrm>
            <a:prstGeom prst="rect">
              <a:avLst/>
            </a:prstGeom>
            <a:noFill/>
            <a:ln w="9525" cmpd="sng"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chemeClr val="lt1"/>
                  </a:solidFill>
                </a14:hiddenFill>
              </a:ext>
              <a:ext uri="{91240B29-F687-4F45-9708-019B960494DF}">
                <a14:hiddenLine xmlns:a14="http://schemas.microsoft.com/office/drawing/2010/main" w="9525" cmpd="sng">
                  <a:solidFill>
                    <a:schemeClr val="lt1">
                      <a:shade val="50000"/>
                    </a:schemeClr>
                  </a:solidFill>
                </a14:hiddenLine>
              </a:ext>
            </a:extLst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vert="horz" rtlCol="0" anchor="ctr">
              <a:spAutoFit/>
            </a:bodyPr>
            <a:lstStyle/>
            <a:p>
              <a:pPr algn="r"/>
              <a:r>
                <a:rPr lang="es-AR" sz="1400" b="0">
                  <a:solidFill>
                    <a:srgbClr val="005172"/>
                  </a:solidFill>
                  <a:latin typeface="Arial" panose="020B0604020202020204" pitchFamily="34" charset="0"/>
                </a:rPr>
                <a:t>Justicia</a:t>
              </a:r>
            </a:p>
          </xdr:txBody>
        </xdr:sp>
        <xdr:sp macro="" textlink="">
          <xdr:nvSpPr>
            <xdr:cNvPr id="36" name="GraficoSintesis1_NombreSerie10"/>
            <xdr:cNvSpPr txBox="1"/>
          </xdr:nvSpPr>
          <xdr:spPr>
            <a:xfrm>
              <a:off x="4445000" y="90484150"/>
              <a:ext cx="2540000" cy="298800"/>
            </a:xfrm>
            <a:prstGeom prst="rect">
              <a:avLst/>
            </a:prstGeom>
            <a:noFill/>
            <a:ln w="9525" cmpd="sng"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chemeClr val="lt1"/>
                  </a:solidFill>
                </a14:hiddenFill>
              </a:ext>
              <a:ext uri="{91240B29-F687-4F45-9708-019B960494DF}">
                <a14:hiddenLine xmlns:a14="http://schemas.microsoft.com/office/drawing/2010/main" w="9525" cmpd="sng">
                  <a:solidFill>
                    <a:schemeClr val="lt1">
                      <a:shade val="50000"/>
                    </a:schemeClr>
                  </a:solidFill>
                </a14:hiddenLine>
              </a:ext>
            </a:extLst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vert="horz" rtlCol="0" anchor="ctr">
              <a:spAutoFit/>
            </a:bodyPr>
            <a:lstStyle/>
            <a:p>
              <a:pPr algn="r"/>
              <a:r>
                <a:rPr lang="es-AR" sz="1400" b="0">
                  <a:solidFill>
                    <a:srgbClr val="73A11F"/>
                  </a:solidFill>
                  <a:latin typeface="Arial" panose="020B0604020202020204" pitchFamily="34" charset="0"/>
                </a:rPr>
                <a:t>Trabajo Personal</a:t>
              </a:r>
            </a:p>
          </xdr:txBody>
        </xdr:sp>
        <xdr:sp macro="" textlink="">
          <xdr:nvSpPr>
            <xdr:cNvPr id="37" name="GraficoSintesis1_NombreSerie11"/>
            <xdr:cNvSpPr txBox="1"/>
          </xdr:nvSpPr>
          <xdr:spPr>
            <a:xfrm>
              <a:off x="4445000" y="90725450"/>
              <a:ext cx="2540000" cy="298800"/>
            </a:xfrm>
            <a:prstGeom prst="rect">
              <a:avLst/>
            </a:prstGeom>
            <a:noFill/>
            <a:ln w="9525" cmpd="sng"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chemeClr val="lt1"/>
                  </a:solidFill>
                </a14:hiddenFill>
              </a:ext>
              <a:ext uri="{91240B29-F687-4F45-9708-019B960494DF}">
                <a14:hiddenLine xmlns:a14="http://schemas.microsoft.com/office/drawing/2010/main" w="9525" cmpd="sng">
                  <a:solidFill>
                    <a:schemeClr val="lt1">
                      <a:shade val="50000"/>
                    </a:schemeClr>
                  </a:solidFill>
                </a14:hiddenLine>
              </a:ext>
            </a:extLst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vert="horz" rtlCol="0" anchor="ctr">
              <a:spAutoFit/>
            </a:bodyPr>
            <a:lstStyle/>
            <a:p>
              <a:pPr algn="r"/>
              <a:r>
                <a:rPr lang="es-AR" sz="1400" b="0">
                  <a:solidFill>
                    <a:srgbClr val="73A11F"/>
                  </a:solidFill>
                  <a:latin typeface="Arial" panose="020B0604020202020204" pitchFamily="34" charset="0"/>
                </a:rPr>
                <a:t>Equipo</a:t>
              </a:r>
            </a:p>
          </xdr:txBody>
        </xdr:sp>
        <xdr:sp macro="" textlink="">
          <xdr:nvSpPr>
            <xdr:cNvPr id="38" name="GraficoSintesis1_NombreSerie12"/>
            <xdr:cNvSpPr txBox="1"/>
          </xdr:nvSpPr>
          <xdr:spPr>
            <a:xfrm>
              <a:off x="4445000" y="90966750"/>
              <a:ext cx="2540000" cy="298800"/>
            </a:xfrm>
            <a:prstGeom prst="rect">
              <a:avLst/>
            </a:prstGeom>
            <a:noFill/>
            <a:ln w="9525" cmpd="sng"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chemeClr val="lt1"/>
                  </a:solidFill>
                </a14:hiddenFill>
              </a:ext>
              <a:ext uri="{91240B29-F687-4F45-9708-019B960494DF}">
                <a14:hiddenLine xmlns:a14="http://schemas.microsoft.com/office/drawing/2010/main" w="9525" cmpd="sng">
                  <a:solidFill>
                    <a:schemeClr val="lt1">
                      <a:shade val="50000"/>
                    </a:schemeClr>
                  </a:solidFill>
                </a14:hiddenLine>
              </a:ext>
            </a:extLst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vert="horz" rtlCol="0" anchor="ctr">
              <a:spAutoFit/>
            </a:bodyPr>
            <a:lstStyle/>
            <a:p>
              <a:pPr algn="r"/>
              <a:r>
                <a:rPr lang="es-AR" sz="1400" b="0">
                  <a:solidFill>
                    <a:srgbClr val="73A11F"/>
                  </a:solidFill>
                  <a:latin typeface="Arial" panose="020B0604020202020204" pitchFamily="34" charset="0"/>
                </a:rPr>
                <a:t>Empresa</a:t>
              </a:r>
            </a:p>
          </xdr:txBody>
        </xdr:sp>
        <xdr:sp macro="" textlink="">
          <xdr:nvSpPr>
            <xdr:cNvPr id="39" name="GraficoSintesis1_NombreSerie13"/>
            <xdr:cNvSpPr txBox="1"/>
          </xdr:nvSpPr>
          <xdr:spPr>
            <a:xfrm>
              <a:off x="4445000" y="91474750"/>
              <a:ext cx="2540000" cy="298800"/>
            </a:xfrm>
            <a:prstGeom prst="rect">
              <a:avLst/>
            </a:prstGeom>
            <a:noFill/>
            <a:ln w="9525" cmpd="sng"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chemeClr val="lt1"/>
                  </a:solidFill>
                </a14:hiddenFill>
              </a:ext>
              <a:ext uri="{91240B29-F687-4F45-9708-019B960494DF}">
                <a14:hiddenLine xmlns:a14="http://schemas.microsoft.com/office/drawing/2010/main" w="9525" cmpd="sng">
                  <a:solidFill>
                    <a:schemeClr val="lt1">
                      <a:shade val="50000"/>
                    </a:schemeClr>
                  </a:solidFill>
                </a14:hiddenLine>
              </a:ext>
            </a:extLst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vert="horz" rtlCol="0" anchor="ctr">
              <a:spAutoFit/>
            </a:bodyPr>
            <a:lstStyle/>
            <a:p>
              <a:pPr algn="r"/>
              <a:r>
                <a:rPr lang="es-AR" sz="1400" b="0">
                  <a:solidFill>
                    <a:srgbClr val="612141"/>
                  </a:solidFill>
                  <a:latin typeface="Arial" panose="020B0604020202020204" pitchFamily="34" charset="0"/>
                </a:rPr>
                <a:t>Relaciones Interpersonales</a:t>
              </a:r>
            </a:p>
          </xdr:txBody>
        </xdr:sp>
        <xdr:sp macro="" textlink="">
          <xdr:nvSpPr>
            <xdr:cNvPr id="40" name="GraficoSintesis1_NombreSerie14"/>
            <xdr:cNvSpPr txBox="1"/>
          </xdr:nvSpPr>
          <xdr:spPr>
            <a:xfrm>
              <a:off x="4445000" y="91716050"/>
              <a:ext cx="2540000" cy="298800"/>
            </a:xfrm>
            <a:prstGeom prst="rect">
              <a:avLst/>
            </a:prstGeom>
            <a:noFill/>
            <a:ln w="9525" cmpd="sng"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chemeClr val="lt1"/>
                  </a:solidFill>
                </a14:hiddenFill>
              </a:ext>
              <a:ext uri="{91240B29-F687-4F45-9708-019B960494DF}">
                <a14:hiddenLine xmlns:a14="http://schemas.microsoft.com/office/drawing/2010/main" w="9525" cmpd="sng">
                  <a:solidFill>
                    <a:schemeClr val="lt1">
                      <a:shade val="50000"/>
                    </a:schemeClr>
                  </a:solidFill>
                </a14:hiddenLine>
              </a:ext>
            </a:extLst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vert="horz" rtlCol="0" anchor="ctr">
              <a:spAutoFit/>
            </a:bodyPr>
            <a:lstStyle/>
            <a:p>
              <a:pPr algn="r"/>
              <a:r>
                <a:rPr lang="es-AR" sz="1400" b="0">
                  <a:solidFill>
                    <a:srgbClr val="612141"/>
                  </a:solidFill>
                  <a:latin typeface="Arial" panose="020B0604020202020204" pitchFamily="34" charset="0"/>
                </a:rPr>
                <a:t>Hospitalidad</a:t>
              </a:r>
            </a:p>
          </xdr:txBody>
        </xdr:sp>
        <xdr:sp macro="" textlink="">
          <xdr:nvSpPr>
            <xdr:cNvPr id="41" name="GraficoSintesis1_NombreSerie15"/>
            <xdr:cNvSpPr txBox="1"/>
          </xdr:nvSpPr>
          <xdr:spPr>
            <a:xfrm>
              <a:off x="4445000" y="91957350"/>
              <a:ext cx="2540000" cy="298800"/>
            </a:xfrm>
            <a:prstGeom prst="rect">
              <a:avLst/>
            </a:prstGeom>
            <a:noFill/>
            <a:ln w="9525" cmpd="sng"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chemeClr val="lt1"/>
                  </a:solidFill>
                </a14:hiddenFill>
              </a:ext>
              <a:ext uri="{91240B29-F687-4F45-9708-019B960494DF}">
                <a14:hiddenLine xmlns:a14="http://schemas.microsoft.com/office/drawing/2010/main" w="9525" cmpd="sng">
                  <a:solidFill>
                    <a:schemeClr val="lt1">
                      <a:shade val="50000"/>
                    </a:schemeClr>
                  </a:solidFill>
                </a14:hiddenLine>
              </a:ext>
            </a:extLst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vert="horz" rtlCol="0" anchor="ctr">
              <a:spAutoFit/>
            </a:bodyPr>
            <a:lstStyle/>
            <a:p>
              <a:pPr algn="r"/>
              <a:r>
                <a:rPr lang="es-AR" sz="1400" b="0">
                  <a:solidFill>
                    <a:srgbClr val="612141"/>
                  </a:solidFill>
                  <a:latin typeface="Arial" panose="020B0604020202020204" pitchFamily="34" charset="0"/>
                </a:rPr>
                <a:t>Sentido de Pertenencia</a:t>
              </a:r>
            </a:p>
          </xdr:txBody>
        </xdr:sp>
        <xdr:sp macro="" textlink="">
          <xdr:nvSpPr>
            <xdr:cNvPr id="42" name="GraficoSintesis1_TextBox1"/>
            <xdr:cNvSpPr txBox="1"/>
          </xdr:nvSpPr>
          <xdr:spPr>
            <a:xfrm>
              <a:off x="3619500" y="87388700"/>
              <a:ext cx="977900" cy="762000"/>
            </a:xfrm>
            <a:prstGeom prst="rect">
              <a:avLst/>
            </a:prstGeom>
            <a:noFill/>
            <a:ln w="9525" cmpd="sng"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chemeClr val="lt1"/>
                  </a:solidFill>
                </a14:hiddenFill>
              </a:ext>
              <a:ext uri="{91240B29-F687-4F45-9708-019B960494DF}">
                <a14:hiddenLine xmlns:a14="http://schemas.microsoft.com/office/drawing/2010/main" w="9525" cmpd="sng">
                  <a:solidFill>
                    <a:schemeClr val="lt1">
                      <a:shade val="50000"/>
                    </a:schemeClr>
                  </a:solidFill>
                </a14:hiddenLine>
              </a:ext>
            </a:extLst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vert="horz" rtlCol="0" anchor="ctr"/>
            <a:lstStyle/>
            <a:p>
              <a:pPr algn="ctr"/>
              <a:r>
                <a:rPr lang="es-AR" sz="4000" b="1">
                  <a:solidFill>
                    <a:srgbClr val="FFC000"/>
                  </a:solidFill>
                  <a:latin typeface="Arial" panose="020B0604020202020204" pitchFamily="34" charset="0"/>
                </a:rPr>
                <a:t>86</a:t>
              </a:r>
            </a:p>
          </xdr:txBody>
        </xdr:sp>
        <xdr:sp macro="" textlink="">
          <xdr:nvSpPr>
            <xdr:cNvPr id="43" name="GraficoSintesis1_TextBox2"/>
            <xdr:cNvSpPr txBox="1"/>
          </xdr:nvSpPr>
          <xdr:spPr>
            <a:xfrm>
              <a:off x="3619500" y="88404700"/>
              <a:ext cx="977900" cy="762000"/>
            </a:xfrm>
            <a:prstGeom prst="rect">
              <a:avLst/>
            </a:prstGeom>
            <a:noFill/>
            <a:ln w="9525" cmpd="sng"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chemeClr val="lt1"/>
                  </a:solidFill>
                </a14:hiddenFill>
              </a:ext>
              <a:ext uri="{91240B29-F687-4F45-9708-019B960494DF}">
                <a14:hiddenLine xmlns:a14="http://schemas.microsoft.com/office/drawing/2010/main" w="9525" cmpd="sng">
                  <a:solidFill>
                    <a:schemeClr val="lt1">
                      <a:shade val="50000"/>
                    </a:schemeClr>
                  </a:solidFill>
                </a14:hiddenLine>
              </a:ext>
            </a:extLst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vert="horz" rtlCol="0" anchor="ctr"/>
            <a:lstStyle/>
            <a:p>
              <a:pPr algn="ctr"/>
              <a:r>
                <a:rPr lang="es-AR" sz="4000" b="1">
                  <a:solidFill>
                    <a:srgbClr val="AA272F"/>
                  </a:solidFill>
                  <a:latin typeface="Arial" panose="020B0604020202020204" pitchFamily="34" charset="0"/>
                </a:rPr>
                <a:t>82</a:t>
              </a:r>
            </a:p>
          </xdr:txBody>
        </xdr:sp>
        <xdr:sp macro="" textlink="">
          <xdr:nvSpPr>
            <xdr:cNvPr id="44" name="GraficoSintesis1_TextBox3"/>
            <xdr:cNvSpPr txBox="1"/>
          </xdr:nvSpPr>
          <xdr:spPr>
            <a:xfrm>
              <a:off x="3619500" y="89420700"/>
              <a:ext cx="977900" cy="762000"/>
            </a:xfrm>
            <a:prstGeom prst="rect">
              <a:avLst/>
            </a:prstGeom>
            <a:noFill/>
            <a:ln w="9525" cmpd="sng"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chemeClr val="lt1"/>
                  </a:solidFill>
                </a14:hiddenFill>
              </a:ext>
              <a:ext uri="{91240B29-F687-4F45-9708-019B960494DF}">
                <a14:hiddenLine xmlns:a14="http://schemas.microsoft.com/office/drawing/2010/main" w="9525" cmpd="sng">
                  <a:solidFill>
                    <a:schemeClr val="lt1">
                      <a:shade val="50000"/>
                    </a:schemeClr>
                  </a:solidFill>
                </a14:hiddenLine>
              </a:ext>
            </a:extLst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vert="horz" rtlCol="0" anchor="ctr"/>
            <a:lstStyle/>
            <a:p>
              <a:pPr algn="ctr"/>
              <a:r>
                <a:rPr lang="es-AR" sz="4000" b="1">
                  <a:solidFill>
                    <a:srgbClr val="005172"/>
                  </a:solidFill>
                  <a:latin typeface="Arial" panose="020B0604020202020204" pitchFamily="34" charset="0"/>
                </a:rPr>
                <a:t>78</a:t>
              </a:r>
            </a:p>
          </xdr:txBody>
        </xdr:sp>
        <xdr:sp macro="" textlink="">
          <xdr:nvSpPr>
            <xdr:cNvPr id="45" name="GraficoSintesis1_TextBox4"/>
            <xdr:cNvSpPr txBox="1"/>
          </xdr:nvSpPr>
          <xdr:spPr>
            <a:xfrm>
              <a:off x="3619500" y="90436700"/>
              <a:ext cx="977900" cy="762000"/>
            </a:xfrm>
            <a:prstGeom prst="rect">
              <a:avLst/>
            </a:prstGeom>
            <a:noFill/>
            <a:ln w="9525" cmpd="sng"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chemeClr val="lt1"/>
                  </a:solidFill>
                </a14:hiddenFill>
              </a:ext>
              <a:ext uri="{91240B29-F687-4F45-9708-019B960494DF}">
                <a14:hiddenLine xmlns:a14="http://schemas.microsoft.com/office/drawing/2010/main" w="9525" cmpd="sng">
                  <a:solidFill>
                    <a:schemeClr val="lt1">
                      <a:shade val="50000"/>
                    </a:schemeClr>
                  </a:solidFill>
                </a14:hiddenLine>
              </a:ext>
            </a:extLst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vert="horz" rtlCol="0" anchor="ctr"/>
            <a:lstStyle/>
            <a:p>
              <a:pPr algn="ctr"/>
              <a:r>
                <a:rPr lang="es-AR" sz="4000" b="1">
                  <a:solidFill>
                    <a:srgbClr val="73A11F"/>
                  </a:solidFill>
                  <a:latin typeface="Arial" panose="020B0604020202020204" pitchFamily="34" charset="0"/>
                </a:rPr>
                <a:t>83</a:t>
              </a:r>
            </a:p>
          </xdr:txBody>
        </xdr:sp>
        <xdr:sp macro="" textlink="">
          <xdr:nvSpPr>
            <xdr:cNvPr id="46" name="GraficoSintesis1_TextBox5"/>
            <xdr:cNvSpPr txBox="1"/>
          </xdr:nvSpPr>
          <xdr:spPr>
            <a:xfrm>
              <a:off x="3619500" y="91452700"/>
              <a:ext cx="977900" cy="762000"/>
            </a:xfrm>
            <a:prstGeom prst="rect">
              <a:avLst/>
            </a:prstGeom>
            <a:noFill/>
            <a:ln w="9525" cmpd="sng"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chemeClr val="lt1"/>
                  </a:solidFill>
                </a14:hiddenFill>
              </a:ext>
              <a:ext uri="{91240B29-F687-4F45-9708-019B960494DF}">
                <a14:hiddenLine xmlns:a14="http://schemas.microsoft.com/office/drawing/2010/main" w="9525" cmpd="sng">
                  <a:solidFill>
                    <a:schemeClr val="lt1">
                      <a:shade val="50000"/>
                    </a:schemeClr>
                  </a:solidFill>
                </a14:hiddenLine>
              </a:ext>
            </a:extLst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vert="horz" rtlCol="0" anchor="ctr"/>
            <a:lstStyle/>
            <a:p>
              <a:pPr algn="ctr"/>
              <a:r>
                <a:rPr lang="es-AR" sz="4000" b="1">
                  <a:solidFill>
                    <a:srgbClr val="612141"/>
                  </a:solidFill>
                  <a:latin typeface="Arial" panose="020B0604020202020204" pitchFamily="34" charset="0"/>
                </a:rPr>
                <a:t>86</a:t>
              </a:r>
            </a:p>
          </xdr:txBody>
        </xdr:sp>
      </xdr:grpSp>
      <xdr:cxnSp macro="">
        <xdr:nvCxnSpPr>
          <xdr:cNvPr id="49" name="GraficoSintesis1_Linea1"/>
          <xdr:cNvCxnSpPr/>
        </xdr:nvCxnSpPr>
        <xdr:spPr>
          <a:xfrm>
            <a:off x="1270000" y="87382350"/>
            <a:ext cx="11366500" cy="0"/>
          </a:xfrm>
          <a:prstGeom prst="straightConnector1">
            <a:avLst/>
          </a:prstGeom>
          <a:ln w="19050" cap="flat" cmpd="sng" algn="ctr">
            <a:solidFill>
              <a:srgbClr val="FFC000"/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50" name="GraficoSintesis1_Linea2"/>
          <xdr:cNvCxnSpPr/>
        </xdr:nvCxnSpPr>
        <xdr:spPr>
          <a:xfrm>
            <a:off x="1270000" y="88385650"/>
            <a:ext cx="11366500" cy="0"/>
          </a:xfrm>
          <a:prstGeom prst="straightConnector1">
            <a:avLst/>
          </a:prstGeom>
          <a:ln w="19050" cap="flat" cmpd="sng" algn="ctr">
            <a:solidFill>
              <a:srgbClr val="AA272F"/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51" name="GraficoSintesis1_Linea3"/>
          <xdr:cNvCxnSpPr/>
        </xdr:nvCxnSpPr>
        <xdr:spPr>
          <a:xfrm>
            <a:off x="1270000" y="89388950"/>
            <a:ext cx="11366500" cy="0"/>
          </a:xfrm>
          <a:prstGeom prst="straightConnector1">
            <a:avLst/>
          </a:prstGeom>
          <a:ln w="19050" cap="flat" cmpd="sng" algn="ctr">
            <a:solidFill>
              <a:srgbClr val="005172"/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52" name="GraficoSintesis1_Linea4"/>
          <xdr:cNvCxnSpPr/>
        </xdr:nvCxnSpPr>
        <xdr:spPr>
          <a:xfrm>
            <a:off x="1270000" y="90392250"/>
            <a:ext cx="11366500" cy="0"/>
          </a:xfrm>
          <a:prstGeom prst="straightConnector1">
            <a:avLst/>
          </a:prstGeom>
          <a:ln w="19050" cap="flat" cmpd="sng" algn="ctr">
            <a:solidFill>
              <a:srgbClr val="73A11F"/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53" name="GraficoSintesis1_Linea5"/>
          <xdr:cNvCxnSpPr/>
        </xdr:nvCxnSpPr>
        <xdr:spPr>
          <a:xfrm>
            <a:off x="1270000" y="91395550"/>
            <a:ext cx="11366500" cy="0"/>
          </a:xfrm>
          <a:prstGeom prst="straightConnector1">
            <a:avLst/>
          </a:prstGeom>
          <a:ln w="19050" cap="flat" cmpd="sng" algn="ctr">
            <a:solidFill>
              <a:srgbClr val="612141"/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54" name="GraficoSintesis1_Linea6"/>
          <xdr:cNvCxnSpPr/>
        </xdr:nvCxnSpPr>
        <xdr:spPr>
          <a:xfrm>
            <a:off x="1270000" y="92398850"/>
            <a:ext cx="11366500" cy="0"/>
          </a:xfrm>
          <a:prstGeom prst="straightConnector1">
            <a:avLst/>
          </a:prstGeom>
          <a:ln w="19050" cap="flat" cmpd="sng" algn="ctr">
            <a:solidFill>
              <a:srgbClr val="612141"/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</xdr:wsDr>
</file>

<file path=xl/drawings/drawing26.xml><?xml version="1.0" encoding="utf-8"?>
<c:userShapes xmlns:c="http://schemas.openxmlformats.org/drawingml/2006/chart">
  <cdr:relSizeAnchor xmlns:cdr="http://schemas.openxmlformats.org/drawingml/2006/chartDrawing">
    <cdr:from>
      <cdr:x>0</cdr:x>
      <cdr:y>0.86154</cdr:y>
    </cdr:from>
    <cdr:to>
      <cdr:x>1</cdr:x>
      <cdr:y>0.97692</cdr:y>
    </cdr:to>
    <cdr:sp macro="" textlink="">
      <cdr:nvSpPr>
        <cdr:cNvPr id="2" name="Dimension1_TextBox"/>
        <cdr:cNvSpPr txBox="1"/>
      </cdr:nvSpPr>
      <cdr:spPr>
        <a:xfrm xmlns:a="http://schemas.openxmlformats.org/drawingml/2006/main">
          <a:off x="50800" y="2844800"/>
          <a:ext cx="3175000" cy="381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rtlCol="0" anchor="ctr"/>
        <a:lstStyle xmlns:a="http://schemas.openxmlformats.org/drawingml/2006/main"/>
        <a:p xmlns:a="http://schemas.openxmlformats.org/drawingml/2006/main">
          <a:pPr algn="ctr"/>
          <a:r>
            <a:rPr lang="es-AR" sz="2800" b="1">
              <a:solidFill>
                <a:srgbClr val="FCB533"/>
              </a:solidFill>
              <a:latin typeface="Arial" panose="020B0604020202020204" pitchFamily="34" charset="0"/>
            </a:rPr>
            <a:t>Credibilidad</a:t>
          </a:r>
        </a:p>
      </cdr:txBody>
    </cdr:sp>
  </cdr:relSizeAnchor>
</c:userShapes>
</file>

<file path=xl/drawings/drawing27.xml><?xml version="1.0" encoding="utf-8"?>
<c:userShapes xmlns:c="http://schemas.openxmlformats.org/drawingml/2006/chart">
  <cdr:relSizeAnchor xmlns:cdr="http://schemas.openxmlformats.org/drawingml/2006/chartDrawing">
    <cdr:from>
      <cdr:x>0.38348</cdr:x>
      <cdr:y>0.72258</cdr:y>
    </cdr:from>
    <cdr:to>
      <cdr:x>0.56245</cdr:x>
      <cdr:y>0.91613</cdr:y>
    </cdr:to>
    <cdr:sp macro="" textlink="">
      <cdr:nvSpPr>
        <cdr:cNvPr id="2" name="ResultadoDimension1_TextBox1"/>
        <cdr:cNvSpPr txBox="1"/>
      </cdr:nvSpPr>
      <cdr:spPr>
        <a:xfrm xmlns:a="http://schemas.openxmlformats.org/drawingml/2006/main">
          <a:off x="4383137" y="2844800"/>
          <a:ext cx="2045660" cy="762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square" rtlCol="0" anchor="t"/>
        <a:lstStyle xmlns:a="http://schemas.openxmlformats.org/drawingml/2006/main"/>
        <a:p xmlns:a="http://schemas.openxmlformats.org/drawingml/2006/main">
          <a:pPr algn="ctr"/>
          <a:r>
            <a:rPr lang="es-AR" sz="1900">
              <a:solidFill>
                <a:srgbClr val="404040"/>
              </a:solidFill>
              <a:latin typeface="Arial" panose="020B0604020202020204" pitchFamily="34" charset="0"/>
            </a:rPr>
            <a:t>Comunicación</a:t>
          </a:r>
        </a:p>
      </cdr:txBody>
    </cdr:sp>
  </cdr:relSizeAnchor>
  <cdr:relSizeAnchor xmlns:cdr="http://schemas.openxmlformats.org/drawingml/2006/chartDrawing">
    <cdr:from>
      <cdr:x>0.58718</cdr:x>
      <cdr:y>0.72258</cdr:y>
    </cdr:from>
    <cdr:to>
      <cdr:x>0.76615</cdr:x>
      <cdr:y>0.91613</cdr:y>
    </cdr:to>
    <cdr:sp macro="" textlink="">
      <cdr:nvSpPr>
        <cdr:cNvPr id="3" name="ResultadoDimension1_TextBox2"/>
        <cdr:cNvSpPr txBox="1"/>
      </cdr:nvSpPr>
      <cdr:spPr>
        <a:xfrm xmlns:a="http://schemas.openxmlformats.org/drawingml/2006/main">
          <a:off x="6711470" y="2844800"/>
          <a:ext cx="2045659" cy="762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square" rtlCol="0" anchor="t"/>
        <a:lstStyle xmlns:a="http://schemas.openxmlformats.org/drawingml/2006/main"/>
        <a:p xmlns:a="http://schemas.openxmlformats.org/drawingml/2006/main">
          <a:pPr algn="ctr"/>
          <a:r>
            <a:rPr lang="es-AR" sz="1900">
              <a:solidFill>
                <a:srgbClr val="404040"/>
              </a:solidFill>
              <a:latin typeface="Arial" panose="020B0604020202020204" pitchFamily="34" charset="0"/>
            </a:rPr>
            <a:t>Competencia</a:t>
          </a:r>
        </a:p>
      </cdr:txBody>
    </cdr:sp>
  </cdr:relSizeAnchor>
  <cdr:relSizeAnchor xmlns:cdr="http://schemas.openxmlformats.org/drawingml/2006/chartDrawing">
    <cdr:from>
      <cdr:x>0.79088</cdr:x>
      <cdr:y>0.72258</cdr:y>
    </cdr:from>
    <cdr:to>
      <cdr:x>0.96986</cdr:x>
      <cdr:y>0.91613</cdr:y>
    </cdr:to>
    <cdr:sp macro="" textlink="">
      <cdr:nvSpPr>
        <cdr:cNvPr id="4" name="ResultadoDimension1_TextBox3"/>
        <cdr:cNvSpPr txBox="1"/>
      </cdr:nvSpPr>
      <cdr:spPr>
        <a:xfrm xmlns:a="http://schemas.openxmlformats.org/drawingml/2006/main">
          <a:off x="9039803" y="2844800"/>
          <a:ext cx="2045660" cy="762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square" rtlCol="0" anchor="t"/>
        <a:lstStyle xmlns:a="http://schemas.openxmlformats.org/drawingml/2006/main"/>
        <a:p xmlns:a="http://schemas.openxmlformats.org/drawingml/2006/main">
          <a:pPr algn="ctr"/>
          <a:r>
            <a:rPr lang="es-AR" sz="1900">
              <a:solidFill>
                <a:srgbClr val="404040"/>
              </a:solidFill>
              <a:latin typeface="Arial" panose="020B0604020202020204" pitchFamily="34" charset="0"/>
            </a:rPr>
            <a:t>Integridad</a:t>
          </a:r>
        </a:p>
      </cdr:txBody>
    </cdr:sp>
  </cdr:relSizeAnchor>
</c:userShapes>
</file>

<file path=xl/drawings/drawing28.xml><?xml version="1.0" encoding="utf-8"?>
<c:userShapes xmlns:c="http://schemas.openxmlformats.org/drawingml/2006/chart">
  <cdr:relSizeAnchor xmlns:cdr="http://schemas.openxmlformats.org/drawingml/2006/chartDrawing">
    <cdr:from>
      <cdr:x>0</cdr:x>
      <cdr:y>0.86154</cdr:y>
    </cdr:from>
    <cdr:to>
      <cdr:x>1</cdr:x>
      <cdr:y>0.97692</cdr:y>
    </cdr:to>
    <cdr:sp macro="" textlink="">
      <cdr:nvSpPr>
        <cdr:cNvPr id="2" name="Dimension2_TextBox"/>
        <cdr:cNvSpPr txBox="1"/>
      </cdr:nvSpPr>
      <cdr:spPr>
        <a:xfrm xmlns:a="http://schemas.openxmlformats.org/drawingml/2006/main">
          <a:off x="50800" y="2844800"/>
          <a:ext cx="3175000" cy="381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rtlCol="0" anchor="ctr"/>
        <a:lstStyle xmlns:a="http://schemas.openxmlformats.org/drawingml/2006/main"/>
        <a:p xmlns:a="http://schemas.openxmlformats.org/drawingml/2006/main">
          <a:pPr algn="ctr"/>
          <a:r>
            <a:rPr lang="es-AR" sz="2800" b="1">
              <a:solidFill>
                <a:srgbClr val="AA272F"/>
              </a:solidFill>
              <a:latin typeface="Arial" panose="020B0604020202020204" pitchFamily="34" charset="0"/>
            </a:rPr>
            <a:t>Respeto</a:t>
          </a:r>
        </a:p>
      </cdr:txBody>
    </cdr:sp>
  </cdr:relSizeAnchor>
</c:userShapes>
</file>

<file path=xl/drawings/drawing29.xml><?xml version="1.0" encoding="utf-8"?>
<c:userShapes xmlns:c="http://schemas.openxmlformats.org/drawingml/2006/chart">
  <cdr:relSizeAnchor xmlns:cdr="http://schemas.openxmlformats.org/drawingml/2006/chartDrawing">
    <cdr:from>
      <cdr:x>0.38348</cdr:x>
      <cdr:y>0.72258</cdr:y>
    </cdr:from>
    <cdr:to>
      <cdr:x>0.56245</cdr:x>
      <cdr:y>0.91613</cdr:y>
    </cdr:to>
    <cdr:sp macro="" textlink="">
      <cdr:nvSpPr>
        <cdr:cNvPr id="2" name="ResultadoDimension2_TextBox1"/>
        <cdr:cNvSpPr txBox="1"/>
      </cdr:nvSpPr>
      <cdr:spPr>
        <a:xfrm xmlns:a="http://schemas.openxmlformats.org/drawingml/2006/main">
          <a:off x="4383137" y="2844800"/>
          <a:ext cx="2045660" cy="762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square" rtlCol="0" anchor="t"/>
        <a:lstStyle xmlns:a="http://schemas.openxmlformats.org/drawingml/2006/main"/>
        <a:p xmlns:a="http://schemas.openxmlformats.org/drawingml/2006/main">
          <a:pPr algn="ctr"/>
          <a:r>
            <a:rPr lang="es-AR" sz="1900">
              <a:solidFill>
                <a:srgbClr val="404040"/>
              </a:solidFill>
              <a:latin typeface="Arial" panose="020B0604020202020204" pitchFamily="34" charset="0"/>
            </a:rPr>
            <a:t>Respaldo</a:t>
          </a:r>
        </a:p>
      </cdr:txBody>
    </cdr:sp>
  </cdr:relSizeAnchor>
  <cdr:relSizeAnchor xmlns:cdr="http://schemas.openxmlformats.org/drawingml/2006/chartDrawing">
    <cdr:from>
      <cdr:x>0.58718</cdr:x>
      <cdr:y>0.72258</cdr:y>
    </cdr:from>
    <cdr:to>
      <cdr:x>0.76615</cdr:x>
      <cdr:y>0.91613</cdr:y>
    </cdr:to>
    <cdr:sp macro="" textlink="">
      <cdr:nvSpPr>
        <cdr:cNvPr id="3" name="ResultadoDimension2_TextBox2"/>
        <cdr:cNvSpPr txBox="1"/>
      </cdr:nvSpPr>
      <cdr:spPr>
        <a:xfrm xmlns:a="http://schemas.openxmlformats.org/drawingml/2006/main">
          <a:off x="6711470" y="2844800"/>
          <a:ext cx="2045659" cy="762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square" rtlCol="0" anchor="t"/>
        <a:lstStyle xmlns:a="http://schemas.openxmlformats.org/drawingml/2006/main"/>
        <a:p xmlns:a="http://schemas.openxmlformats.org/drawingml/2006/main">
          <a:pPr algn="ctr"/>
          <a:r>
            <a:rPr lang="es-AR" sz="1900">
              <a:solidFill>
                <a:srgbClr val="404040"/>
              </a:solidFill>
              <a:latin typeface="Arial" panose="020B0604020202020204" pitchFamily="34" charset="0"/>
            </a:rPr>
            <a:t>Participación</a:t>
          </a:r>
        </a:p>
      </cdr:txBody>
    </cdr:sp>
  </cdr:relSizeAnchor>
  <cdr:relSizeAnchor xmlns:cdr="http://schemas.openxmlformats.org/drawingml/2006/chartDrawing">
    <cdr:from>
      <cdr:x>0.79088</cdr:x>
      <cdr:y>0.72258</cdr:y>
    </cdr:from>
    <cdr:to>
      <cdr:x>0.96986</cdr:x>
      <cdr:y>0.91613</cdr:y>
    </cdr:to>
    <cdr:sp macro="" textlink="">
      <cdr:nvSpPr>
        <cdr:cNvPr id="4" name="ResultadoDimension2_TextBox3"/>
        <cdr:cNvSpPr txBox="1"/>
      </cdr:nvSpPr>
      <cdr:spPr>
        <a:xfrm xmlns:a="http://schemas.openxmlformats.org/drawingml/2006/main">
          <a:off x="9039803" y="2844800"/>
          <a:ext cx="2045660" cy="762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square" rtlCol="0" anchor="t"/>
        <a:lstStyle xmlns:a="http://schemas.openxmlformats.org/drawingml/2006/main"/>
        <a:p xmlns:a="http://schemas.openxmlformats.org/drawingml/2006/main">
          <a:pPr algn="ctr"/>
          <a:r>
            <a:rPr lang="es-AR" sz="1900">
              <a:solidFill>
                <a:srgbClr val="404040"/>
              </a:solidFill>
              <a:latin typeface="Arial" panose="020B0604020202020204" pitchFamily="34" charset="0"/>
            </a:rPr>
            <a:t>Cuidado de las Personas</a:t>
          </a:r>
        </a:p>
      </cdr:txBody>
    </cdr:sp>
  </cdr:relSizeAnchor>
</c:userShapes>
</file>

<file path=xl/drawings/drawing30.xml><?xml version="1.0" encoding="utf-8"?>
<c:userShapes xmlns:c="http://schemas.openxmlformats.org/drawingml/2006/chart">
  <cdr:relSizeAnchor xmlns:cdr="http://schemas.openxmlformats.org/drawingml/2006/chartDrawing">
    <cdr:from>
      <cdr:x>0</cdr:x>
      <cdr:y>0.86154</cdr:y>
    </cdr:from>
    <cdr:to>
      <cdr:x>1</cdr:x>
      <cdr:y>0.97692</cdr:y>
    </cdr:to>
    <cdr:sp macro="" textlink="">
      <cdr:nvSpPr>
        <cdr:cNvPr id="2" name="Dimension3_TextBox"/>
        <cdr:cNvSpPr txBox="1"/>
      </cdr:nvSpPr>
      <cdr:spPr>
        <a:xfrm xmlns:a="http://schemas.openxmlformats.org/drawingml/2006/main">
          <a:off x="50800" y="2844800"/>
          <a:ext cx="3175000" cy="381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rtlCol="0" anchor="ctr"/>
        <a:lstStyle xmlns:a="http://schemas.openxmlformats.org/drawingml/2006/main"/>
        <a:p xmlns:a="http://schemas.openxmlformats.org/drawingml/2006/main">
          <a:pPr algn="ctr"/>
          <a:r>
            <a:rPr lang="es-AR" sz="2800" b="1">
              <a:solidFill>
                <a:srgbClr val="006086"/>
              </a:solidFill>
              <a:latin typeface="Arial" panose="020B0604020202020204" pitchFamily="34" charset="0"/>
            </a:rPr>
            <a:t>Imparcialidad</a:t>
          </a:r>
        </a:p>
      </cdr:txBody>
    </cdr:sp>
  </cdr:relSizeAnchor>
</c:userShapes>
</file>

<file path=xl/drawings/drawing31.xml><?xml version="1.0" encoding="utf-8"?>
<c:userShapes xmlns:c="http://schemas.openxmlformats.org/drawingml/2006/chart">
  <cdr:relSizeAnchor xmlns:cdr="http://schemas.openxmlformats.org/drawingml/2006/chartDrawing">
    <cdr:from>
      <cdr:x>0.38348</cdr:x>
      <cdr:y>0.72258</cdr:y>
    </cdr:from>
    <cdr:to>
      <cdr:x>0.56245</cdr:x>
      <cdr:y>0.91613</cdr:y>
    </cdr:to>
    <cdr:sp macro="" textlink="">
      <cdr:nvSpPr>
        <cdr:cNvPr id="2" name="ResultadoDimension3_TextBox1"/>
        <cdr:cNvSpPr txBox="1"/>
      </cdr:nvSpPr>
      <cdr:spPr>
        <a:xfrm xmlns:a="http://schemas.openxmlformats.org/drawingml/2006/main">
          <a:off x="4383137" y="2844800"/>
          <a:ext cx="2045660" cy="762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square" rtlCol="0" anchor="t"/>
        <a:lstStyle xmlns:a="http://schemas.openxmlformats.org/drawingml/2006/main"/>
        <a:p xmlns:a="http://schemas.openxmlformats.org/drawingml/2006/main">
          <a:pPr algn="ctr"/>
          <a:r>
            <a:rPr lang="es-AR" sz="1900">
              <a:solidFill>
                <a:srgbClr val="404040"/>
              </a:solidFill>
              <a:latin typeface="Arial" panose="020B0604020202020204" pitchFamily="34" charset="0"/>
            </a:rPr>
            <a:t>Equidad</a:t>
          </a:r>
        </a:p>
      </cdr:txBody>
    </cdr:sp>
  </cdr:relSizeAnchor>
  <cdr:relSizeAnchor xmlns:cdr="http://schemas.openxmlformats.org/drawingml/2006/chartDrawing">
    <cdr:from>
      <cdr:x>0.58718</cdr:x>
      <cdr:y>0.72258</cdr:y>
    </cdr:from>
    <cdr:to>
      <cdr:x>0.76615</cdr:x>
      <cdr:y>0.91613</cdr:y>
    </cdr:to>
    <cdr:sp macro="" textlink="">
      <cdr:nvSpPr>
        <cdr:cNvPr id="3" name="ResultadoDimension3_TextBox2"/>
        <cdr:cNvSpPr txBox="1"/>
      </cdr:nvSpPr>
      <cdr:spPr>
        <a:xfrm xmlns:a="http://schemas.openxmlformats.org/drawingml/2006/main">
          <a:off x="6711470" y="2844800"/>
          <a:ext cx="2045659" cy="762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square" rtlCol="0" anchor="t"/>
        <a:lstStyle xmlns:a="http://schemas.openxmlformats.org/drawingml/2006/main"/>
        <a:p xmlns:a="http://schemas.openxmlformats.org/drawingml/2006/main">
          <a:pPr algn="ctr"/>
          <a:r>
            <a:rPr lang="es-AR" sz="1900">
              <a:solidFill>
                <a:srgbClr val="404040"/>
              </a:solidFill>
              <a:latin typeface="Arial" panose="020B0604020202020204" pitchFamily="34" charset="0"/>
            </a:rPr>
            <a:t>Ausencia de Favoritismo</a:t>
          </a:r>
        </a:p>
      </cdr:txBody>
    </cdr:sp>
  </cdr:relSizeAnchor>
  <cdr:relSizeAnchor xmlns:cdr="http://schemas.openxmlformats.org/drawingml/2006/chartDrawing">
    <cdr:from>
      <cdr:x>0.79088</cdr:x>
      <cdr:y>0.72258</cdr:y>
    </cdr:from>
    <cdr:to>
      <cdr:x>0.96986</cdr:x>
      <cdr:y>0.91613</cdr:y>
    </cdr:to>
    <cdr:sp macro="" textlink="">
      <cdr:nvSpPr>
        <cdr:cNvPr id="4" name="ResultadoDimension3_TextBox3"/>
        <cdr:cNvSpPr txBox="1"/>
      </cdr:nvSpPr>
      <cdr:spPr>
        <a:xfrm xmlns:a="http://schemas.openxmlformats.org/drawingml/2006/main">
          <a:off x="9039803" y="2844800"/>
          <a:ext cx="2045660" cy="762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square" rtlCol="0" anchor="t"/>
        <a:lstStyle xmlns:a="http://schemas.openxmlformats.org/drawingml/2006/main"/>
        <a:p xmlns:a="http://schemas.openxmlformats.org/drawingml/2006/main">
          <a:pPr algn="ctr"/>
          <a:r>
            <a:rPr lang="es-AR" sz="1900">
              <a:solidFill>
                <a:srgbClr val="404040"/>
              </a:solidFill>
              <a:latin typeface="Arial" panose="020B0604020202020204" pitchFamily="34" charset="0"/>
            </a:rPr>
            <a:t>Justicia</a:t>
          </a:r>
        </a:p>
      </cdr:txBody>
    </cdr:sp>
  </cdr:relSizeAnchor>
</c:userShapes>
</file>

<file path=xl/drawings/drawing32.xml><?xml version="1.0" encoding="utf-8"?>
<c:userShapes xmlns:c="http://schemas.openxmlformats.org/drawingml/2006/chart">
  <cdr:relSizeAnchor xmlns:cdr="http://schemas.openxmlformats.org/drawingml/2006/chartDrawing">
    <cdr:from>
      <cdr:x>0</cdr:x>
      <cdr:y>0.86154</cdr:y>
    </cdr:from>
    <cdr:to>
      <cdr:x>1</cdr:x>
      <cdr:y>0.97692</cdr:y>
    </cdr:to>
    <cdr:sp macro="" textlink="">
      <cdr:nvSpPr>
        <cdr:cNvPr id="2" name="Dimension4_TextBox"/>
        <cdr:cNvSpPr txBox="1"/>
      </cdr:nvSpPr>
      <cdr:spPr>
        <a:xfrm xmlns:a="http://schemas.openxmlformats.org/drawingml/2006/main">
          <a:off x="50800" y="2844800"/>
          <a:ext cx="3175000" cy="381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rtlCol="0" anchor="ctr"/>
        <a:lstStyle xmlns:a="http://schemas.openxmlformats.org/drawingml/2006/main"/>
        <a:p xmlns:a="http://schemas.openxmlformats.org/drawingml/2006/main">
          <a:pPr algn="ctr"/>
          <a:r>
            <a:rPr lang="es-AR" sz="2800" b="1">
              <a:solidFill>
                <a:srgbClr val="658D1B"/>
              </a:solidFill>
              <a:latin typeface="Arial" panose="020B0604020202020204" pitchFamily="34" charset="0"/>
            </a:rPr>
            <a:t>Orgullo</a:t>
          </a:r>
        </a:p>
      </cdr:txBody>
    </cdr:sp>
  </cdr:relSizeAnchor>
</c:userShapes>
</file>

<file path=xl/drawings/drawing33.xml><?xml version="1.0" encoding="utf-8"?>
<c:userShapes xmlns:c="http://schemas.openxmlformats.org/drawingml/2006/chart">
  <cdr:relSizeAnchor xmlns:cdr="http://schemas.openxmlformats.org/drawingml/2006/chartDrawing">
    <cdr:from>
      <cdr:x>0.38348</cdr:x>
      <cdr:y>0.72258</cdr:y>
    </cdr:from>
    <cdr:to>
      <cdr:x>0.56245</cdr:x>
      <cdr:y>0.91613</cdr:y>
    </cdr:to>
    <cdr:sp macro="" textlink="">
      <cdr:nvSpPr>
        <cdr:cNvPr id="2" name="ResultadoDimension4_TextBox1"/>
        <cdr:cNvSpPr txBox="1"/>
      </cdr:nvSpPr>
      <cdr:spPr>
        <a:xfrm xmlns:a="http://schemas.openxmlformats.org/drawingml/2006/main">
          <a:off x="4383137" y="2844800"/>
          <a:ext cx="2045660" cy="762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square" rtlCol="0" anchor="t"/>
        <a:lstStyle xmlns:a="http://schemas.openxmlformats.org/drawingml/2006/main"/>
        <a:p xmlns:a="http://schemas.openxmlformats.org/drawingml/2006/main">
          <a:pPr algn="ctr"/>
          <a:r>
            <a:rPr lang="es-AR" sz="1900">
              <a:solidFill>
                <a:srgbClr val="404040"/>
              </a:solidFill>
              <a:latin typeface="Arial" panose="020B0604020202020204" pitchFamily="34" charset="0"/>
            </a:rPr>
            <a:t>Trabajo Personal</a:t>
          </a:r>
        </a:p>
      </cdr:txBody>
    </cdr:sp>
  </cdr:relSizeAnchor>
  <cdr:relSizeAnchor xmlns:cdr="http://schemas.openxmlformats.org/drawingml/2006/chartDrawing">
    <cdr:from>
      <cdr:x>0.58718</cdr:x>
      <cdr:y>0.72258</cdr:y>
    </cdr:from>
    <cdr:to>
      <cdr:x>0.76615</cdr:x>
      <cdr:y>0.91613</cdr:y>
    </cdr:to>
    <cdr:sp macro="" textlink="">
      <cdr:nvSpPr>
        <cdr:cNvPr id="3" name="ResultadoDimension4_TextBox2"/>
        <cdr:cNvSpPr txBox="1"/>
      </cdr:nvSpPr>
      <cdr:spPr>
        <a:xfrm xmlns:a="http://schemas.openxmlformats.org/drawingml/2006/main">
          <a:off x="6711470" y="2844800"/>
          <a:ext cx="2045659" cy="762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square" rtlCol="0" anchor="t"/>
        <a:lstStyle xmlns:a="http://schemas.openxmlformats.org/drawingml/2006/main"/>
        <a:p xmlns:a="http://schemas.openxmlformats.org/drawingml/2006/main">
          <a:pPr algn="ctr"/>
          <a:r>
            <a:rPr lang="es-AR" sz="1900">
              <a:solidFill>
                <a:srgbClr val="404040"/>
              </a:solidFill>
              <a:latin typeface="Arial" panose="020B0604020202020204" pitchFamily="34" charset="0"/>
            </a:rPr>
            <a:t>Equipo</a:t>
          </a:r>
        </a:p>
      </cdr:txBody>
    </cdr:sp>
  </cdr:relSizeAnchor>
  <cdr:relSizeAnchor xmlns:cdr="http://schemas.openxmlformats.org/drawingml/2006/chartDrawing">
    <cdr:from>
      <cdr:x>0.79088</cdr:x>
      <cdr:y>0.72258</cdr:y>
    </cdr:from>
    <cdr:to>
      <cdr:x>0.96986</cdr:x>
      <cdr:y>0.91613</cdr:y>
    </cdr:to>
    <cdr:sp macro="" textlink="">
      <cdr:nvSpPr>
        <cdr:cNvPr id="4" name="ResultadoDimension4_TextBox3"/>
        <cdr:cNvSpPr txBox="1"/>
      </cdr:nvSpPr>
      <cdr:spPr>
        <a:xfrm xmlns:a="http://schemas.openxmlformats.org/drawingml/2006/main">
          <a:off x="9039803" y="2844800"/>
          <a:ext cx="2045660" cy="762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square" rtlCol="0" anchor="t"/>
        <a:lstStyle xmlns:a="http://schemas.openxmlformats.org/drawingml/2006/main"/>
        <a:p xmlns:a="http://schemas.openxmlformats.org/drawingml/2006/main">
          <a:pPr algn="ctr"/>
          <a:r>
            <a:rPr lang="es-AR" sz="1900">
              <a:solidFill>
                <a:srgbClr val="404040"/>
              </a:solidFill>
              <a:latin typeface="Arial" panose="020B0604020202020204" pitchFamily="34" charset="0"/>
            </a:rPr>
            <a:t>Empresa</a:t>
          </a:r>
        </a:p>
      </cdr:txBody>
    </cdr:sp>
  </cdr:relSizeAnchor>
</c:userShapes>
</file>

<file path=xl/drawings/drawing34.xml><?xml version="1.0" encoding="utf-8"?>
<c:userShapes xmlns:c="http://schemas.openxmlformats.org/drawingml/2006/chart">
  <cdr:relSizeAnchor xmlns:cdr="http://schemas.openxmlformats.org/drawingml/2006/chartDrawing">
    <cdr:from>
      <cdr:x>0</cdr:x>
      <cdr:y>0.86154</cdr:y>
    </cdr:from>
    <cdr:to>
      <cdr:x>1</cdr:x>
      <cdr:y>0.97692</cdr:y>
    </cdr:to>
    <cdr:sp macro="" textlink="">
      <cdr:nvSpPr>
        <cdr:cNvPr id="2" name="Dimension5_TextBox"/>
        <cdr:cNvSpPr txBox="1"/>
      </cdr:nvSpPr>
      <cdr:spPr>
        <a:xfrm xmlns:a="http://schemas.openxmlformats.org/drawingml/2006/main">
          <a:off x="50800" y="2844800"/>
          <a:ext cx="3175000" cy="381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rtlCol="0" anchor="ctr"/>
        <a:lstStyle xmlns:a="http://schemas.openxmlformats.org/drawingml/2006/main"/>
        <a:p xmlns:a="http://schemas.openxmlformats.org/drawingml/2006/main">
          <a:pPr algn="ctr"/>
          <a:r>
            <a:rPr lang="es-AR" sz="2800" b="1">
              <a:solidFill>
                <a:srgbClr val="612141"/>
              </a:solidFill>
              <a:latin typeface="Arial" panose="020B0604020202020204" pitchFamily="34" charset="0"/>
            </a:rPr>
            <a:t>Camaradería</a:t>
          </a:r>
        </a:p>
      </cdr:txBody>
    </cdr:sp>
  </cdr:relSizeAnchor>
</c:userShapes>
</file>

<file path=xl/drawings/drawing35.xml><?xml version="1.0" encoding="utf-8"?>
<c:userShapes xmlns:c="http://schemas.openxmlformats.org/drawingml/2006/chart">
  <cdr:relSizeAnchor xmlns:cdr="http://schemas.openxmlformats.org/drawingml/2006/chartDrawing">
    <cdr:from>
      <cdr:x>0.38348</cdr:x>
      <cdr:y>0.72258</cdr:y>
    </cdr:from>
    <cdr:to>
      <cdr:x>0.56245</cdr:x>
      <cdr:y>0.91613</cdr:y>
    </cdr:to>
    <cdr:sp macro="" textlink="">
      <cdr:nvSpPr>
        <cdr:cNvPr id="2" name="ResultadoDimension5_TextBox1"/>
        <cdr:cNvSpPr txBox="1"/>
      </cdr:nvSpPr>
      <cdr:spPr>
        <a:xfrm xmlns:a="http://schemas.openxmlformats.org/drawingml/2006/main">
          <a:off x="4383137" y="2844800"/>
          <a:ext cx="2045660" cy="762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square" rtlCol="0" anchor="t"/>
        <a:lstStyle xmlns:a="http://schemas.openxmlformats.org/drawingml/2006/main"/>
        <a:p xmlns:a="http://schemas.openxmlformats.org/drawingml/2006/main">
          <a:pPr algn="ctr"/>
          <a:r>
            <a:rPr lang="es-AR" sz="1900">
              <a:solidFill>
                <a:srgbClr val="404040"/>
              </a:solidFill>
              <a:latin typeface="Arial" panose="020B0604020202020204" pitchFamily="34" charset="0"/>
            </a:rPr>
            <a:t>Relaciones Interpersonales</a:t>
          </a:r>
        </a:p>
      </cdr:txBody>
    </cdr:sp>
  </cdr:relSizeAnchor>
  <cdr:relSizeAnchor xmlns:cdr="http://schemas.openxmlformats.org/drawingml/2006/chartDrawing">
    <cdr:from>
      <cdr:x>0.58718</cdr:x>
      <cdr:y>0.72258</cdr:y>
    </cdr:from>
    <cdr:to>
      <cdr:x>0.76615</cdr:x>
      <cdr:y>0.91613</cdr:y>
    </cdr:to>
    <cdr:sp macro="" textlink="">
      <cdr:nvSpPr>
        <cdr:cNvPr id="3" name="ResultadoDimension5_TextBox2"/>
        <cdr:cNvSpPr txBox="1"/>
      </cdr:nvSpPr>
      <cdr:spPr>
        <a:xfrm xmlns:a="http://schemas.openxmlformats.org/drawingml/2006/main">
          <a:off x="6711470" y="2844800"/>
          <a:ext cx="2045659" cy="762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square" rtlCol="0" anchor="t"/>
        <a:lstStyle xmlns:a="http://schemas.openxmlformats.org/drawingml/2006/main"/>
        <a:p xmlns:a="http://schemas.openxmlformats.org/drawingml/2006/main">
          <a:pPr algn="ctr"/>
          <a:r>
            <a:rPr lang="es-AR" sz="1900">
              <a:solidFill>
                <a:srgbClr val="404040"/>
              </a:solidFill>
              <a:latin typeface="Arial" panose="020B0604020202020204" pitchFamily="34" charset="0"/>
            </a:rPr>
            <a:t>Hospitalidad</a:t>
          </a:r>
        </a:p>
      </cdr:txBody>
    </cdr:sp>
  </cdr:relSizeAnchor>
  <cdr:relSizeAnchor xmlns:cdr="http://schemas.openxmlformats.org/drawingml/2006/chartDrawing">
    <cdr:from>
      <cdr:x>0.79088</cdr:x>
      <cdr:y>0.72258</cdr:y>
    </cdr:from>
    <cdr:to>
      <cdr:x>0.96986</cdr:x>
      <cdr:y>0.91613</cdr:y>
    </cdr:to>
    <cdr:sp macro="" textlink="">
      <cdr:nvSpPr>
        <cdr:cNvPr id="4" name="ResultadoDimension5_TextBox3"/>
        <cdr:cNvSpPr txBox="1"/>
      </cdr:nvSpPr>
      <cdr:spPr>
        <a:xfrm xmlns:a="http://schemas.openxmlformats.org/drawingml/2006/main">
          <a:off x="9039803" y="2844800"/>
          <a:ext cx="2045660" cy="762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square" rtlCol="0" anchor="t"/>
        <a:lstStyle xmlns:a="http://schemas.openxmlformats.org/drawingml/2006/main"/>
        <a:p xmlns:a="http://schemas.openxmlformats.org/drawingml/2006/main">
          <a:pPr algn="ctr"/>
          <a:r>
            <a:rPr lang="es-AR" sz="1900">
              <a:solidFill>
                <a:srgbClr val="404040"/>
              </a:solidFill>
              <a:latin typeface="Arial" panose="020B0604020202020204" pitchFamily="34" charset="0"/>
            </a:rPr>
            <a:t>Sentido de Pertenencia</a:t>
          </a:r>
        </a:p>
      </cdr:txBody>
    </cdr:sp>
  </cdr:relSizeAnchor>
</c:userShape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15.xml"/><Relationship Id="rId18" Type="http://schemas.openxmlformats.org/officeDocument/2006/relationships/ctrlProp" Target="../ctrlProps/ctrlProp20.xml"/><Relationship Id="rId26" Type="http://schemas.openxmlformats.org/officeDocument/2006/relationships/ctrlProp" Target="../ctrlProps/ctrlProp28.xml"/><Relationship Id="rId39" Type="http://schemas.openxmlformats.org/officeDocument/2006/relationships/ctrlProp" Target="../ctrlProps/ctrlProp41.xml"/><Relationship Id="rId21" Type="http://schemas.openxmlformats.org/officeDocument/2006/relationships/ctrlProp" Target="../ctrlProps/ctrlProp23.xml"/><Relationship Id="rId34" Type="http://schemas.openxmlformats.org/officeDocument/2006/relationships/ctrlProp" Target="../ctrlProps/ctrlProp36.xml"/><Relationship Id="rId42" Type="http://schemas.openxmlformats.org/officeDocument/2006/relationships/ctrlProp" Target="../ctrlProps/ctrlProp44.xml"/><Relationship Id="rId7" Type="http://schemas.openxmlformats.org/officeDocument/2006/relationships/ctrlProp" Target="../ctrlProps/ctrlProp9.xml"/><Relationship Id="rId2" Type="http://schemas.openxmlformats.org/officeDocument/2006/relationships/vmlDrawing" Target="../drawings/vmlDrawing2.vml"/><Relationship Id="rId16" Type="http://schemas.openxmlformats.org/officeDocument/2006/relationships/ctrlProp" Target="../ctrlProps/ctrlProp18.xml"/><Relationship Id="rId29" Type="http://schemas.openxmlformats.org/officeDocument/2006/relationships/ctrlProp" Target="../ctrlProps/ctrlProp31.xml"/><Relationship Id="rId1" Type="http://schemas.openxmlformats.org/officeDocument/2006/relationships/drawing" Target="../drawings/drawing2.xml"/><Relationship Id="rId6" Type="http://schemas.openxmlformats.org/officeDocument/2006/relationships/ctrlProp" Target="../ctrlProps/ctrlProp8.xml"/><Relationship Id="rId11" Type="http://schemas.openxmlformats.org/officeDocument/2006/relationships/ctrlProp" Target="../ctrlProps/ctrlProp13.xml"/><Relationship Id="rId24" Type="http://schemas.openxmlformats.org/officeDocument/2006/relationships/ctrlProp" Target="../ctrlProps/ctrlProp26.xml"/><Relationship Id="rId32" Type="http://schemas.openxmlformats.org/officeDocument/2006/relationships/ctrlProp" Target="../ctrlProps/ctrlProp34.xml"/><Relationship Id="rId37" Type="http://schemas.openxmlformats.org/officeDocument/2006/relationships/ctrlProp" Target="../ctrlProps/ctrlProp39.xml"/><Relationship Id="rId40" Type="http://schemas.openxmlformats.org/officeDocument/2006/relationships/ctrlProp" Target="../ctrlProps/ctrlProp42.xml"/><Relationship Id="rId45" Type="http://schemas.openxmlformats.org/officeDocument/2006/relationships/ctrlProp" Target="../ctrlProps/ctrlProp47.xml"/><Relationship Id="rId5" Type="http://schemas.openxmlformats.org/officeDocument/2006/relationships/ctrlProp" Target="../ctrlProps/ctrlProp7.xml"/><Relationship Id="rId15" Type="http://schemas.openxmlformats.org/officeDocument/2006/relationships/ctrlProp" Target="../ctrlProps/ctrlProp17.xml"/><Relationship Id="rId23" Type="http://schemas.openxmlformats.org/officeDocument/2006/relationships/ctrlProp" Target="../ctrlProps/ctrlProp25.xml"/><Relationship Id="rId28" Type="http://schemas.openxmlformats.org/officeDocument/2006/relationships/ctrlProp" Target="../ctrlProps/ctrlProp30.xml"/><Relationship Id="rId36" Type="http://schemas.openxmlformats.org/officeDocument/2006/relationships/ctrlProp" Target="../ctrlProps/ctrlProp38.xml"/><Relationship Id="rId10" Type="http://schemas.openxmlformats.org/officeDocument/2006/relationships/ctrlProp" Target="../ctrlProps/ctrlProp12.xml"/><Relationship Id="rId19" Type="http://schemas.openxmlformats.org/officeDocument/2006/relationships/ctrlProp" Target="../ctrlProps/ctrlProp21.xml"/><Relationship Id="rId31" Type="http://schemas.openxmlformats.org/officeDocument/2006/relationships/ctrlProp" Target="../ctrlProps/ctrlProp33.xml"/><Relationship Id="rId44" Type="http://schemas.openxmlformats.org/officeDocument/2006/relationships/ctrlProp" Target="../ctrlProps/ctrlProp46.xml"/><Relationship Id="rId4" Type="http://schemas.openxmlformats.org/officeDocument/2006/relationships/ctrlProp" Target="../ctrlProps/ctrlProp6.xml"/><Relationship Id="rId9" Type="http://schemas.openxmlformats.org/officeDocument/2006/relationships/ctrlProp" Target="../ctrlProps/ctrlProp11.xml"/><Relationship Id="rId14" Type="http://schemas.openxmlformats.org/officeDocument/2006/relationships/ctrlProp" Target="../ctrlProps/ctrlProp16.xml"/><Relationship Id="rId22" Type="http://schemas.openxmlformats.org/officeDocument/2006/relationships/ctrlProp" Target="../ctrlProps/ctrlProp24.xml"/><Relationship Id="rId27" Type="http://schemas.openxmlformats.org/officeDocument/2006/relationships/ctrlProp" Target="../ctrlProps/ctrlProp29.xml"/><Relationship Id="rId30" Type="http://schemas.openxmlformats.org/officeDocument/2006/relationships/ctrlProp" Target="../ctrlProps/ctrlProp32.xml"/><Relationship Id="rId35" Type="http://schemas.openxmlformats.org/officeDocument/2006/relationships/ctrlProp" Target="../ctrlProps/ctrlProp37.xml"/><Relationship Id="rId43" Type="http://schemas.openxmlformats.org/officeDocument/2006/relationships/ctrlProp" Target="../ctrlProps/ctrlProp45.xml"/><Relationship Id="rId8" Type="http://schemas.openxmlformats.org/officeDocument/2006/relationships/ctrlProp" Target="../ctrlProps/ctrlProp10.xml"/><Relationship Id="rId3" Type="http://schemas.openxmlformats.org/officeDocument/2006/relationships/ctrlProp" Target="../ctrlProps/ctrlProp5.xml"/><Relationship Id="rId12" Type="http://schemas.openxmlformats.org/officeDocument/2006/relationships/ctrlProp" Target="../ctrlProps/ctrlProp14.xml"/><Relationship Id="rId17" Type="http://schemas.openxmlformats.org/officeDocument/2006/relationships/ctrlProp" Target="../ctrlProps/ctrlProp19.xml"/><Relationship Id="rId25" Type="http://schemas.openxmlformats.org/officeDocument/2006/relationships/ctrlProp" Target="../ctrlProps/ctrlProp27.xml"/><Relationship Id="rId33" Type="http://schemas.openxmlformats.org/officeDocument/2006/relationships/ctrlProp" Target="../ctrlProps/ctrlProp35.xml"/><Relationship Id="rId38" Type="http://schemas.openxmlformats.org/officeDocument/2006/relationships/ctrlProp" Target="../ctrlProps/ctrlProp40.xml"/><Relationship Id="rId20" Type="http://schemas.openxmlformats.org/officeDocument/2006/relationships/ctrlProp" Target="../ctrlProps/ctrlProp22.xml"/><Relationship Id="rId41" Type="http://schemas.openxmlformats.org/officeDocument/2006/relationships/ctrlProp" Target="../ctrlProps/ctrlProp43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8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5" Type="http://schemas.openxmlformats.org/officeDocument/2006/relationships/comments" Target="../comments1.xml"/><Relationship Id="rId4" Type="http://schemas.openxmlformats.org/officeDocument/2006/relationships/ctrlProp" Target="../ctrlProps/ctrlProp49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0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5" Type="http://schemas.openxmlformats.org/officeDocument/2006/relationships/ctrlProp" Target="../ctrlProps/ctrlProp52.xml"/><Relationship Id="rId4" Type="http://schemas.openxmlformats.org/officeDocument/2006/relationships/ctrlProp" Target="../ctrlProps/ctrlProp51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/>
  <dimension ref="B2:L7"/>
  <sheetViews>
    <sheetView showGridLines="0" workbookViewId="0">
      <selection activeCell="D5" sqref="D5"/>
    </sheetView>
  </sheetViews>
  <sheetFormatPr baseColWidth="10" defaultColWidth="9.140625" defaultRowHeight="15" x14ac:dyDescent="0.25"/>
  <cols>
    <col min="1" max="1" width="3.28515625" customWidth="1"/>
    <col min="2" max="2" width="14" bestFit="1" customWidth="1"/>
    <col min="3" max="3" width="9.42578125" customWidth="1"/>
    <col min="4" max="4" width="30.7109375" customWidth="1"/>
    <col min="6" max="6" width="19.42578125" style="1" bestFit="1" customWidth="1"/>
    <col min="7" max="7" width="13.28515625" style="1" bestFit="1" customWidth="1"/>
    <col min="8" max="8" width="12.140625" style="1" bestFit="1" customWidth="1"/>
    <col min="9" max="9" width="9.140625" style="1"/>
    <col min="10" max="10" width="11.28515625" style="1" bestFit="1" customWidth="1"/>
    <col min="11" max="11" width="13.28515625" style="1" bestFit="1" customWidth="1"/>
    <col min="12" max="12" width="12.140625" style="1" bestFit="1" customWidth="1"/>
  </cols>
  <sheetData>
    <row r="2" spans="2:12" ht="22.5" x14ac:dyDescent="0.3">
      <c r="F2" s="160" t="s">
        <v>6</v>
      </c>
      <c r="G2" s="160"/>
      <c r="H2" s="160"/>
      <c r="J2" s="160" t="s">
        <v>7</v>
      </c>
      <c r="K2" s="160"/>
      <c r="L2" s="160"/>
    </row>
    <row r="3" spans="2:12" ht="17.25" x14ac:dyDescent="0.3">
      <c r="B3" s="4"/>
      <c r="F3" s="6" t="s">
        <v>2</v>
      </c>
      <c r="G3" s="6" t="s">
        <v>3</v>
      </c>
      <c r="H3" s="6" t="s">
        <v>4</v>
      </c>
      <c r="J3" s="6" t="s">
        <v>2</v>
      </c>
      <c r="K3" s="6" t="s">
        <v>3</v>
      </c>
      <c r="L3" s="6" t="s">
        <v>4</v>
      </c>
    </row>
    <row r="4" spans="2:12" ht="15" customHeight="1" thickBot="1" x14ac:dyDescent="0.3">
      <c r="B4" s="7" t="s">
        <v>0</v>
      </c>
      <c r="F4" s="30" t="s">
        <v>5</v>
      </c>
      <c r="G4" s="30" t="s">
        <v>8</v>
      </c>
      <c r="H4" s="30" t="s">
        <v>208</v>
      </c>
      <c r="J4" s="9" t="s">
        <v>160</v>
      </c>
      <c r="K4" s="30" t="s">
        <v>8</v>
      </c>
      <c r="L4" s="30" t="s">
        <v>208</v>
      </c>
    </row>
    <row r="5" spans="2:12" ht="15" customHeight="1" thickTop="1" x14ac:dyDescent="0.25">
      <c r="F5" s="2"/>
      <c r="G5" s="2"/>
      <c r="H5" s="2"/>
      <c r="I5" s="3"/>
      <c r="J5" s="2"/>
      <c r="K5" s="2"/>
      <c r="L5" s="2"/>
    </row>
    <row r="6" spans="2:12" ht="15.75" thickBot="1" x14ac:dyDescent="0.3">
      <c r="B6" s="8" t="s">
        <v>1</v>
      </c>
      <c r="F6" s="31" t="s">
        <v>342</v>
      </c>
      <c r="G6" s="31" t="s">
        <v>8</v>
      </c>
      <c r="H6" s="31" t="s">
        <v>112</v>
      </c>
      <c r="J6" s="5" t="s">
        <v>9</v>
      </c>
      <c r="K6" s="31" t="s">
        <v>8</v>
      </c>
      <c r="L6" s="31" t="s">
        <v>112</v>
      </c>
    </row>
    <row r="7" spans="2:12" ht="15.75" thickTop="1" x14ac:dyDescent="0.25"/>
  </sheetData>
  <sheetProtection algorithmName="SHA-512" hashValue="LQNkqq0cj9zXeybu8nSe94mV553XPxn63uhtmjEetPt0iLenerttIPI1TO++h/luBJGJUVurKtPzIFSzgDk03w==" saltValue="kjMQUw9ttEBb1vWCpTr+mg==" spinCount="100000" sheet="1" objects="1" scenarios="1"/>
  <mergeCells count="2">
    <mergeCell ref="F2:H2"/>
    <mergeCell ref="J2:L2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Cargar_Datos_Demografias">
                <anchor moveWithCells="1" sizeWithCells="1">
                  <from>
                    <xdr:col>3</xdr:col>
                    <xdr:colOff>0</xdr:colOff>
                    <xdr:row>2</xdr:row>
                    <xdr:rowOff>180975</xdr:rowOff>
                  </from>
                  <to>
                    <xdr:col>4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Cargar_Datos_Indicadores">
                <anchor moveWithCells="1" sizeWithCells="1">
                  <from>
                    <xdr:col>3</xdr:col>
                    <xdr:colOff>0</xdr:colOff>
                    <xdr:row>4</xdr:row>
                    <xdr:rowOff>171450</xdr:rowOff>
                  </from>
                  <to>
                    <xdr:col>3</xdr:col>
                    <xdr:colOff>2038350</xdr:colOff>
                    <xdr:row>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6" name="Button 4">
              <controlPr defaultSize="0" print="0" autoFill="0" autoPict="0" macro="[0]!Clear_Datos_Demografias">
                <anchor moveWithCells="1" sizeWithCells="1">
                  <from>
                    <xdr:col>12</xdr:col>
                    <xdr:colOff>600075</xdr:colOff>
                    <xdr:row>2</xdr:row>
                    <xdr:rowOff>180975</xdr:rowOff>
                  </from>
                  <to>
                    <xdr:col>13</xdr:col>
                    <xdr:colOff>600075</xdr:colOff>
                    <xdr:row>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7" name="Button 5">
              <controlPr defaultSize="0" print="0" autoFill="0" autoPict="0" macro="[0]!Clear_Datos_Indicadores">
                <anchor moveWithCells="1" sizeWithCells="1">
                  <from>
                    <xdr:col>13</xdr:col>
                    <xdr:colOff>0</xdr:colOff>
                    <xdr:row>4</xdr:row>
                    <xdr:rowOff>180975</xdr:rowOff>
                  </from>
                  <to>
                    <xdr:col>14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:BV20"/>
  <sheetViews>
    <sheetView topLeftCell="Q2" zoomScaleNormal="100" workbookViewId="0">
      <selection activeCell="AS4" sqref="AS4"/>
    </sheetView>
  </sheetViews>
  <sheetFormatPr baseColWidth="10" defaultRowHeight="15" x14ac:dyDescent="0.25"/>
  <cols>
    <col min="1" max="1" width="5.140625" customWidth="1"/>
    <col min="2" max="2" width="4.28515625" customWidth="1"/>
    <col min="3" max="3" width="55.28515625" customWidth="1"/>
    <col min="4" max="10" width="5" customWidth="1"/>
    <col min="11" max="11" width="0.7109375" customWidth="1"/>
    <col min="12" max="16" width="5" customWidth="1"/>
    <col min="17" max="17" width="0.7109375" customWidth="1"/>
    <col min="18" max="19" width="5" customWidth="1"/>
    <col min="20" max="20" width="0.7109375" customWidth="1"/>
    <col min="21" max="25" width="5" customWidth="1"/>
    <col min="26" max="26" width="0.7109375" customWidth="1"/>
    <col min="27" max="36" width="5" customWidth="1"/>
    <col min="37" max="37" width="0.7109375" customWidth="1"/>
    <col min="38" max="43" width="5" customWidth="1"/>
    <col min="44" max="44" width="0.7109375" customWidth="1"/>
    <col min="45" max="50" width="5.7109375" customWidth="1"/>
    <col min="51" max="51" width="6" customWidth="1"/>
    <col min="52" max="58" width="5.7109375" customWidth="1"/>
    <col min="59" max="59" width="0.7109375" customWidth="1"/>
    <col min="60" max="63" width="5" customWidth="1"/>
    <col min="64" max="64" width="0.7109375" customWidth="1"/>
    <col min="65" max="69" width="5" customWidth="1"/>
    <col min="70" max="70" width="0.7109375" customWidth="1"/>
    <col min="71" max="74" width="5" customWidth="1"/>
  </cols>
  <sheetData>
    <row r="1" spans="1:74" x14ac:dyDescent="0.25">
      <c r="A1" s="169" t="s">
        <v>209</v>
      </c>
      <c r="B1" s="169"/>
      <c r="C1" s="35"/>
      <c r="D1" s="176" t="s">
        <v>161</v>
      </c>
      <c r="E1" s="177"/>
      <c r="F1" s="177"/>
      <c r="G1" s="177"/>
      <c r="H1" s="177"/>
      <c r="I1" s="177"/>
      <c r="J1" s="177"/>
      <c r="K1" s="48"/>
      <c r="L1" s="176" t="s">
        <v>27</v>
      </c>
      <c r="M1" s="177"/>
      <c r="N1" s="177"/>
      <c r="O1" s="177"/>
      <c r="P1" s="178"/>
      <c r="Q1" s="48"/>
      <c r="R1" s="176" t="s">
        <v>28</v>
      </c>
      <c r="S1" s="178"/>
      <c r="T1" s="48"/>
      <c r="U1" s="176" t="s">
        <v>130</v>
      </c>
      <c r="V1" s="177"/>
      <c r="W1" s="177"/>
      <c r="X1" s="177"/>
      <c r="Y1" s="178"/>
      <c r="Z1" s="48"/>
      <c r="AA1" s="176" t="s">
        <v>210</v>
      </c>
      <c r="AB1" s="177"/>
      <c r="AC1" s="177"/>
      <c r="AD1" s="177"/>
      <c r="AE1" s="177"/>
      <c r="AF1" s="177"/>
      <c r="AG1" s="177"/>
      <c r="AH1" s="177"/>
      <c r="AI1" s="177"/>
      <c r="AJ1" s="178"/>
      <c r="AK1" s="48"/>
      <c r="AL1" s="176" t="s">
        <v>131</v>
      </c>
      <c r="AM1" s="177"/>
      <c r="AN1" s="177"/>
      <c r="AO1" s="177"/>
      <c r="AP1" s="177"/>
      <c r="AQ1" s="178"/>
      <c r="AR1" s="48"/>
      <c r="AS1" s="176" t="s">
        <v>211</v>
      </c>
      <c r="AT1" s="177"/>
      <c r="AU1" s="177"/>
      <c r="AV1" s="177"/>
      <c r="AW1" s="177"/>
      <c r="AX1" s="177"/>
      <c r="AY1" s="177"/>
      <c r="AZ1" s="177"/>
      <c r="BA1" s="177"/>
      <c r="BB1" s="177"/>
      <c r="BC1" s="177"/>
      <c r="BD1" s="177"/>
      <c r="BE1" s="177"/>
      <c r="BF1" s="178"/>
      <c r="BG1" s="48"/>
      <c r="BH1" s="176" t="s">
        <v>132</v>
      </c>
      <c r="BI1" s="177"/>
      <c r="BJ1" s="177"/>
      <c r="BK1" s="178"/>
      <c r="BL1" s="48"/>
      <c r="BM1" s="176" t="s">
        <v>113</v>
      </c>
      <c r="BN1" s="177"/>
      <c r="BO1" s="177"/>
      <c r="BP1" s="177"/>
      <c r="BQ1" s="178"/>
      <c r="BR1" s="48"/>
      <c r="BS1" s="176" t="s">
        <v>133</v>
      </c>
      <c r="BT1" s="177"/>
      <c r="BU1" s="177"/>
      <c r="BV1" s="178"/>
    </row>
    <row r="2" spans="1:74" ht="273.75" x14ac:dyDescent="0.25">
      <c r="A2" s="167" t="s">
        <v>212</v>
      </c>
      <c r="B2" s="167"/>
      <c r="C2" s="168"/>
      <c r="D2" s="36">
        <v>2016</v>
      </c>
      <c r="E2" s="36">
        <v>2015</v>
      </c>
      <c r="F2" s="36" t="s">
        <v>213</v>
      </c>
      <c r="G2" s="36" t="s">
        <v>214</v>
      </c>
      <c r="H2" s="36" t="s">
        <v>215</v>
      </c>
      <c r="I2" s="36" t="s">
        <v>216</v>
      </c>
      <c r="J2" s="36" t="s">
        <v>217</v>
      </c>
      <c r="K2" s="48"/>
      <c r="L2" s="36" t="s">
        <v>281</v>
      </c>
      <c r="M2" s="36" t="s">
        <v>282</v>
      </c>
      <c r="N2" s="36" t="s">
        <v>283</v>
      </c>
      <c r="O2" s="36" t="s">
        <v>284</v>
      </c>
      <c r="P2" s="36" t="s">
        <v>285</v>
      </c>
      <c r="Q2" s="48"/>
      <c r="R2" s="36" t="s">
        <v>286</v>
      </c>
      <c r="S2" s="36" t="s">
        <v>287</v>
      </c>
      <c r="T2" s="48"/>
      <c r="U2" s="36" t="s">
        <v>288</v>
      </c>
      <c r="V2" s="36" t="s">
        <v>289</v>
      </c>
      <c r="W2" s="36" t="s">
        <v>290</v>
      </c>
      <c r="X2" s="36" t="s">
        <v>291</v>
      </c>
      <c r="Y2" s="36" t="s">
        <v>292</v>
      </c>
      <c r="Z2" s="48"/>
      <c r="AA2" s="49" t="s">
        <v>293</v>
      </c>
      <c r="AB2" s="49" t="s">
        <v>294</v>
      </c>
      <c r="AC2" s="49" t="s">
        <v>295</v>
      </c>
      <c r="AD2" s="49" t="s">
        <v>296</v>
      </c>
      <c r="AE2" s="49" t="s">
        <v>297</v>
      </c>
      <c r="AF2" s="49" t="s">
        <v>298</v>
      </c>
      <c r="AG2" s="49" t="s">
        <v>299</v>
      </c>
      <c r="AH2" s="49" t="s">
        <v>300</v>
      </c>
      <c r="AI2" s="49" t="s">
        <v>301</v>
      </c>
      <c r="AJ2" s="49" t="s">
        <v>302</v>
      </c>
      <c r="AK2" s="48"/>
      <c r="AL2" s="36" t="s">
        <v>303</v>
      </c>
      <c r="AM2" s="36" t="s">
        <v>304</v>
      </c>
      <c r="AN2" s="36" t="s">
        <v>305</v>
      </c>
      <c r="AO2" s="36" t="s">
        <v>306</v>
      </c>
      <c r="AP2" s="36" t="s">
        <v>307</v>
      </c>
      <c r="AQ2" s="36" t="s">
        <v>308</v>
      </c>
      <c r="AR2" s="48"/>
      <c r="AS2" s="36" t="s">
        <v>309</v>
      </c>
      <c r="AT2" s="36" t="s">
        <v>310</v>
      </c>
      <c r="AU2" s="36" t="s">
        <v>311</v>
      </c>
      <c r="AV2" s="36" t="s">
        <v>312</v>
      </c>
      <c r="AW2" s="36" t="s">
        <v>313</v>
      </c>
      <c r="AX2" s="36" t="s">
        <v>314</v>
      </c>
      <c r="AY2" s="36" t="s">
        <v>315</v>
      </c>
      <c r="AZ2" s="36" t="s">
        <v>316</v>
      </c>
      <c r="BA2" s="36" t="s">
        <v>317</v>
      </c>
      <c r="BB2" s="36" t="s">
        <v>318</v>
      </c>
      <c r="BC2" s="36" t="s">
        <v>319</v>
      </c>
      <c r="BD2" s="36" t="s">
        <v>320</v>
      </c>
      <c r="BE2" s="36" t="s">
        <v>321</v>
      </c>
      <c r="BF2" s="36" t="s">
        <v>322</v>
      </c>
      <c r="BG2" s="48"/>
      <c r="BH2" s="36" t="s">
        <v>323</v>
      </c>
      <c r="BI2" s="36" t="s">
        <v>324</v>
      </c>
      <c r="BJ2" s="36" t="s">
        <v>325</v>
      </c>
      <c r="BK2" s="36" t="s">
        <v>326</v>
      </c>
      <c r="BL2" s="48"/>
      <c r="BM2" s="36" t="s">
        <v>327</v>
      </c>
      <c r="BN2" s="36" t="s">
        <v>328</v>
      </c>
      <c r="BO2" s="36" t="s">
        <v>329</v>
      </c>
      <c r="BP2" s="36" t="s">
        <v>330</v>
      </c>
      <c r="BQ2" s="36" t="s">
        <v>331</v>
      </c>
      <c r="BR2" s="48"/>
      <c r="BS2" s="36" t="s">
        <v>332</v>
      </c>
      <c r="BT2" s="36" t="s">
        <v>324</v>
      </c>
      <c r="BU2" s="36" t="s">
        <v>325</v>
      </c>
      <c r="BV2" s="36" t="s">
        <v>326</v>
      </c>
    </row>
    <row r="3" spans="1:74" x14ac:dyDescent="0.25">
      <c r="A3" s="37"/>
      <c r="B3" s="37"/>
      <c r="C3" s="38" t="s">
        <v>162</v>
      </c>
      <c r="D3" s="39">
        <v>4886</v>
      </c>
      <c r="E3" s="39">
        <v>4735</v>
      </c>
      <c r="F3" s="39"/>
      <c r="G3" s="39"/>
      <c r="H3" s="39"/>
      <c r="I3" s="39"/>
      <c r="J3" s="39"/>
      <c r="K3" s="48"/>
      <c r="L3" s="39">
        <v>292</v>
      </c>
      <c r="M3" s="39">
        <v>1996</v>
      </c>
      <c r="N3" s="39">
        <v>1426</v>
      </c>
      <c r="O3" s="39">
        <v>736</v>
      </c>
      <c r="P3" s="39">
        <v>248</v>
      </c>
      <c r="Q3" s="48"/>
      <c r="R3" s="39">
        <v>2476</v>
      </c>
      <c r="S3" s="39">
        <v>2191</v>
      </c>
      <c r="T3" s="48"/>
      <c r="U3" s="39">
        <v>12</v>
      </c>
      <c r="V3" s="39">
        <v>360</v>
      </c>
      <c r="W3" s="39">
        <v>2276</v>
      </c>
      <c r="X3" s="39">
        <v>1542</v>
      </c>
      <c r="Y3" s="39">
        <v>500</v>
      </c>
      <c r="Z3" s="48"/>
      <c r="AA3" s="39">
        <v>74</v>
      </c>
      <c r="AB3" s="39">
        <v>139</v>
      </c>
      <c r="AC3" s="39">
        <v>979</v>
      </c>
      <c r="AD3" s="39">
        <v>794</v>
      </c>
      <c r="AE3" s="39">
        <v>386</v>
      </c>
      <c r="AF3" s="39">
        <v>426</v>
      </c>
      <c r="AG3" s="39">
        <v>536</v>
      </c>
      <c r="AH3" s="39">
        <v>877</v>
      </c>
      <c r="AI3" s="39">
        <v>396</v>
      </c>
      <c r="AJ3" s="39">
        <v>42</v>
      </c>
      <c r="AK3" s="48"/>
      <c r="AL3" s="39">
        <v>425</v>
      </c>
      <c r="AM3" s="39">
        <v>1125</v>
      </c>
      <c r="AN3" s="39">
        <v>1198</v>
      </c>
      <c r="AO3" s="39">
        <v>412</v>
      </c>
      <c r="AP3" s="39">
        <v>791</v>
      </c>
      <c r="AQ3" s="39">
        <v>719</v>
      </c>
      <c r="AR3" s="48"/>
      <c r="AS3" s="39">
        <v>8</v>
      </c>
      <c r="AT3" s="39">
        <v>14</v>
      </c>
      <c r="AU3" s="39">
        <v>41</v>
      </c>
      <c r="AV3" s="39">
        <v>199</v>
      </c>
      <c r="AW3" s="39">
        <v>2612</v>
      </c>
      <c r="AX3" s="39">
        <v>95</v>
      </c>
      <c r="AY3" s="39">
        <v>21</v>
      </c>
      <c r="AZ3" s="39">
        <v>170</v>
      </c>
      <c r="BA3" s="39">
        <v>102</v>
      </c>
      <c r="BB3" s="39">
        <v>60</v>
      </c>
      <c r="BC3" s="39">
        <v>1478</v>
      </c>
      <c r="BD3" s="39">
        <v>73</v>
      </c>
      <c r="BE3" s="39">
        <v>3</v>
      </c>
      <c r="BF3" s="39">
        <v>10</v>
      </c>
      <c r="BG3" s="48"/>
      <c r="BH3" s="39">
        <v>2444</v>
      </c>
      <c r="BI3" s="39">
        <v>1088</v>
      </c>
      <c r="BJ3" s="39">
        <v>501</v>
      </c>
      <c r="BK3" s="39">
        <v>116</v>
      </c>
      <c r="BL3" s="48"/>
      <c r="BM3" s="39">
        <v>680</v>
      </c>
      <c r="BN3" s="39">
        <v>940</v>
      </c>
      <c r="BO3" s="39">
        <v>101</v>
      </c>
      <c r="BP3" s="39">
        <v>1993</v>
      </c>
      <c r="BQ3" s="39">
        <v>218</v>
      </c>
      <c r="BR3" s="48"/>
      <c r="BS3" s="39">
        <v>789</v>
      </c>
      <c r="BT3" s="39">
        <v>283</v>
      </c>
      <c r="BU3" s="39">
        <v>450</v>
      </c>
      <c r="BV3" s="39">
        <v>317</v>
      </c>
    </row>
    <row r="4" spans="1:74" x14ac:dyDescent="0.25">
      <c r="A4" s="50"/>
      <c r="B4" s="50"/>
      <c r="C4" s="51" t="s">
        <v>202</v>
      </c>
      <c r="D4" s="52">
        <v>5231</v>
      </c>
      <c r="E4" s="52">
        <v>5159</v>
      </c>
      <c r="F4" s="52"/>
      <c r="G4" s="52"/>
      <c r="H4" s="52"/>
      <c r="I4" s="52"/>
      <c r="J4" s="52"/>
      <c r="K4" s="48"/>
      <c r="L4" s="52"/>
      <c r="M4" s="52"/>
      <c r="N4" s="52"/>
      <c r="O4" s="52"/>
      <c r="P4" s="52"/>
      <c r="Q4" s="48"/>
      <c r="R4" s="52"/>
      <c r="S4" s="52"/>
      <c r="T4" s="48"/>
      <c r="U4" s="52"/>
      <c r="V4" s="52"/>
      <c r="W4" s="52"/>
      <c r="X4" s="52"/>
      <c r="Y4" s="52"/>
      <c r="Z4" s="48"/>
      <c r="AA4" s="52"/>
      <c r="AB4" s="52"/>
      <c r="AC4" s="52"/>
      <c r="AD4" s="52"/>
      <c r="AE4" s="52"/>
      <c r="AF4" s="52"/>
      <c r="AG4" s="52"/>
      <c r="AH4" s="52"/>
      <c r="AI4" s="52"/>
      <c r="AJ4" s="52"/>
      <c r="AK4" s="48"/>
      <c r="AL4" s="52"/>
      <c r="AM4" s="52"/>
      <c r="AN4" s="52"/>
      <c r="AO4" s="52"/>
      <c r="AP4" s="52"/>
      <c r="AQ4" s="52"/>
      <c r="AR4" s="48"/>
      <c r="AS4" s="52">
        <v>9</v>
      </c>
      <c r="AT4" s="52">
        <v>22</v>
      </c>
      <c r="AU4" s="52">
        <v>43</v>
      </c>
      <c r="AV4" s="52">
        <v>219</v>
      </c>
      <c r="AW4" s="52">
        <v>2790</v>
      </c>
      <c r="AX4" s="52">
        <v>97</v>
      </c>
      <c r="AY4" s="52">
        <v>21</v>
      </c>
      <c r="AZ4" s="52">
        <v>179</v>
      </c>
      <c r="BA4" s="52">
        <v>109</v>
      </c>
      <c r="BB4" s="52">
        <v>62</v>
      </c>
      <c r="BC4" s="52">
        <v>1587</v>
      </c>
      <c r="BD4" s="52">
        <v>77</v>
      </c>
      <c r="BE4" s="52">
        <v>4</v>
      </c>
      <c r="BF4" s="52">
        <v>12</v>
      </c>
      <c r="BG4" s="48"/>
      <c r="BH4" s="52"/>
      <c r="BI4" s="52"/>
      <c r="BJ4" s="52"/>
      <c r="BK4" s="52"/>
      <c r="BL4" s="48"/>
      <c r="BM4" s="52"/>
      <c r="BN4" s="52"/>
      <c r="BO4" s="52"/>
      <c r="BP4" s="52"/>
      <c r="BQ4" s="52"/>
      <c r="BR4" s="48"/>
      <c r="BS4" s="52"/>
      <c r="BT4" s="52"/>
      <c r="BU4" s="52"/>
      <c r="BV4" s="52"/>
    </row>
    <row r="5" spans="1:74" x14ac:dyDescent="0.25">
      <c r="A5" s="53"/>
      <c r="B5" s="53"/>
      <c r="C5" s="54" t="s">
        <v>203</v>
      </c>
      <c r="D5" s="55">
        <v>4735</v>
      </c>
      <c r="E5" s="55">
        <v>4504</v>
      </c>
      <c r="F5" s="55"/>
      <c r="G5" s="55"/>
      <c r="H5" s="55"/>
      <c r="I5" s="55"/>
      <c r="J5" s="55"/>
      <c r="K5" s="48"/>
      <c r="L5" s="55">
        <v>249</v>
      </c>
      <c r="M5" s="55">
        <v>1965</v>
      </c>
      <c r="N5" s="55">
        <v>1426</v>
      </c>
      <c r="O5" s="55">
        <v>733</v>
      </c>
      <c r="P5" s="55">
        <v>256</v>
      </c>
      <c r="Q5" s="48"/>
      <c r="R5" s="55">
        <v>2382</v>
      </c>
      <c r="S5" s="55">
        <v>2218</v>
      </c>
      <c r="T5" s="48"/>
      <c r="U5" s="55">
        <v>14</v>
      </c>
      <c r="V5" s="55">
        <v>413</v>
      </c>
      <c r="W5" s="55">
        <v>2318</v>
      </c>
      <c r="X5" s="55">
        <v>1467</v>
      </c>
      <c r="Y5" s="55">
        <v>425</v>
      </c>
      <c r="Z5" s="48"/>
      <c r="AA5" s="55">
        <v>65</v>
      </c>
      <c r="AB5" s="55">
        <v>121</v>
      </c>
      <c r="AC5" s="55">
        <v>895</v>
      </c>
      <c r="AD5" s="55">
        <v>768</v>
      </c>
      <c r="AE5" s="55">
        <v>265</v>
      </c>
      <c r="AF5" s="55">
        <v>519</v>
      </c>
      <c r="AG5" s="55">
        <v>572</v>
      </c>
      <c r="AH5" s="55">
        <v>937</v>
      </c>
      <c r="AI5" s="55">
        <v>444</v>
      </c>
      <c r="AJ5" s="55" t="s">
        <v>163</v>
      </c>
      <c r="AK5" s="48"/>
      <c r="AL5" s="55">
        <v>305</v>
      </c>
      <c r="AM5" s="55">
        <v>1135</v>
      </c>
      <c r="AN5" s="55">
        <v>1202</v>
      </c>
      <c r="AO5" s="55">
        <v>481</v>
      </c>
      <c r="AP5" s="55">
        <v>715</v>
      </c>
      <c r="AQ5" s="55">
        <v>773</v>
      </c>
      <c r="AR5" s="48"/>
      <c r="AS5" s="55">
        <v>22</v>
      </c>
      <c r="AT5" s="55">
        <v>10</v>
      </c>
      <c r="AU5" s="55">
        <v>47</v>
      </c>
      <c r="AV5" s="55">
        <v>187</v>
      </c>
      <c r="AW5" s="55">
        <v>2535</v>
      </c>
      <c r="AX5" s="55">
        <v>89</v>
      </c>
      <c r="AY5" s="55" t="s">
        <v>163</v>
      </c>
      <c r="AZ5" s="55">
        <v>159</v>
      </c>
      <c r="BA5" s="55">
        <v>99</v>
      </c>
      <c r="BB5" s="55">
        <v>55</v>
      </c>
      <c r="BC5" s="55">
        <v>1432</v>
      </c>
      <c r="BD5" s="55">
        <v>77</v>
      </c>
      <c r="BE5" s="55">
        <v>5</v>
      </c>
      <c r="BF5" s="55">
        <v>11</v>
      </c>
      <c r="BG5" s="48"/>
      <c r="BH5" s="55">
        <v>2773</v>
      </c>
      <c r="BI5" s="55">
        <v>1087</v>
      </c>
      <c r="BJ5" s="55">
        <v>595</v>
      </c>
      <c r="BK5" s="55">
        <v>110</v>
      </c>
      <c r="BL5" s="48"/>
      <c r="BM5" s="55">
        <v>764</v>
      </c>
      <c r="BN5" s="55">
        <v>1235</v>
      </c>
      <c r="BO5" s="55">
        <v>132</v>
      </c>
      <c r="BP5" s="55">
        <v>2149</v>
      </c>
      <c r="BQ5" s="55">
        <v>297</v>
      </c>
      <c r="BR5" s="48"/>
      <c r="BS5" s="55" t="s">
        <v>163</v>
      </c>
      <c r="BT5" s="55" t="s">
        <v>163</v>
      </c>
      <c r="BU5" s="55" t="s">
        <v>163</v>
      </c>
      <c r="BV5" s="55" t="s">
        <v>163</v>
      </c>
    </row>
    <row r="6" spans="1:74" x14ac:dyDescent="0.25">
      <c r="A6" s="56"/>
      <c r="B6" s="40"/>
      <c r="C6" s="40"/>
      <c r="D6" s="40"/>
      <c r="E6" s="40"/>
      <c r="F6" s="40"/>
      <c r="G6" s="40"/>
      <c r="H6" s="40"/>
      <c r="I6" s="40"/>
      <c r="J6" s="40"/>
      <c r="K6" s="40"/>
      <c r="L6" s="40"/>
      <c r="M6" s="40"/>
      <c r="N6" s="40"/>
      <c r="O6" s="40"/>
      <c r="P6" s="40"/>
      <c r="Q6" s="40"/>
      <c r="R6" s="40"/>
      <c r="S6" s="40"/>
      <c r="T6" s="40"/>
      <c r="U6" s="40"/>
      <c r="V6" s="40"/>
      <c r="W6" s="40"/>
      <c r="X6" s="40"/>
      <c r="Y6" s="40"/>
      <c r="Z6" s="40"/>
      <c r="AA6" s="40"/>
      <c r="AB6" s="40"/>
      <c r="AC6" s="40"/>
      <c r="AD6" s="40"/>
      <c r="AE6" s="40"/>
      <c r="AF6" s="40"/>
      <c r="AG6" s="40"/>
      <c r="AH6" s="40"/>
      <c r="AI6" s="40"/>
      <c r="AJ6" s="40"/>
      <c r="AK6" s="40"/>
      <c r="AL6" s="40"/>
      <c r="AM6" s="40"/>
      <c r="AN6" s="40"/>
      <c r="AO6" s="40"/>
      <c r="AP6" s="40"/>
      <c r="AQ6" s="40"/>
      <c r="AR6" s="40"/>
      <c r="AS6" s="40"/>
      <c r="AT6" s="40"/>
      <c r="AU6" s="40"/>
      <c r="AV6" s="40"/>
      <c r="AW6" s="40"/>
      <c r="AX6" s="40"/>
      <c r="AY6" s="40"/>
      <c r="AZ6" s="40"/>
      <c r="BA6" s="40"/>
      <c r="BB6" s="40"/>
      <c r="BC6" s="40"/>
      <c r="BD6" s="40"/>
      <c r="BE6" s="40"/>
      <c r="BF6" s="40"/>
      <c r="BG6" s="40"/>
      <c r="BH6" s="40"/>
      <c r="BI6" s="40"/>
      <c r="BJ6" s="40"/>
      <c r="BK6" s="40"/>
      <c r="BL6" s="40"/>
      <c r="BM6" s="40"/>
      <c r="BN6" s="40"/>
      <c r="BO6" s="40"/>
      <c r="BP6" s="40"/>
      <c r="BQ6" s="40"/>
      <c r="BR6" s="40"/>
      <c r="BS6" s="40"/>
      <c r="BT6" s="40"/>
      <c r="BU6" s="40"/>
      <c r="BV6" s="40"/>
    </row>
    <row r="7" spans="1:74" x14ac:dyDescent="0.25">
      <c r="A7" s="170" t="s">
        <v>164</v>
      </c>
      <c r="B7" s="171"/>
      <c r="C7" s="172"/>
      <c r="D7" s="57">
        <v>85.93</v>
      </c>
      <c r="E7" s="57">
        <v>82.67</v>
      </c>
      <c r="F7" s="57">
        <v>89.46</v>
      </c>
      <c r="G7" s="57">
        <v>79.150000000000006</v>
      </c>
      <c r="H7" s="58">
        <v>3.2600000000000051</v>
      </c>
      <c r="I7" s="58">
        <v>-3.5299999999999869</v>
      </c>
      <c r="J7" s="58">
        <v>6.7800000000000011</v>
      </c>
      <c r="K7" s="48"/>
      <c r="L7" s="57">
        <v>90.45</v>
      </c>
      <c r="M7" s="57">
        <v>86.08</v>
      </c>
      <c r="N7" s="57">
        <v>84.35</v>
      </c>
      <c r="O7" s="57">
        <v>87.74</v>
      </c>
      <c r="P7" s="57">
        <v>90.43</v>
      </c>
      <c r="Q7" s="48"/>
      <c r="R7" s="57">
        <v>86.53</v>
      </c>
      <c r="S7" s="57">
        <v>86.24</v>
      </c>
      <c r="T7" s="48"/>
      <c r="U7" s="57">
        <v>76.19</v>
      </c>
      <c r="V7" s="57">
        <v>87.14</v>
      </c>
      <c r="W7" s="57">
        <v>86.86</v>
      </c>
      <c r="X7" s="57">
        <v>85.18</v>
      </c>
      <c r="Y7" s="57">
        <v>87.05</v>
      </c>
      <c r="Z7" s="48"/>
      <c r="AA7" s="57">
        <v>93.53</v>
      </c>
      <c r="AB7" s="57">
        <v>91.83</v>
      </c>
      <c r="AC7" s="57">
        <v>88.97</v>
      </c>
      <c r="AD7" s="57">
        <v>83.86</v>
      </c>
      <c r="AE7" s="57">
        <v>84.1</v>
      </c>
      <c r="AF7" s="57">
        <v>78.73</v>
      </c>
      <c r="AG7" s="57">
        <v>86.35</v>
      </c>
      <c r="AH7" s="57">
        <v>87.52</v>
      </c>
      <c r="AI7" s="57">
        <v>90.4</v>
      </c>
      <c r="AJ7" s="57">
        <v>79.88</v>
      </c>
      <c r="AK7" s="48"/>
      <c r="AL7" s="57">
        <v>91.75</v>
      </c>
      <c r="AM7" s="57">
        <v>87.14</v>
      </c>
      <c r="AN7" s="57">
        <v>84.41</v>
      </c>
      <c r="AO7" s="57">
        <v>79.94</v>
      </c>
      <c r="AP7" s="57">
        <v>87.42</v>
      </c>
      <c r="AQ7" s="57">
        <v>88.24</v>
      </c>
      <c r="AR7" s="48"/>
      <c r="AS7" s="57">
        <v>70.28</v>
      </c>
      <c r="AT7" s="57">
        <v>93.52</v>
      </c>
      <c r="AU7" s="57">
        <v>81.7</v>
      </c>
      <c r="AV7" s="57">
        <v>85.8</v>
      </c>
      <c r="AW7" s="57">
        <v>86.78</v>
      </c>
      <c r="AX7" s="57">
        <v>83.81</v>
      </c>
      <c r="AY7" s="57">
        <v>96.24</v>
      </c>
      <c r="AZ7" s="57">
        <v>90.49</v>
      </c>
      <c r="BA7" s="57">
        <v>78.42</v>
      </c>
      <c r="BB7" s="57">
        <v>89.17</v>
      </c>
      <c r="BC7" s="57">
        <v>84.63</v>
      </c>
      <c r="BD7" s="57">
        <v>81.78</v>
      </c>
      <c r="BE7" s="57" t="s">
        <v>165</v>
      </c>
      <c r="BF7" s="57">
        <v>97.14</v>
      </c>
      <c r="BG7" s="48"/>
      <c r="BH7" s="57">
        <v>92.06</v>
      </c>
      <c r="BI7" s="57">
        <v>82.99</v>
      </c>
      <c r="BJ7" s="57">
        <v>73.010000000000005</v>
      </c>
      <c r="BK7" s="57">
        <v>58.22</v>
      </c>
      <c r="BL7" s="48"/>
      <c r="BM7" s="57">
        <v>88.46</v>
      </c>
      <c r="BN7" s="57">
        <v>81.81</v>
      </c>
      <c r="BO7" s="57">
        <v>69.47</v>
      </c>
      <c r="BP7" s="57">
        <v>90.75</v>
      </c>
      <c r="BQ7" s="57">
        <v>71.900000000000006</v>
      </c>
      <c r="BR7" s="48"/>
      <c r="BS7" s="57">
        <v>93.66</v>
      </c>
      <c r="BT7" s="57">
        <v>88.03</v>
      </c>
      <c r="BU7" s="57">
        <v>82.62</v>
      </c>
      <c r="BV7" s="57">
        <v>65.010000000000005</v>
      </c>
    </row>
    <row r="8" spans="1:74" x14ac:dyDescent="0.25">
      <c r="A8" s="173" t="s">
        <v>166</v>
      </c>
      <c r="B8" s="174"/>
      <c r="C8" s="175"/>
      <c r="D8" s="57">
        <v>81.56</v>
      </c>
      <c r="E8" s="57">
        <v>77.59</v>
      </c>
      <c r="F8" s="57">
        <v>88.6</v>
      </c>
      <c r="G8" s="57">
        <v>77.23</v>
      </c>
      <c r="H8" s="58">
        <v>3.9699999999999989</v>
      </c>
      <c r="I8" s="58">
        <v>-7.039999999999992</v>
      </c>
      <c r="J8" s="58">
        <v>4.3299999999999983</v>
      </c>
      <c r="K8" s="48"/>
      <c r="L8" s="57">
        <v>84.9</v>
      </c>
      <c r="M8" s="57">
        <v>80.59</v>
      </c>
      <c r="N8" s="57">
        <v>81</v>
      </c>
      <c r="O8" s="57">
        <v>84.36</v>
      </c>
      <c r="P8" s="57">
        <v>87.34</v>
      </c>
      <c r="Q8" s="48"/>
      <c r="R8" s="57">
        <v>82.52</v>
      </c>
      <c r="S8" s="57">
        <v>81.34</v>
      </c>
      <c r="T8" s="48"/>
      <c r="U8" s="57">
        <v>78.209999999999994</v>
      </c>
      <c r="V8" s="57">
        <v>80.63</v>
      </c>
      <c r="W8" s="57">
        <v>81.92</v>
      </c>
      <c r="X8" s="57">
        <v>81.260000000000005</v>
      </c>
      <c r="Y8" s="57">
        <v>85.26</v>
      </c>
      <c r="Z8" s="48"/>
      <c r="AA8" s="57">
        <v>93.66</v>
      </c>
      <c r="AB8" s="57">
        <v>89.43</v>
      </c>
      <c r="AC8" s="57">
        <v>85.92</v>
      </c>
      <c r="AD8" s="57">
        <v>81.99</v>
      </c>
      <c r="AE8" s="57">
        <v>79.41</v>
      </c>
      <c r="AF8" s="57">
        <v>74.709999999999994</v>
      </c>
      <c r="AG8" s="57">
        <v>79.209999999999994</v>
      </c>
      <c r="AH8" s="57">
        <v>81.94</v>
      </c>
      <c r="AI8" s="57">
        <v>82.09</v>
      </c>
      <c r="AJ8" s="57">
        <v>80.540000000000006</v>
      </c>
      <c r="AK8" s="48"/>
      <c r="AL8" s="57">
        <v>87.01</v>
      </c>
      <c r="AM8" s="57">
        <v>82.15</v>
      </c>
      <c r="AN8" s="57">
        <v>78.97</v>
      </c>
      <c r="AO8" s="57">
        <v>76.930000000000007</v>
      </c>
      <c r="AP8" s="57">
        <v>83.93</v>
      </c>
      <c r="AQ8" s="57">
        <v>84.79</v>
      </c>
      <c r="AR8" s="48"/>
      <c r="AS8" s="57">
        <v>62.23</v>
      </c>
      <c r="AT8" s="57">
        <v>94.29</v>
      </c>
      <c r="AU8" s="57">
        <v>80.44</v>
      </c>
      <c r="AV8" s="57">
        <v>83.68</v>
      </c>
      <c r="AW8" s="57">
        <v>81.459999999999994</v>
      </c>
      <c r="AX8" s="57">
        <v>84.28</v>
      </c>
      <c r="AY8" s="57">
        <v>91.48</v>
      </c>
      <c r="AZ8" s="57">
        <v>90.16</v>
      </c>
      <c r="BA8" s="57">
        <v>79.81</v>
      </c>
      <c r="BB8" s="57">
        <v>87.3</v>
      </c>
      <c r="BC8" s="57">
        <v>79.87</v>
      </c>
      <c r="BD8" s="57">
        <v>83.85</v>
      </c>
      <c r="BE8" s="57" t="s">
        <v>165</v>
      </c>
      <c r="BF8" s="57">
        <v>95.38</v>
      </c>
      <c r="BG8" s="48"/>
      <c r="BH8" s="57">
        <v>87.65</v>
      </c>
      <c r="BI8" s="57">
        <v>78.34</v>
      </c>
      <c r="BJ8" s="57">
        <v>69.09</v>
      </c>
      <c r="BK8" s="57">
        <v>54.71</v>
      </c>
      <c r="BL8" s="48"/>
      <c r="BM8" s="57">
        <v>84.45</v>
      </c>
      <c r="BN8" s="57">
        <v>75.67</v>
      </c>
      <c r="BO8" s="57">
        <v>62.34</v>
      </c>
      <c r="BP8" s="57">
        <v>87.24</v>
      </c>
      <c r="BQ8" s="57">
        <v>66.099999999999994</v>
      </c>
      <c r="BR8" s="48"/>
      <c r="BS8" s="57">
        <v>89.83</v>
      </c>
      <c r="BT8" s="57">
        <v>83.54</v>
      </c>
      <c r="BU8" s="57">
        <v>77.73</v>
      </c>
      <c r="BV8" s="57">
        <v>61.02</v>
      </c>
    </row>
    <row r="9" spans="1:74" x14ac:dyDescent="0.25">
      <c r="A9" s="179" t="s">
        <v>167</v>
      </c>
      <c r="B9" s="180"/>
      <c r="C9" s="181"/>
      <c r="D9" s="57">
        <v>77.78</v>
      </c>
      <c r="E9" s="57">
        <v>73.56</v>
      </c>
      <c r="F9" s="57">
        <v>84.91</v>
      </c>
      <c r="G9" s="57">
        <v>75.44</v>
      </c>
      <c r="H9" s="58">
        <v>4.2199999999999989</v>
      </c>
      <c r="I9" s="58">
        <v>-7.1299999999999955</v>
      </c>
      <c r="J9" s="58">
        <v>2.3400000000000034</v>
      </c>
      <c r="K9" s="48"/>
      <c r="L9" s="57">
        <v>85.2</v>
      </c>
      <c r="M9" s="57">
        <v>77.400000000000006</v>
      </c>
      <c r="N9" s="57">
        <v>75.959999999999994</v>
      </c>
      <c r="O9" s="57">
        <v>79.81</v>
      </c>
      <c r="P9" s="57">
        <v>83.12</v>
      </c>
      <c r="Q9" s="48"/>
      <c r="R9" s="57">
        <v>78.27</v>
      </c>
      <c r="S9" s="57">
        <v>78.02</v>
      </c>
      <c r="T9" s="48"/>
      <c r="U9" s="57">
        <v>80.489999999999995</v>
      </c>
      <c r="V9" s="57">
        <v>78.47</v>
      </c>
      <c r="W9" s="57">
        <v>78.739999999999995</v>
      </c>
      <c r="X9" s="57">
        <v>76.790000000000006</v>
      </c>
      <c r="Y9" s="57">
        <v>79.03</v>
      </c>
      <c r="Z9" s="48"/>
      <c r="AA9" s="57">
        <v>87.16</v>
      </c>
      <c r="AB9" s="57">
        <v>83.33</v>
      </c>
      <c r="AC9" s="57">
        <v>81.790000000000006</v>
      </c>
      <c r="AD9" s="57">
        <v>75.37</v>
      </c>
      <c r="AE9" s="57">
        <v>74.319999999999993</v>
      </c>
      <c r="AF9" s="57">
        <v>69.97</v>
      </c>
      <c r="AG9" s="57">
        <v>77.64</v>
      </c>
      <c r="AH9" s="57">
        <v>79.180000000000007</v>
      </c>
      <c r="AI9" s="57">
        <v>83.27</v>
      </c>
      <c r="AJ9" s="57">
        <v>72.260000000000005</v>
      </c>
      <c r="AK9" s="48"/>
      <c r="AL9" s="57">
        <v>87.17</v>
      </c>
      <c r="AM9" s="57">
        <v>79.760000000000005</v>
      </c>
      <c r="AN9" s="57">
        <v>74.66</v>
      </c>
      <c r="AO9" s="57">
        <v>72.42</v>
      </c>
      <c r="AP9" s="57">
        <v>77.63</v>
      </c>
      <c r="AQ9" s="57">
        <v>80.38</v>
      </c>
      <c r="AR9" s="48"/>
      <c r="AS9" s="57">
        <v>67.959999999999994</v>
      </c>
      <c r="AT9" s="57">
        <v>91.07</v>
      </c>
      <c r="AU9" s="57">
        <v>74.040000000000006</v>
      </c>
      <c r="AV9" s="57">
        <v>74.45</v>
      </c>
      <c r="AW9" s="57">
        <v>78.72</v>
      </c>
      <c r="AX9" s="57">
        <v>76.58</v>
      </c>
      <c r="AY9" s="57">
        <v>81.349999999999994</v>
      </c>
      <c r="AZ9" s="57">
        <v>80.63</v>
      </c>
      <c r="BA9" s="57">
        <v>70.56</v>
      </c>
      <c r="BB9" s="57">
        <v>81.760000000000005</v>
      </c>
      <c r="BC9" s="57">
        <v>76.849999999999994</v>
      </c>
      <c r="BD9" s="57">
        <v>73.540000000000006</v>
      </c>
      <c r="BE9" s="57" t="s">
        <v>165</v>
      </c>
      <c r="BF9" s="57">
        <v>85</v>
      </c>
      <c r="BG9" s="48"/>
      <c r="BH9" s="57">
        <v>83.2</v>
      </c>
      <c r="BI9" s="57">
        <v>74.31</v>
      </c>
      <c r="BJ9" s="57">
        <v>66.7</v>
      </c>
      <c r="BK9" s="57">
        <v>56.94</v>
      </c>
      <c r="BL9" s="48"/>
      <c r="BM9" s="57">
        <v>79.25</v>
      </c>
      <c r="BN9" s="57">
        <v>73.47</v>
      </c>
      <c r="BO9" s="57">
        <v>59.43</v>
      </c>
      <c r="BP9" s="57">
        <v>82.97</v>
      </c>
      <c r="BQ9" s="57">
        <v>62.41</v>
      </c>
      <c r="BR9" s="48"/>
      <c r="BS9" s="57">
        <v>85.29</v>
      </c>
      <c r="BT9" s="57">
        <v>79.36</v>
      </c>
      <c r="BU9" s="57">
        <v>73.209999999999994</v>
      </c>
      <c r="BV9" s="57">
        <v>61.49</v>
      </c>
    </row>
    <row r="10" spans="1:74" x14ac:dyDescent="0.25">
      <c r="A10" s="161" t="s">
        <v>168</v>
      </c>
      <c r="B10" s="162"/>
      <c r="C10" s="163"/>
      <c r="D10" s="57">
        <v>83.3</v>
      </c>
      <c r="E10" s="57">
        <v>78.540000000000006</v>
      </c>
      <c r="F10" s="57">
        <v>90.36</v>
      </c>
      <c r="G10" s="57">
        <v>80.28</v>
      </c>
      <c r="H10" s="58">
        <v>4.7599999999999909</v>
      </c>
      <c r="I10" s="58">
        <v>-7.0600000000000023</v>
      </c>
      <c r="J10" s="58">
        <v>3.019999999999996</v>
      </c>
      <c r="K10" s="48"/>
      <c r="L10" s="57">
        <v>83.54</v>
      </c>
      <c r="M10" s="57">
        <v>81.03</v>
      </c>
      <c r="N10" s="57">
        <v>83.26</v>
      </c>
      <c r="O10" s="57">
        <v>88.56</v>
      </c>
      <c r="P10" s="57">
        <v>91.07</v>
      </c>
      <c r="Q10" s="48"/>
      <c r="R10" s="57">
        <v>83.68</v>
      </c>
      <c r="S10" s="57">
        <v>83.52</v>
      </c>
      <c r="T10" s="48"/>
      <c r="U10" s="57">
        <v>84.38</v>
      </c>
      <c r="V10" s="57">
        <v>84.66</v>
      </c>
      <c r="W10" s="57">
        <v>83.78</v>
      </c>
      <c r="X10" s="57">
        <v>82.02</v>
      </c>
      <c r="Y10" s="57">
        <v>86.82</v>
      </c>
      <c r="Z10" s="48"/>
      <c r="AA10" s="57">
        <v>94.93</v>
      </c>
      <c r="AB10" s="57">
        <v>92.27</v>
      </c>
      <c r="AC10" s="57">
        <v>89.09</v>
      </c>
      <c r="AD10" s="57">
        <v>82.97</v>
      </c>
      <c r="AE10" s="57">
        <v>81.58</v>
      </c>
      <c r="AF10" s="57">
        <v>76.73</v>
      </c>
      <c r="AG10" s="57">
        <v>80.61</v>
      </c>
      <c r="AH10" s="57">
        <v>83.49</v>
      </c>
      <c r="AI10" s="57">
        <v>80.66</v>
      </c>
      <c r="AJ10" s="57">
        <v>76.23</v>
      </c>
      <c r="AK10" s="48"/>
      <c r="AL10" s="57">
        <v>86.67</v>
      </c>
      <c r="AM10" s="57">
        <v>82.73</v>
      </c>
      <c r="AN10" s="57">
        <v>79.88</v>
      </c>
      <c r="AO10" s="57">
        <v>80.069999999999993</v>
      </c>
      <c r="AP10" s="57">
        <v>86.61</v>
      </c>
      <c r="AQ10" s="57">
        <v>88.62</v>
      </c>
      <c r="AR10" s="48"/>
      <c r="AS10" s="57">
        <v>72.989999999999995</v>
      </c>
      <c r="AT10" s="57">
        <v>99.04</v>
      </c>
      <c r="AU10" s="57">
        <v>80</v>
      </c>
      <c r="AV10" s="57">
        <v>84.75</v>
      </c>
      <c r="AW10" s="57">
        <v>83.95</v>
      </c>
      <c r="AX10" s="57">
        <v>89.61</v>
      </c>
      <c r="AY10" s="57">
        <v>93.45</v>
      </c>
      <c r="AZ10" s="57">
        <v>88.73</v>
      </c>
      <c r="BA10" s="57">
        <v>76.319999999999993</v>
      </c>
      <c r="BB10" s="57">
        <v>90.11</v>
      </c>
      <c r="BC10" s="57">
        <v>80.97</v>
      </c>
      <c r="BD10" s="57">
        <v>81.84</v>
      </c>
      <c r="BE10" s="57" t="s">
        <v>165</v>
      </c>
      <c r="BF10" s="57">
        <v>96.25</v>
      </c>
      <c r="BG10" s="48"/>
      <c r="BH10" s="57">
        <v>87.6</v>
      </c>
      <c r="BI10" s="57">
        <v>81.8</v>
      </c>
      <c r="BJ10" s="57">
        <v>71.7</v>
      </c>
      <c r="BK10" s="57">
        <v>66.19</v>
      </c>
      <c r="BL10" s="48"/>
      <c r="BM10" s="57">
        <v>84.85</v>
      </c>
      <c r="BN10" s="57">
        <v>75.930000000000007</v>
      </c>
      <c r="BO10" s="57">
        <v>67.13</v>
      </c>
      <c r="BP10" s="57">
        <v>89.76</v>
      </c>
      <c r="BQ10" s="57">
        <v>66.989999999999995</v>
      </c>
      <c r="BR10" s="48"/>
      <c r="BS10" s="57">
        <v>89.45</v>
      </c>
      <c r="BT10" s="57">
        <v>84.49</v>
      </c>
      <c r="BU10" s="57">
        <v>80.319999999999993</v>
      </c>
      <c r="BV10" s="57">
        <v>67.36</v>
      </c>
    </row>
    <row r="11" spans="1:74" x14ac:dyDescent="0.25">
      <c r="A11" s="164" t="s">
        <v>169</v>
      </c>
      <c r="B11" s="165"/>
      <c r="C11" s="166"/>
      <c r="D11" s="57">
        <v>86.19</v>
      </c>
      <c r="E11" s="57">
        <v>81.86</v>
      </c>
      <c r="F11" s="57">
        <v>92.63</v>
      </c>
      <c r="G11" s="57">
        <v>83.31</v>
      </c>
      <c r="H11" s="58">
        <v>4.3299999999999983</v>
      </c>
      <c r="I11" s="58">
        <v>-6.4399999999999977</v>
      </c>
      <c r="J11" s="58">
        <v>2.8799999999999955</v>
      </c>
      <c r="K11" s="48"/>
      <c r="L11" s="57">
        <v>90.58</v>
      </c>
      <c r="M11" s="57">
        <v>85.89</v>
      </c>
      <c r="N11" s="57">
        <v>85.08</v>
      </c>
      <c r="O11" s="57">
        <v>88.42</v>
      </c>
      <c r="P11" s="57">
        <v>90.24</v>
      </c>
      <c r="Q11" s="48"/>
      <c r="R11" s="57">
        <v>86.39</v>
      </c>
      <c r="S11" s="57">
        <v>86.83</v>
      </c>
      <c r="T11" s="48"/>
      <c r="U11" s="57">
        <v>78.33</v>
      </c>
      <c r="V11" s="57">
        <v>85.6</v>
      </c>
      <c r="W11" s="57">
        <v>86.75</v>
      </c>
      <c r="X11" s="57">
        <v>85.69</v>
      </c>
      <c r="Y11" s="57">
        <v>89.35</v>
      </c>
      <c r="Z11" s="48"/>
      <c r="AA11" s="57">
        <v>94.86</v>
      </c>
      <c r="AB11" s="57">
        <v>92.88</v>
      </c>
      <c r="AC11" s="57">
        <v>90.23</v>
      </c>
      <c r="AD11" s="57">
        <v>86.42</v>
      </c>
      <c r="AE11" s="57">
        <v>83.34</v>
      </c>
      <c r="AF11" s="57">
        <v>79.400000000000006</v>
      </c>
      <c r="AG11" s="57">
        <v>84.13</v>
      </c>
      <c r="AH11" s="57">
        <v>86.8</v>
      </c>
      <c r="AI11" s="57">
        <v>89.26</v>
      </c>
      <c r="AJ11" s="57">
        <v>80.28</v>
      </c>
      <c r="AK11" s="48"/>
      <c r="AL11" s="57">
        <v>91.77</v>
      </c>
      <c r="AM11" s="57">
        <v>87.67</v>
      </c>
      <c r="AN11" s="57">
        <v>83.75</v>
      </c>
      <c r="AO11" s="57">
        <v>81.36</v>
      </c>
      <c r="AP11" s="57">
        <v>88.32</v>
      </c>
      <c r="AQ11" s="57">
        <v>88.26</v>
      </c>
      <c r="AR11" s="48"/>
      <c r="AS11" s="57">
        <v>60.71</v>
      </c>
      <c r="AT11" s="57">
        <v>98.57</v>
      </c>
      <c r="AU11" s="57">
        <v>79.77</v>
      </c>
      <c r="AV11" s="57">
        <v>87.66</v>
      </c>
      <c r="AW11" s="57">
        <v>86.3</v>
      </c>
      <c r="AX11" s="57">
        <v>90.11</v>
      </c>
      <c r="AY11" s="57">
        <v>93.76</v>
      </c>
      <c r="AZ11" s="57">
        <v>92.57</v>
      </c>
      <c r="BA11" s="57">
        <v>79.37</v>
      </c>
      <c r="BB11" s="57">
        <v>91.39</v>
      </c>
      <c r="BC11" s="57">
        <v>85.14</v>
      </c>
      <c r="BD11" s="57">
        <v>86.85</v>
      </c>
      <c r="BE11" s="57" t="s">
        <v>165</v>
      </c>
      <c r="BF11" s="57">
        <v>91</v>
      </c>
      <c r="BG11" s="48"/>
      <c r="BH11" s="57">
        <v>90.98</v>
      </c>
      <c r="BI11" s="57">
        <v>84.03</v>
      </c>
      <c r="BJ11" s="57">
        <v>75.88</v>
      </c>
      <c r="BK11" s="57">
        <v>65.92</v>
      </c>
      <c r="BL11" s="48"/>
      <c r="BM11" s="57">
        <v>88.44</v>
      </c>
      <c r="BN11" s="57">
        <v>81.05</v>
      </c>
      <c r="BO11" s="57">
        <v>68.94</v>
      </c>
      <c r="BP11" s="57">
        <v>91.63</v>
      </c>
      <c r="BQ11" s="57">
        <v>70.739999999999995</v>
      </c>
      <c r="BR11" s="48"/>
      <c r="BS11" s="57">
        <v>93.27</v>
      </c>
      <c r="BT11" s="57">
        <v>88.22</v>
      </c>
      <c r="BU11" s="57">
        <v>84</v>
      </c>
      <c r="BV11" s="57">
        <v>70.72</v>
      </c>
    </row>
    <row r="12" spans="1:74" x14ac:dyDescent="0.25">
      <c r="A12" s="59" t="s">
        <v>204</v>
      </c>
      <c r="B12" s="41">
        <v>58</v>
      </c>
      <c r="C12" s="42" t="s">
        <v>170</v>
      </c>
      <c r="D12" s="60">
        <v>84.08</v>
      </c>
      <c r="E12" s="60">
        <v>79.319999999999993</v>
      </c>
      <c r="F12" s="60">
        <v>91.62</v>
      </c>
      <c r="G12" s="60">
        <v>82.28</v>
      </c>
      <c r="H12" s="61">
        <v>4.7600000000000051</v>
      </c>
      <c r="I12" s="61">
        <v>-7.5400000000000063</v>
      </c>
      <c r="J12" s="61">
        <v>1.7999999999999972</v>
      </c>
      <c r="K12" s="48"/>
      <c r="L12" s="60">
        <v>87.33</v>
      </c>
      <c r="M12" s="60">
        <v>82.4</v>
      </c>
      <c r="N12" s="60">
        <v>83.7</v>
      </c>
      <c r="O12" s="60">
        <v>87.89</v>
      </c>
      <c r="P12" s="60">
        <v>93.55</v>
      </c>
      <c r="Q12" s="48"/>
      <c r="R12" s="60">
        <v>85.32</v>
      </c>
      <c r="S12" s="60">
        <v>83.78</v>
      </c>
      <c r="T12" s="48"/>
      <c r="U12" s="60">
        <v>75</v>
      </c>
      <c r="V12" s="60">
        <v>86.11</v>
      </c>
      <c r="W12" s="60">
        <v>84.66</v>
      </c>
      <c r="X12" s="60">
        <v>82.38</v>
      </c>
      <c r="Y12" s="60">
        <v>89.58</v>
      </c>
      <c r="Z12" s="48"/>
      <c r="AA12" s="60">
        <v>98.65</v>
      </c>
      <c r="AB12" s="60">
        <v>94.24</v>
      </c>
      <c r="AC12" s="60">
        <v>89.27</v>
      </c>
      <c r="AD12" s="60">
        <v>85.34</v>
      </c>
      <c r="AE12" s="60">
        <v>81.61</v>
      </c>
      <c r="AF12" s="60">
        <v>80</v>
      </c>
      <c r="AG12" s="60">
        <v>81.459999999999994</v>
      </c>
      <c r="AH12" s="60">
        <v>82.78</v>
      </c>
      <c r="AI12" s="60">
        <v>82.83</v>
      </c>
      <c r="AJ12" s="60">
        <v>76.19</v>
      </c>
      <c r="AK12" s="48"/>
      <c r="AL12" s="60">
        <v>90.59</v>
      </c>
      <c r="AM12" s="60">
        <v>84.53</v>
      </c>
      <c r="AN12" s="60">
        <v>80.75</v>
      </c>
      <c r="AO12" s="60">
        <v>79.08</v>
      </c>
      <c r="AP12" s="60">
        <v>86.71</v>
      </c>
      <c r="AQ12" s="60">
        <v>89.28</v>
      </c>
      <c r="AR12" s="48"/>
      <c r="AS12" s="60">
        <v>75</v>
      </c>
      <c r="AT12" s="60">
        <v>100</v>
      </c>
      <c r="AU12" s="60">
        <v>75.61</v>
      </c>
      <c r="AV12" s="60">
        <v>86.36</v>
      </c>
      <c r="AW12" s="60">
        <v>83.41</v>
      </c>
      <c r="AX12" s="60">
        <v>91.58</v>
      </c>
      <c r="AY12" s="60">
        <v>100</v>
      </c>
      <c r="AZ12" s="60">
        <v>91.12</v>
      </c>
      <c r="BA12" s="60">
        <v>81.37</v>
      </c>
      <c r="BB12" s="60">
        <v>91.53</v>
      </c>
      <c r="BC12" s="60">
        <v>83.23</v>
      </c>
      <c r="BD12" s="60">
        <v>87.67</v>
      </c>
      <c r="BE12" s="60" t="s">
        <v>165</v>
      </c>
      <c r="BF12" s="60">
        <v>100</v>
      </c>
      <c r="BG12" s="48"/>
      <c r="BH12" s="60">
        <v>89.51</v>
      </c>
      <c r="BI12" s="60">
        <v>82.26</v>
      </c>
      <c r="BJ12" s="60">
        <v>70.599999999999994</v>
      </c>
      <c r="BK12" s="60">
        <v>68.099999999999994</v>
      </c>
      <c r="BL12" s="48"/>
      <c r="BM12" s="60">
        <v>87.3</v>
      </c>
      <c r="BN12" s="60">
        <v>77.290000000000006</v>
      </c>
      <c r="BO12" s="60">
        <v>65.349999999999994</v>
      </c>
      <c r="BP12" s="60">
        <v>91.62</v>
      </c>
      <c r="BQ12" s="60">
        <v>61.47</v>
      </c>
      <c r="BR12" s="48"/>
      <c r="BS12" s="60">
        <v>93.54</v>
      </c>
      <c r="BT12" s="60">
        <v>87.99</v>
      </c>
      <c r="BU12" s="60">
        <v>81.739999999999995</v>
      </c>
      <c r="BV12" s="60">
        <v>63.29</v>
      </c>
    </row>
    <row r="13" spans="1:74" x14ac:dyDescent="0.25">
      <c r="A13" s="188" t="s">
        <v>171</v>
      </c>
      <c r="B13" s="189"/>
      <c r="C13" s="190"/>
      <c r="D13" s="26">
        <v>82.91</v>
      </c>
      <c r="E13" s="26">
        <v>78.88</v>
      </c>
      <c r="F13" s="26">
        <v>89.03</v>
      </c>
      <c r="G13" s="26">
        <v>78.88</v>
      </c>
      <c r="H13" s="26">
        <v>4.0300000000000011</v>
      </c>
      <c r="I13" s="26">
        <v>-6.1200000000000045</v>
      </c>
      <c r="J13" s="26">
        <v>4.0300000000000011</v>
      </c>
      <c r="K13" s="48"/>
      <c r="L13" s="26">
        <v>87.13</v>
      </c>
      <c r="M13" s="26">
        <v>82.26</v>
      </c>
      <c r="N13" s="26">
        <v>81.83</v>
      </c>
      <c r="O13" s="26">
        <v>85.57</v>
      </c>
      <c r="P13" s="26">
        <v>88.33</v>
      </c>
      <c r="Q13" s="48"/>
      <c r="R13" s="26">
        <v>83.48</v>
      </c>
      <c r="S13" s="26">
        <v>83.12</v>
      </c>
      <c r="T13" s="48"/>
      <c r="U13" s="26">
        <v>79.010000000000005</v>
      </c>
      <c r="V13" s="26">
        <v>83.26</v>
      </c>
      <c r="W13" s="26">
        <v>83.59</v>
      </c>
      <c r="X13" s="26">
        <v>82.17</v>
      </c>
      <c r="Y13" s="26">
        <v>85.4</v>
      </c>
      <c r="Z13" s="48"/>
      <c r="AA13" s="26">
        <v>92.75</v>
      </c>
      <c r="AB13" s="26">
        <v>89.82</v>
      </c>
      <c r="AC13" s="26">
        <v>87.04</v>
      </c>
      <c r="AD13" s="26">
        <v>82.03</v>
      </c>
      <c r="AE13" s="26">
        <v>80.510000000000005</v>
      </c>
      <c r="AF13" s="26">
        <v>75.88</v>
      </c>
      <c r="AG13" s="26">
        <v>81.69</v>
      </c>
      <c r="AH13" s="26">
        <v>83.78</v>
      </c>
      <c r="AI13" s="26">
        <v>85.39</v>
      </c>
      <c r="AJ13" s="26">
        <v>77.95</v>
      </c>
      <c r="AK13" s="48"/>
      <c r="AL13" s="26">
        <v>89.02</v>
      </c>
      <c r="AM13" s="26">
        <v>83.93</v>
      </c>
      <c r="AN13" s="26">
        <v>80.37</v>
      </c>
      <c r="AO13" s="26">
        <v>77.959999999999994</v>
      </c>
      <c r="AP13" s="26">
        <v>84.65</v>
      </c>
      <c r="AQ13" s="26">
        <v>85.91</v>
      </c>
      <c r="AR13" s="48"/>
      <c r="AS13" s="26">
        <v>66.8</v>
      </c>
      <c r="AT13" s="26">
        <v>94.93</v>
      </c>
      <c r="AU13" s="26">
        <v>79.16</v>
      </c>
      <c r="AV13" s="26">
        <v>83.16</v>
      </c>
      <c r="AW13" s="26">
        <v>83.39</v>
      </c>
      <c r="AX13" s="26">
        <v>84.44</v>
      </c>
      <c r="AY13" s="26">
        <v>91.35</v>
      </c>
      <c r="AZ13" s="26">
        <v>88.51</v>
      </c>
      <c r="BA13" s="26">
        <v>77.03</v>
      </c>
      <c r="BB13" s="26">
        <v>87.77</v>
      </c>
      <c r="BC13" s="26">
        <v>81.510000000000005</v>
      </c>
      <c r="BD13" s="26">
        <v>81.52</v>
      </c>
      <c r="BE13" s="26" t="s">
        <v>165</v>
      </c>
      <c r="BF13" s="26">
        <v>93.1</v>
      </c>
      <c r="BG13" s="48"/>
      <c r="BH13" s="26">
        <v>88.39</v>
      </c>
      <c r="BI13" s="26">
        <v>80.150000000000006</v>
      </c>
      <c r="BJ13" s="26">
        <v>71.099999999999994</v>
      </c>
      <c r="BK13" s="26">
        <v>59.77</v>
      </c>
      <c r="BL13" s="48"/>
      <c r="BM13" s="26">
        <v>85.13</v>
      </c>
      <c r="BN13" s="26">
        <v>77.69</v>
      </c>
      <c r="BO13" s="26">
        <v>65.31</v>
      </c>
      <c r="BP13" s="26">
        <v>88.38</v>
      </c>
      <c r="BQ13" s="26">
        <v>67.58</v>
      </c>
      <c r="BR13" s="48"/>
      <c r="BS13" s="26">
        <v>90.42</v>
      </c>
      <c r="BT13" s="26">
        <v>84.77</v>
      </c>
      <c r="BU13" s="26">
        <v>79.48</v>
      </c>
      <c r="BV13" s="26">
        <v>64.67</v>
      </c>
    </row>
    <row r="14" spans="1:74" x14ac:dyDescent="0.25">
      <c r="A14" s="53"/>
      <c r="B14" s="53"/>
      <c r="C14" s="54" t="s">
        <v>205</v>
      </c>
      <c r="D14" s="62">
        <v>78.88</v>
      </c>
      <c r="E14" s="62">
        <v>73.930000000000007</v>
      </c>
      <c r="F14" s="62"/>
      <c r="G14" s="62"/>
      <c r="H14" s="62"/>
      <c r="I14" s="62"/>
      <c r="J14" s="62"/>
      <c r="K14" s="63"/>
      <c r="L14" s="62">
        <v>82.41</v>
      </c>
      <c r="M14" s="62">
        <v>77.44</v>
      </c>
      <c r="N14" s="62">
        <v>78.069999999999993</v>
      </c>
      <c r="O14" s="62">
        <v>82.57</v>
      </c>
      <c r="P14" s="62">
        <v>86.36</v>
      </c>
      <c r="Q14" s="63"/>
      <c r="R14" s="62">
        <v>79.62</v>
      </c>
      <c r="S14" s="62">
        <v>78.790000000000006</v>
      </c>
      <c r="T14" s="63"/>
      <c r="U14" s="62">
        <v>68.069999999999993</v>
      </c>
      <c r="V14" s="62">
        <v>79.69</v>
      </c>
      <c r="W14" s="62">
        <v>79.13</v>
      </c>
      <c r="X14" s="62">
        <v>78.17</v>
      </c>
      <c r="Y14" s="62">
        <v>82.9</v>
      </c>
      <c r="Z14" s="63"/>
      <c r="AA14" s="62">
        <v>91.91</v>
      </c>
      <c r="AB14" s="62">
        <v>88.05</v>
      </c>
      <c r="AC14" s="62">
        <v>86.33</v>
      </c>
      <c r="AD14" s="62">
        <v>77.510000000000005</v>
      </c>
      <c r="AE14" s="62">
        <v>73.2</v>
      </c>
      <c r="AF14" s="62">
        <v>71.02</v>
      </c>
      <c r="AG14" s="62">
        <v>74.760000000000005</v>
      </c>
      <c r="AH14" s="62">
        <v>80.2</v>
      </c>
      <c r="AI14" s="62">
        <v>80.39</v>
      </c>
      <c r="AJ14" s="62" t="s">
        <v>165</v>
      </c>
      <c r="AK14" s="63"/>
      <c r="AL14" s="62">
        <v>83.99</v>
      </c>
      <c r="AM14" s="62">
        <v>78.19</v>
      </c>
      <c r="AN14" s="62">
        <v>76.42</v>
      </c>
      <c r="AO14" s="62">
        <v>76.36</v>
      </c>
      <c r="AP14" s="62">
        <v>80.75</v>
      </c>
      <c r="AQ14" s="62">
        <v>84.02</v>
      </c>
      <c r="AR14" s="63"/>
      <c r="AS14" s="62">
        <v>71.709999999999994</v>
      </c>
      <c r="AT14" s="62">
        <v>94.66</v>
      </c>
      <c r="AU14" s="62">
        <v>78.58</v>
      </c>
      <c r="AV14" s="62">
        <v>74.38</v>
      </c>
      <c r="AW14" s="62">
        <v>80.41</v>
      </c>
      <c r="AX14" s="62">
        <v>84.16</v>
      </c>
      <c r="AY14" s="62" t="s">
        <v>165</v>
      </c>
      <c r="AZ14" s="62">
        <v>87.49</v>
      </c>
      <c r="BA14" s="62">
        <v>80.099999999999994</v>
      </c>
      <c r="BB14" s="62">
        <v>77.22</v>
      </c>
      <c r="BC14" s="62">
        <v>75.45</v>
      </c>
      <c r="BD14" s="62">
        <v>82.2</v>
      </c>
      <c r="BE14" s="62" t="s">
        <v>165</v>
      </c>
      <c r="BF14" s="62">
        <v>91.82</v>
      </c>
      <c r="BG14" s="63"/>
      <c r="BH14" s="62">
        <v>84.86</v>
      </c>
      <c r="BI14" s="62">
        <v>74.510000000000005</v>
      </c>
      <c r="BJ14" s="62">
        <v>66.599999999999994</v>
      </c>
      <c r="BK14" s="62">
        <v>55.18</v>
      </c>
      <c r="BL14" s="63"/>
      <c r="BM14" s="62">
        <v>80.739999999999995</v>
      </c>
      <c r="BN14" s="62">
        <v>74.11</v>
      </c>
      <c r="BO14" s="62">
        <v>60.51</v>
      </c>
      <c r="BP14" s="62">
        <v>85.59</v>
      </c>
      <c r="BQ14" s="62">
        <v>59.82</v>
      </c>
      <c r="BR14" s="63"/>
      <c r="BS14" s="62" t="s">
        <v>165</v>
      </c>
      <c r="BT14" s="62" t="s">
        <v>165</v>
      </c>
      <c r="BU14" s="62" t="s">
        <v>165</v>
      </c>
      <c r="BV14" s="62" t="s">
        <v>165</v>
      </c>
    </row>
    <row r="16" spans="1:74" x14ac:dyDescent="0.25">
      <c r="A16" s="37"/>
      <c r="B16" s="37"/>
      <c r="C16" s="38" t="s">
        <v>206</v>
      </c>
      <c r="D16" s="39"/>
      <c r="E16" s="39"/>
      <c r="F16" s="39"/>
      <c r="G16" s="39"/>
      <c r="H16" s="39"/>
      <c r="I16" s="39"/>
      <c r="J16" s="39"/>
      <c r="K16" s="48"/>
      <c r="L16" s="182">
        <f>+SUM(L3:P3)</f>
        <v>4698</v>
      </c>
      <c r="M16" s="183"/>
      <c r="N16" s="183"/>
      <c r="O16" s="183"/>
      <c r="P16" s="184"/>
      <c r="Q16" s="48"/>
      <c r="R16" s="182">
        <f>+SUM(R3:S3)</f>
        <v>4667</v>
      </c>
      <c r="S16" s="184"/>
      <c r="T16" s="48"/>
      <c r="U16" s="182">
        <f>+SUM(U3:Y3)</f>
        <v>4690</v>
      </c>
      <c r="V16" s="183"/>
      <c r="W16" s="183"/>
      <c r="X16" s="183"/>
      <c r="Y16" s="184"/>
      <c r="Z16" s="48"/>
      <c r="AA16" s="182">
        <f>+SUM(AA3:AJ3)</f>
        <v>4649</v>
      </c>
      <c r="AB16" s="183"/>
      <c r="AC16" s="183"/>
      <c r="AD16" s="183"/>
      <c r="AE16" s="183"/>
      <c r="AF16" s="183"/>
      <c r="AG16" s="183"/>
      <c r="AH16" s="183"/>
      <c r="AI16" s="183"/>
      <c r="AJ16" s="184"/>
      <c r="AK16" s="48"/>
      <c r="AL16" s="182">
        <f>+SUM(AL3:AQ3)</f>
        <v>4670</v>
      </c>
      <c r="AM16" s="183"/>
      <c r="AN16" s="183"/>
      <c r="AO16" s="183"/>
      <c r="AP16" s="183"/>
      <c r="AQ16" s="184"/>
      <c r="AR16" s="48"/>
      <c r="AS16" s="182">
        <f>+SUM(AS3:BF3)</f>
        <v>4886</v>
      </c>
      <c r="AT16" s="183"/>
      <c r="AU16" s="183"/>
      <c r="AV16" s="183"/>
      <c r="AW16" s="183"/>
      <c r="AX16" s="183"/>
      <c r="AY16" s="183"/>
      <c r="AZ16" s="183"/>
      <c r="BA16" s="183"/>
      <c r="BB16" s="183"/>
      <c r="BC16" s="183"/>
      <c r="BD16" s="183"/>
      <c r="BE16" s="183"/>
      <c r="BF16" s="184"/>
      <c r="BG16" s="48"/>
      <c r="BH16" s="182">
        <f>+SUM(BH3:BK3)</f>
        <v>4149</v>
      </c>
      <c r="BI16" s="183"/>
      <c r="BJ16" s="183"/>
      <c r="BK16" s="184"/>
      <c r="BL16" s="48"/>
      <c r="BM16" s="182">
        <f>+SUM(BM3:BQ3)</f>
        <v>3932</v>
      </c>
      <c r="BN16" s="183"/>
      <c r="BO16" s="183"/>
      <c r="BP16" s="183"/>
      <c r="BQ16" s="184"/>
      <c r="BR16" s="48"/>
      <c r="BS16" s="182">
        <f>+SUM(BS3:BV3)</f>
        <v>1839</v>
      </c>
      <c r="BT16" s="183"/>
      <c r="BU16" s="183"/>
      <c r="BV16" s="184"/>
    </row>
    <row r="17" spans="1:74" x14ac:dyDescent="0.25">
      <c r="A17" s="50"/>
      <c r="B17" s="50"/>
      <c r="C17" s="51" t="s">
        <v>207</v>
      </c>
      <c r="D17" s="70"/>
      <c r="E17" s="70"/>
      <c r="F17" s="70"/>
      <c r="G17" s="70"/>
      <c r="H17" s="70"/>
      <c r="I17" s="70"/>
      <c r="J17" s="70"/>
      <c r="K17" s="48"/>
      <c r="L17" s="67">
        <f>+L3/$L$16*100</f>
        <v>6.215410813111963</v>
      </c>
      <c r="M17" s="67">
        <f>+M3/$L$16*100</f>
        <v>42.486164325244786</v>
      </c>
      <c r="N17" s="67">
        <f>+N3/$L$16*100</f>
        <v>30.353341847594724</v>
      </c>
      <c r="O17" s="67">
        <f>+O3/$L$16*100</f>
        <v>15.666240953597274</v>
      </c>
      <c r="P17" s="67">
        <f>+P3/$L$16*100</f>
        <v>5.2788420604512565</v>
      </c>
      <c r="Q17" s="48"/>
      <c r="R17" s="67">
        <f>+R3/$L$16*100</f>
        <v>52.703277990634312</v>
      </c>
      <c r="S17" s="67">
        <f>+S3/$L$16*100</f>
        <v>46.636866751809279</v>
      </c>
      <c r="T17" s="48"/>
      <c r="U17" s="67">
        <f>+U3/$L$16*100</f>
        <v>0.2554278416347382</v>
      </c>
      <c r="V17" s="67">
        <f>+V3/$L$16*100</f>
        <v>7.6628352490421454</v>
      </c>
      <c r="W17" s="67">
        <f>+W3/$L$16*100</f>
        <v>48.44614729672201</v>
      </c>
      <c r="X17" s="67">
        <f>+X3/$L$16*100</f>
        <v>32.82247765006386</v>
      </c>
      <c r="Y17" s="67">
        <f>+Y3/$L$16*100</f>
        <v>10.642826734780758</v>
      </c>
      <c r="Z17" s="48"/>
      <c r="AA17" s="67">
        <f t="shared" ref="AA17:AJ17" si="0">+AA3/$L$16*100</f>
        <v>1.5751383567475523</v>
      </c>
      <c r="AB17" s="67">
        <f t="shared" si="0"/>
        <v>2.9587058322690507</v>
      </c>
      <c r="AC17" s="67">
        <f t="shared" si="0"/>
        <v>20.838654746700726</v>
      </c>
      <c r="AD17" s="67">
        <f t="shared" si="0"/>
        <v>16.900808854831844</v>
      </c>
      <c r="AE17" s="67">
        <f t="shared" si="0"/>
        <v>8.2162622392507441</v>
      </c>
      <c r="AF17" s="67">
        <f t="shared" si="0"/>
        <v>9.0676883780332069</v>
      </c>
      <c r="AG17" s="67">
        <f t="shared" si="0"/>
        <v>11.409110259684972</v>
      </c>
      <c r="AH17" s="67">
        <f t="shared" si="0"/>
        <v>18.667518092805448</v>
      </c>
      <c r="AI17" s="67">
        <f t="shared" si="0"/>
        <v>8.4291187739463602</v>
      </c>
      <c r="AJ17" s="67">
        <f t="shared" si="0"/>
        <v>0.89399744572158357</v>
      </c>
      <c r="AK17" s="48"/>
      <c r="AL17" s="67">
        <f t="shared" ref="AL17:AQ17" si="1">+AL3/$L$16*100</f>
        <v>9.0464027245636451</v>
      </c>
      <c r="AM17" s="67">
        <f t="shared" si="1"/>
        <v>23.946360153256705</v>
      </c>
      <c r="AN17" s="67">
        <f t="shared" si="1"/>
        <v>25.500212856534691</v>
      </c>
      <c r="AO17" s="67">
        <f t="shared" si="1"/>
        <v>8.7696892294593454</v>
      </c>
      <c r="AP17" s="67">
        <f t="shared" si="1"/>
        <v>16.836951894423159</v>
      </c>
      <c r="AQ17" s="67">
        <f t="shared" si="1"/>
        <v>15.304384844614729</v>
      </c>
      <c r="AR17" s="48"/>
      <c r="AS17" s="67">
        <f t="shared" ref="AS17:BF17" si="2">+AS3/$L$16*100</f>
        <v>0.17028522775649213</v>
      </c>
      <c r="AT17" s="67">
        <f t="shared" si="2"/>
        <v>0.29799914857386123</v>
      </c>
      <c r="AU17" s="67">
        <f t="shared" si="2"/>
        <v>0.87271179225202211</v>
      </c>
      <c r="AV17" s="67">
        <f t="shared" si="2"/>
        <v>4.235845040442741</v>
      </c>
      <c r="AW17" s="67">
        <f t="shared" si="2"/>
        <v>55.598126862494681</v>
      </c>
      <c r="AX17" s="67">
        <f t="shared" si="2"/>
        <v>2.0221370796083442</v>
      </c>
      <c r="AY17" s="67">
        <f t="shared" si="2"/>
        <v>0.44699872286079179</v>
      </c>
      <c r="AZ17" s="67">
        <f t="shared" si="2"/>
        <v>3.6185610898254574</v>
      </c>
      <c r="BA17" s="67">
        <f t="shared" si="2"/>
        <v>2.1711366538952745</v>
      </c>
      <c r="BB17" s="67">
        <f t="shared" si="2"/>
        <v>1.277139208173691</v>
      </c>
      <c r="BC17" s="67">
        <f t="shared" si="2"/>
        <v>31.460195828011923</v>
      </c>
      <c r="BD17" s="67">
        <f t="shared" si="2"/>
        <v>1.5538527032779907</v>
      </c>
      <c r="BE17" s="67">
        <f t="shared" si="2"/>
        <v>6.3856960408684549E-2</v>
      </c>
      <c r="BF17" s="67">
        <f t="shared" si="2"/>
        <v>0.21285653469561516</v>
      </c>
      <c r="BG17" s="48"/>
      <c r="BH17" s="67">
        <f>+BH3/$L$16*100</f>
        <v>52.022137079608342</v>
      </c>
      <c r="BI17" s="67">
        <f>+BI3/$L$16*100</f>
        <v>23.15879097488293</v>
      </c>
      <c r="BJ17" s="67">
        <f>+BJ3/$L$16*100</f>
        <v>10.664112388250318</v>
      </c>
      <c r="BK17" s="67">
        <f>+BK3/$L$16*100</f>
        <v>2.4691358024691357</v>
      </c>
      <c r="BL17" s="48"/>
      <c r="BM17" s="67">
        <f>+BM3/$L$16*100</f>
        <v>14.47424435930183</v>
      </c>
      <c r="BN17" s="67">
        <f>+BN3/$L$16*100</f>
        <v>20.008514261387823</v>
      </c>
      <c r="BO17" s="67">
        <f>+BO3/$L$16*100</f>
        <v>2.1498510004257132</v>
      </c>
      <c r="BP17" s="67">
        <f>+BP3/$L$16*100</f>
        <v>42.422307364836101</v>
      </c>
      <c r="BQ17" s="67">
        <f>+BQ3/$L$16*100</f>
        <v>4.6402724563644107</v>
      </c>
      <c r="BR17" s="48"/>
      <c r="BS17" s="67">
        <f>+BS3/$L$16*100</f>
        <v>16.794380587484035</v>
      </c>
      <c r="BT17" s="67">
        <f>+BT3/$L$16*100</f>
        <v>6.0238399318859086</v>
      </c>
      <c r="BU17" s="67">
        <f>+BU3/$L$16*100</f>
        <v>9.5785440613026829</v>
      </c>
      <c r="BV17" s="67">
        <f>+BV3/$L$16*100</f>
        <v>6.7475521498510007</v>
      </c>
    </row>
    <row r="18" spans="1:74" x14ac:dyDescent="0.25">
      <c r="A18" s="50"/>
      <c r="B18" s="50"/>
      <c r="C18" s="51" t="s">
        <v>218</v>
      </c>
      <c r="D18" s="52"/>
      <c r="E18" s="52"/>
      <c r="F18" s="52"/>
      <c r="G18" s="52"/>
      <c r="H18" s="52"/>
      <c r="I18" s="52"/>
      <c r="J18" s="52"/>
      <c r="K18" s="48"/>
      <c r="L18" s="52"/>
      <c r="M18" s="52"/>
      <c r="N18" s="52"/>
      <c r="O18" s="52"/>
      <c r="P18" s="52"/>
      <c r="Q18" s="48"/>
      <c r="R18" s="52"/>
      <c r="S18" s="52"/>
      <c r="T18" s="48"/>
      <c r="U18" s="52"/>
      <c r="V18" s="52"/>
      <c r="W18" s="52"/>
      <c r="X18" s="52"/>
      <c r="Y18" s="52"/>
      <c r="Z18" s="48"/>
      <c r="AA18" s="52"/>
      <c r="AB18" s="52"/>
      <c r="AC18" s="52"/>
      <c r="AD18" s="52"/>
      <c r="AE18" s="52"/>
      <c r="AF18" s="52"/>
      <c r="AG18" s="52"/>
      <c r="AH18" s="52"/>
      <c r="AI18" s="52"/>
      <c r="AJ18" s="52"/>
      <c r="AK18" s="48"/>
      <c r="AL18" s="52"/>
      <c r="AM18" s="52"/>
      <c r="AN18" s="52"/>
      <c r="AO18" s="52"/>
      <c r="AP18" s="52"/>
      <c r="AQ18" s="52"/>
      <c r="AR18" s="48"/>
      <c r="AS18" s="69">
        <f t="shared" ref="AS18:BF18" si="3">+AS3/AS4*100</f>
        <v>88.888888888888886</v>
      </c>
      <c r="AT18" s="69">
        <f t="shared" si="3"/>
        <v>63.636363636363633</v>
      </c>
      <c r="AU18" s="69">
        <f t="shared" si="3"/>
        <v>95.348837209302332</v>
      </c>
      <c r="AV18" s="69">
        <f t="shared" si="3"/>
        <v>90.867579908675793</v>
      </c>
      <c r="AW18" s="69">
        <f t="shared" si="3"/>
        <v>93.620071684587813</v>
      </c>
      <c r="AX18" s="69">
        <f t="shared" si="3"/>
        <v>97.9381443298969</v>
      </c>
      <c r="AY18" s="69">
        <f t="shared" si="3"/>
        <v>100</v>
      </c>
      <c r="AZ18" s="69">
        <f t="shared" si="3"/>
        <v>94.97206703910615</v>
      </c>
      <c r="BA18" s="69">
        <f t="shared" si="3"/>
        <v>93.577981651376149</v>
      </c>
      <c r="BB18" s="69">
        <f t="shared" si="3"/>
        <v>96.774193548387103</v>
      </c>
      <c r="BC18" s="69">
        <f t="shared" si="3"/>
        <v>93.131695022054188</v>
      </c>
      <c r="BD18" s="69">
        <f t="shared" si="3"/>
        <v>94.805194805194802</v>
      </c>
      <c r="BE18" s="69">
        <f t="shared" si="3"/>
        <v>75</v>
      </c>
      <c r="BF18" s="69">
        <f t="shared" si="3"/>
        <v>83.333333333333343</v>
      </c>
      <c r="BG18" s="48"/>
      <c r="BH18" s="52"/>
      <c r="BI18" s="52"/>
      <c r="BJ18" s="52"/>
      <c r="BK18" s="52"/>
      <c r="BL18" s="48"/>
      <c r="BM18" s="52"/>
      <c r="BN18" s="52"/>
      <c r="BO18" s="52"/>
      <c r="BP18" s="52"/>
      <c r="BQ18" s="52"/>
      <c r="BR18" s="48"/>
      <c r="BS18" s="52"/>
      <c r="BT18" s="52"/>
      <c r="BU18" s="52"/>
      <c r="BV18" s="52"/>
    </row>
    <row r="19" spans="1:74" x14ac:dyDescent="0.25">
      <c r="A19" s="53"/>
      <c r="B19" s="53"/>
      <c r="C19" s="54" t="s">
        <v>219</v>
      </c>
      <c r="D19" s="55"/>
      <c r="E19" s="55"/>
      <c r="F19" s="55"/>
      <c r="G19" s="55"/>
      <c r="H19" s="55"/>
      <c r="I19" s="55"/>
      <c r="J19" s="55"/>
      <c r="K19" s="48"/>
      <c r="L19" s="55"/>
      <c r="M19" s="55"/>
      <c r="N19" s="55"/>
      <c r="O19" s="55"/>
      <c r="P19" s="55"/>
      <c r="Q19" s="48"/>
      <c r="R19" s="55"/>
      <c r="S19" s="55"/>
      <c r="T19" s="48"/>
      <c r="U19" s="55"/>
      <c r="V19" s="55"/>
      <c r="W19" s="55"/>
      <c r="X19" s="55"/>
      <c r="Y19" s="55"/>
      <c r="Z19" s="48"/>
      <c r="AA19" s="55"/>
      <c r="AB19" s="55"/>
      <c r="AC19" s="55"/>
      <c r="AD19" s="55"/>
      <c r="AE19" s="55"/>
      <c r="AF19" s="55"/>
      <c r="AG19" s="55"/>
      <c r="AH19" s="55"/>
      <c r="AI19" s="55"/>
      <c r="AJ19" s="55"/>
      <c r="AK19" s="48"/>
      <c r="AL19" s="55"/>
      <c r="AM19" s="55"/>
      <c r="AN19" s="55"/>
      <c r="AO19" s="55"/>
      <c r="AP19" s="55"/>
      <c r="AQ19" s="55"/>
      <c r="AR19" s="48"/>
      <c r="AS19" s="55"/>
      <c r="AT19" s="55"/>
      <c r="AU19" s="55"/>
      <c r="AV19" s="55"/>
      <c r="AW19" s="55"/>
      <c r="AX19" s="55"/>
      <c r="AY19" s="55"/>
      <c r="AZ19" s="55"/>
      <c r="BA19" s="55"/>
      <c r="BB19" s="55"/>
      <c r="BC19" s="55"/>
      <c r="BD19" s="55"/>
      <c r="BE19" s="55"/>
      <c r="BF19" s="55"/>
      <c r="BG19" s="48"/>
      <c r="BH19" s="55"/>
      <c r="BI19" s="55"/>
      <c r="BJ19" s="55"/>
      <c r="BK19" s="55"/>
      <c r="BL19" s="48"/>
      <c r="BM19" s="185">
        <f>+SUM(BM5:BQ5)</f>
        <v>4577</v>
      </c>
      <c r="BN19" s="186"/>
      <c r="BO19" s="186"/>
      <c r="BP19" s="186"/>
      <c r="BQ19" s="187"/>
      <c r="BR19" s="48"/>
      <c r="BS19" s="55"/>
      <c r="BT19" s="55"/>
      <c r="BU19" s="55"/>
      <c r="BV19" s="55"/>
    </row>
    <row r="20" spans="1:74" x14ac:dyDescent="0.25">
      <c r="A20" s="53"/>
      <c r="B20" s="53"/>
      <c r="C20" s="54" t="s">
        <v>220</v>
      </c>
      <c r="D20" s="55"/>
      <c r="E20" s="55"/>
      <c r="F20" s="55"/>
      <c r="G20" s="55"/>
      <c r="H20" s="55"/>
      <c r="I20" s="55"/>
      <c r="J20" s="55"/>
      <c r="K20" s="48"/>
      <c r="L20" s="55"/>
      <c r="M20" s="55"/>
      <c r="N20" s="55"/>
      <c r="O20" s="55"/>
      <c r="P20" s="55"/>
      <c r="Q20" s="48"/>
      <c r="R20" s="55"/>
      <c r="S20" s="55"/>
      <c r="T20" s="48"/>
      <c r="U20" s="55"/>
      <c r="V20" s="55"/>
      <c r="W20" s="55"/>
      <c r="X20" s="55"/>
      <c r="Y20" s="55"/>
      <c r="Z20" s="48"/>
      <c r="AA20" s="55"/>
      <c r="AB20" s="55"/>
      <c r="AC20" s="55"/>
      <c r="AD20" s="55"/>
      <c r="AE20" s="55"/>
      <c r="AF20" s="55"/>
      <c r="AG20" s="55"/>
      <c r="AH20" s="55"/>
      <c r="AI20" s="55"/>
      <c r="AJ20" s="55"/>
      <c r="AK20" s="48"/>
      <c r="AL20" s="55"/>
      <c r="AM20" s="55"/>
      <c r="AN20" s="55"/>
      <c r="AO20" s="55"/>
      <c r="AP20" s="55"/>
      <c r="AQ20" s="55"/>
      <c r="AR20" s="48"/>
      <c r="AS20" s="55"/>
      <c r="AT20" s="55"/>
      <c r="AU20" s="55"/>
      <c r="AV20" s="55"/>
      <c r="AW20" s="55"/>
      <c r="AX20" s="55"/>
      <c r="AY20" s="55"/>
      <c r="AZ20" s="55"/>
      <c r="BA20" s="55"/>
      <c r="BB20" s="55"/>
      <c r="BC20" s="55"/>
      <c r="BD20" s="55"/>
      <c r="BE20" s="55"/>
      <c r="BF20" s="55"/>
      <c r="BG20" s="48"/>
      <c r="BH20" s="55"/>
      <c r="BI20" s="55"/>
      <c r="BJ20" s="55"/>
      <c r="BK20" s="55"/>
      <c r="BL20" s="48"/>
      <c r="BM20" s="68">
        <f>+BM5/$BM$19*100</f>
        <v>16.692156434345641</v>
      </c>
      <c r="BN20" s="68">
        <f>+BN5/$BM$19*100</f>
        <v>26.982739785885951</v>
      </c>
      <c r="BO20" s="68">
        <f>+BO5/$BM$19*100</f>
        <v>2.8839851431068384</v>
      </c>
      <c r="BP20" s="68">
        <f>+BP5/$BM$19*100</f>
        <v>46.952152064671182</v>
      </c>
      <c r="BQ20" s="68">
        <f>+BQ5/$BM$19*100</f>
        <v>6.4889665719903871</v>
      </c>
      <c r="BR20" s="48"/>
      <c r="BS20" s="55"/>
      <c r="BT20" s="55"/>
      <c r="BU20" s="55"/>
      <c r="BV20" s="55"/>
    </row>
  </sheetData>
  <mergeCells count="28">
    <mergeCell ref="BM19:BQ19"/>
    <mergeCell ref="A13:C13"/>
    <mergeCell ref="L16:P16"/>
    <mergeCell ref="R16:S16"/>
    <mergeCell ref="U16:Y16"/>
    <mergeCell ref="AA16:AJ16"/>
    <mergeCell ref="BH1:BK1"/>
    <mergeCell ref="BM1:BQ1"/>
    <mergeCell ref="A9:C9"/>
    <mergeCell ref="BS1:BV1"/>
    <mergeCell ref="AS16:BF16"/>
    <mergeCell ref="D1:J1"/>
    <mergeCell ref="L1:P1"/>
    <mergeCell ref="R1:S1"/>
    <mergeCell ref="U1:Y1"/>
    <mergeCell ref="AA1:AJ1"/>
    <mergeCell ref="BH16:BK16"/>
    <mergeCell ref="BM16:BQ16"/>
    <mergeCell ref="BS16:BV16"/>
    <mergeCell ref="AL1:AQ1"/>
    <mergeCell ref="AL16:AQ16"/>
    <mergeCell ref="AS1:BF1"/>
    <mergeCell ref="A10:C10"/>
    <mergeCell ref="A11:C11"/>
    <mergeCell ref="A2:C2"/>
    <mergeCell ref="A1:B1"/>
    <mergeCell ref="A7:C7"/>
    <mergeCell ref="A8:C8"/>
  </mergeCells>
  <conditionalFormatting sqref="L7:P11">
    <cfRule type="cellIs" dxfId="83" priority="43" stopIfTrue="1" operator="lessThanOrEqual">
      <formula>44.49</formula>
    </cfRule>
    <cfRule type="cellIs" dxfId="82" priority="44" stopIfTrue="1" operator="greaterThanOrEqual">
      <formula>85.5</formula>
    </cfRule>
    <cfRule type="cellIs" dxfId="81" priority="45" stopIfTrue="1" operator="between">
      <formula>44.5</formula>
      <formula>60.49</formula>
    </cfRule>
  </conditionalFormatting>
  <conditionalFormatting sqref="D7:D11">
    <cfRule type="cellIs" dxfId="80" priority="40" stopIfTrue="1" operator="lessThanOrEqual">
      <formula>44.49</formula>
    </cfRule>
    <cfRule type="cellIs" dxfId="79" priority="41" stopIfTrue="1" operator="greaterThanOrEqual">
      <formula>85.5</formula>
    </cfRule>
    <cfRule type="cellIs" dxfId="78" priority="42" stopIfTrue="1" operator="between">
      <formula>44.5</formula>
      <formula>60.49</formula>
    </cfRule>
  </conditionalFormatting>
  <conditionalFormatting sqref="E7:E11">
    <cfRule type="cellIs" dxfId="77" priority="37" stopIfTrue="1" operator="lessThanOrEqual">
      <formula>44.49</formula>
    </cfRule>
    <cfRule type="cellIs" dxfId="76" priority="38" stopIfTrue="1" operator="greaterThanOrEqual">
      <formula>85.5</formula>
    </cfRule>
    <cfRule type="cellIs" dxfId="75" priority="39" stopIfTrue="1" operator="between">
      <formula>44.5</formula>
      <formula>60.49</formula>
    </cfRule>
  </conditionalFormatting>
  <conditionalFormatting sqref="F7:F11">
    <cfRule type="cellIs" dxfId="74" priority="34" stopIfTrue="1" operator="lessThanOrEqual">
      <formula>44.49</formula>
    </cfRule>
    <cfRule type="cellIs" dxfId="73" priority="35" stopIfTrue="1" operator="greaterThanOrEqual">
      <formula>85.5</formula>
    </cfRule>
    <cfRule type="cellIs" dxfId="72" priority="36" stopIfTrue="1" operator="between">
      <formula>44.5</formula>
      <formula>60.49</formula>
    </cfRule>
  </conditionalFormatting>
  <conditionalFormatting sqref="G7:G11">
    <cfRule type="cellIs" dxfId="71" priority="31" stopIfTrue="1" operator="lessThanOrEqual">
      <formula>44.49</formula>
    </cfRule>
    <cfRule type="cellIs" dxfId="70" priority="32" stopIfTrue="1" operator="greaterThanOrEqual">
      <formula>85.5</formula>
    </cfRule>
    <cfRule type="cellIs" dxfId="69" priority="33" stopIfTrue="1" operator="between">
      <formula>44.5</formula>
      <formula>60.49</formula>
    </cfRule>
  </conditionalFormatting>
  <conditionalFormatting sqref="R7:R11">
    <cfRule type="cellIs" dxfId="68" priority="28" stopIfTrue="1" operator="lessThanOrEqual">
      <formula>44.49</formula>
    </cfRule>
    <cfRule type="cellIs" dxfId="67" priority="29" stopIfTrue="1" operator="greaterThanOrEqual">
      <formula>85.5</formula>
    </cfRule>
    <cfRule type="cellIs" dxfId="66" priority="30" stopIfTrue="1" operator="between">
      <formula>44.5</formula>
      <formula>60.49</formula>
    </cfRule>
  </conditionalFormatting>
  <conditionalFormatting sqref="S7:S11">
    <cfRule type="cellIs" dxfId="65" priority="25" stopIfTrue="1" operator="lessThanOrEqual">
      <formula>44.49</formula>
    </cfRule>
    <cfRule type="cellIs" dxfId="64" priority="26" stopIfTrue="1" operator="greaterThanOrEqual">
      <formula>85.5</formula>
    </cfRule>
    <cfRule type="cellIs" dxfId="63" priority="27" stopIfTrue="1" operator="between">
      <formula>44.5</formula>
      <formula>60.49</formula>
    </cfRule>
  </conditionalFormatting>
  <conditionalFormatting sqref="U7:U11">
    <cfRule type="cellIs" dxfId="62" priority="22" stopIfTrue="1" operator="lessThanOrEqual">
      <formula>44.49</formula>
    </cfRule>
    <cfRule type="cellIs" dxfId="61" priority="23" stopIfTrue="1" operator="greaterThanOrEqual">
      <formula>85.5</formula>
    </cfRule>
    <cfRule type="cellIs" dxfId="60" priority="24" stopIfTrue="1" operator="between">
      <formula>44.5</formula>
      <formula>60.49</formula>
    </cfRule>
  </conditionalFormatting>
  <conditionalFormatting sqref="V7:Y11">
    <cfRule type="cellIs" dxfId="59" priority="19" stopIfTrue="1" operator="lessThanOrEqual">
      <formula>44.49</formula>
    </cfRule>
    <cfRule type="cellIs" dxfId="58" priority="20" stopIfTrue="1" operator="greaterThanOrEqual">
      <formula>85.5</formula>
    </cfRule>
    <cfRule type="cellIs" dxfId="57" priority="21" stopIfTrue="1" operator="between">
      <formula>44.5</formula>
      <formula>60.49</formula>
    </cfRule>
  </conditionalFormatting>
  <conditionalFormatting sqref="AA7:AJ11">
    <cfRule type="cellIs" dxfId="56" priority="16" stopIfTrue="1" operator="lessThanOrEqual">
      <formula>44.49</formula>
    </cfRule>
    <cfRule type="cellIs" dxfId="55" priority="17" stopIfTrue="1" operator="greaterThanOrEqual">
      <formula>85.5</formula>
    </cfRule>
    <cfRule type="cellIs" dxfId="54" priority="18" stopIfTrue="1" operator="between">
      <formula>44.5</formula>
      <formula>60.49</formula>
    </cfRule>
  </conditionalFormatting>
  <conditionalFormatting sqref="AL7:AQ11">
    <cfRule type="cellIs" dxfId="53" priority="13" stopIfTrue="1" operator="lessThanOrEqual">
      <formula>44.49</formula>
    </cfRule>
    <cfRule type="cellIs" dxfId="52" priority="14" stopIfTrue="1" operator="greaterThanOrEqual">
      <formula>85.5</formula>
    </cfRule>
    <cfRule type="cellIs" dxfId="51" priority="15" stopIfTrue="1" operator="between">
      <formula>44.5</formula>
      <formula>60.49</formula>
    </cfRule>
  </conditionalFormatting>
  <conditionalFormatting sqref="AS7:BD11 BF7:BF11">
    <cfRule type="cellIs" dxfId="50" priority="10" stopIfTrue="1" operator="lessThanOrEqual">
      <formula>44.49</formula>
    </cfRule>
    <cfRule type="cellIs" dxfId="49" priority="11" stopIfTrue="1" operator="greaterThanOrEqual">
      <formula>85.5</formula>
    </cfRule>
    <cfRule type="cellIs" dxfId="48" priority="12" stopIfTrue="1" operator="between">
      <formula>44.5</formula>
      <formula>60.49</formula>
    </cfRule>
  </conditionalFormatting>
  <conditionalFormatting sqref="BH7:BK11">
    <cfRule type="cellIs" dxfId="47" priority="7" stopIfTrue="1" operator="lessThanOrEqual">
      <formula>44.49</formula>
    </cfRule>
    <cfRule type="cellIs" dxfId="46" priority="8" stopIfTrue="1" operator="greaterThanOrEqual">
      <formula>85.5</formula>
    </cfRule>
    <cfRule type="cellIs" dxfId="45" priority="9" stopIfTrue="1" operator="between">
      <formula>44.5</formula>
      <formula>60.49</formula>
    </cfRule>
  </conditionalFormatting>
  <conditionalFormatting sqref="BM7:BQ11">
    <cfRule type="cellIs" dxfId="44" priority="4" stopIfTrue="1" operator="lessThanOrEqual">
      <formula>44.49</formula>
    </cfRule>
    <cfRule type="cellIs" dxfId="43" priority="5" stopIfTrue="1" operator="greaterThanOrEqual">
      <formula>85.5</formula>
    </cfRule>
    <cfRule type="cellIs" dxfId="42" priority="6" stopIfTrue="1" operator="between">
      <formula>44.5</formula>
      <formula>60.49</formula>
    </cfRule>
  </conditionalFormatting>
  <conditionalFormatting sqref="BS7:BV11">
    <cfRule type="cellIs" dxfId="41" priority="1" stopIfTrue="1" operator="lessThanOrEqual">
      <formula>44.49</formula>
    </cfRule>
    <cfRule type="cellIs" dxfId="40" priority="2" stopIfTrue="1" operator="greaterThanOrEqual">
      <formula>85.5</formula>
    </cfRule>
    <cfRule type="cellIs" dxfId="39" priority="3" stopIfTrue="1" operator="between">
      <formula>44.5</formula>
      <formula>60.49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A1:AN107"/>
  <sheetViews>
    <sheetView topLeftCell="F61" zoomScale="80" zoomScaleNormal="80" workbookViewId="0">
      <selection activeCell="F63" sqref="A63:XFD63"/>
    </sheetView>
  </sheetViews>
  <sheetFormatPr baseColWidth="10" defaultRowHeight="15" x14ac:dyDescent="0.25"/>
  <cols>
    <col min="1" max="1" width="6.5703125" customWidth="1"/>
    <col min="2" max="2" width="28.7109375" bestFit="1" customWidth="1"/>
    <col min="3" max="9" width="8" customWidth="1"/>
    <col min="10" max="10" width="9.28515625" customWidth="1"/>
    <col min="11" max="11" width="25.42578125" customWidth="1"/>
    <col min="12" max="12" width="3.85546875" customWidth="1"/>
    <col min="13" max="13" width="97.7109375" customWidth="1"/>
    <col min="14" max="17" width="8.5703125" customWidth="1"/>
    <col min="18" max="18" width="16.42578125" customWidth="1"/>
    <col min="19" max="20" width="9.140625" customWidth="1"/>
    <col min="21" max="21" width="8" customWidth="1"/>
    <col min="22" max="29" width="11.42578125" customWidth="1"/>
    <col min="30" max="30" width="9.140625" customWidth="1"/>
    <col min="31" max="31" width="27.42578125" bestFit="1" customWidth="1"/>
    <col min="32" max="32" width="7" customWidth="1"/>
    <col min="33" max="33" width="8" customWidth="1"/>
    <col min="34" max="36" width="7" customWidth="1"/>
    <col min="37" max="39" width="7.42578125" customWidth="1"/>
    <col min="40" max="40" width="7" customWidth="1"/>
  </cols>
  <sheetData>
    <row r="1" spans="1:40" ht="37.5" customHeight="1" thickBot="1" x14ac:dyDescent="0.3">
      <c r="A1" s="71" t="s">
        <v>374</v>
      </c>
      <c r="B1" s="71" t="s">
        <v>375</v>
      </c>
      <c r="C1" s="71">
        <v>2016</v>
      </c>
      <c r="D1" s="71">
        <v>2016</v>
      </c>
      <c r="E1" s="71" t="s">
        <v>376</v>
      </c>
      <c r="F1" s="71" t="s">
        <v>377</v>
      </c>
      <c r="G1" s="71" t="s">
        <v>378</v>
      </c>
      <c r="H1" s="71" t="s">
        <v>379</v>
      </c>
      <c r="I1" s="71" t="s">
        <v>380</v>
      </c>
      <c r="J1" s="206" t="s">
        <v>375</v>
      </c>
      <c r="K1" s="206"/>
      <c r="L1" s="71" t="s">
        <v>381</v>
      </c>
      <c r="M1" s="71" t="s">
        <v>382</v>
      </c>
      <c r="N1" s="71">
        <v>2016</v>
      </c>
      <c r="O1" s="71">
        <v>2016</v>
      </c>
      <c r="P1" s="71" t="s">
        <v>376</v>
      </c>
      <c r="Q1" s="71" t="s">
        <v>377</v>
      </c>
      <c r="R1" s="40"/>
      <c r="S1" s="40"/>
      <c r="T1" s="40"/>
      <c r="U1" s="72" t="s">
        <v>383</v>
      </c>
      <c r="V1" s="73" t="s">
        <v>384</v>
      </c>
      <c r="W1" s="74" t="s">
        <v>385</v>
      </c>
      <c r="X1" s="75" t="s">
        <v>386</v>
      </c>
      <c r="Y1" s="76" t="s">
        <v>387</v>
      </c>
      <c r="Z1" s="77" t="s">
        <v>388</v>
      </c>
      <c r="AA1" s="78" t="s">
        <v>10</v>
      </c>
      <c r="AB1" s="78" t="s">
        <v>389</v>
      </c>
      <c r="AC1" s="78" t="s">
        <v>390</v>
      </c>
      <c r="AD1" s="40"/>
      <c r="AE1" s="79" t="s">
        <v>391</v>
      </c>
      <c r="AF1" s="79">
        <v>2007</v>
      </c>
      <c r="AG1" s="79">
        <v>2008</v>
      </c>
      <c r="AH1" s="79">
        <v>2009</v>
      </c>
      <c r="AI1" s="79">
        <v>2010</v>
      </c>
      <c r="AJ1" s="79">
        <v>2011</v>
      </c>
      <c r="AK1" s="79">
        <v>2012</v>
      </c>
      <c r="AL1" s="79">
        <v>2013</v>
      </c>
      <c r="AM1" s="79">
        <v>2014</v>
      </c>
      <c r="AN1" s="79">
        <v>2015</v>
      </c>
    </row>
    <row r="2" spans="1:40" ht="27" customHeight="1" thickBot="1" x14ac:dyDescent="0.3">
      <c r="A2" s="276" t="s">
        <v>392</v>
      </c>
      <c r="B2" s="213" t="s">
        <v>11</v>
      </c>
      <c r="C2" s="215">
        <v>86.53</v>
      </c>
      <c r="D2" s="215">
        <v>95.23</v>
      </c>
      <c r="E2" s="215">
        <v>77.650000000000006</v>
      </c>
      <c r="F2" s="215">
        <v>87.04</v>
      </c>
      <c r="G2" s="217">
        <v>-8.6999999999999993</v>
      </c>
      <c r="H2" s="217">
        <v>8.8800000000000008</v>
      </c>
      <c r="I2" s="217">
        <v>-0.51</v>
      </c>
      <c r="J2" s="279" t="s">
        <v>11</v>
      </c>
      <c r="K2" s="280" t="s">
        <v>393</v>
      </c>
      <c r="L2" s="80">
        <v>1</v>
      </c>
      <c r="M2" s="81" t="s">
        <v>394</v>
      </c>
      <c r="N2" s="82">
        <v>85.48</v>
      </c>
      <c r="O2" s="83">
        <v>94.52</v>
      </c>
      <c r="P2" s="82">
        <v>71.930000000000007</v>
      </c>
      <c r="Q2" s="82">
        <v>83.65</v>
      </c>
      <c r="R2" s="84">
        <v>-9.0399999999999991</v>
      </c>
      <c r="S2" s="40"/>
      <c r="T2" s="40"/>
      <c r="U2" s="85">
        <v>2016</v>
      </c>
      <c r="V2" s="85">
        <v>85.92</v>
      </c>
      <c r="W2" s="85">
        <v>81.55</v>
      </c>
      <c r="X2" s="85">
        <v>77.75</v>
      </c>
      <c r="Y2" s="85">
        <v>83.29</v>
      </c>
      <c r="Z2" s="85">
        <v>86.17</v>
      </c>
      <c r="AA2" s="85">
        <v>81.95</v>
      </c>
      <c r="AB2" s="85">
        <v>82.9</v>
      </c>
      <c r="AC2" s="85">
        <v>84.08</v>
      </c>
      <c r="AD2" s="40"/>
      <c r="AE2" s="86" t="s">
        <v>395</v>
      </c>
      <c r="AF2" s="86">
        <v>376</v>
      </c>
      <c r="AG2" s="86">
        <v>387</v>
      </c>
      <c r="AH2" s="86">
        <v>532</v>
      </c>
      <c r="AI2" s="86">
        <v>581</v>
      </c>
      <c r="AJ2" s="86">
        <v>676</v>
      </c>
      <c r="AK2" s="86">
        <v>704</v>
      </c>
      <c r="AL2" s="86">
        <v>711</v>
      </c>
      <c r="AM2" s="86">
        <v>669</v>
      </c>
      <c r="AN2" s="86">
        <v>664</v>
      </c>
    </row>
    <row r="3" spans="1:40" ht="27" customHeight="1" thickTop="1" thickBot="1" x14ac:dyDescent="0.3">
      <c r="A3" s="277"/>
      <c r="B3" s="214"/>
      <c r="C3" s="194"/>
      <c r="D3" s="194"/>
      <c r="E3" s="194"/>
      <c r="F3" s="194"/>
      <c r="G3" s="197"/>
      <c r="H3" s="197"/>
      <c r="I3" s="197"/>
      <c r="J3" s="269"/>
      <c r="K3" s="273"/>
      <c r="L3" s="80">
        <v>2</v>
      </c>
      <c r="M3" s="81" t="s">
        <v>396</v>
      </c>
      <c r="N3" s="82">
        <v>84.05</v>
      </c>
      <c r="O3" s="83">
        <v>94.08</v>
      </c>
      <c r="P3" s="82">
        <v>72.400000000000006</v>
      </c>
      <c r="Q3" s="82">
        <v>83.46</v>
      </c>
      <c r="R3" s="84">
        <v>-10.029999999999999</v>
      </c>
      <c r="S3" s="40"/>
      <c r="T3" s="40"/>
      <c r="U3" s="85">
        <v>2015</v>
      </c>
      <c r="V3" s="85">
        <v>67.150000000000006</v>
      </c>
      <c r="W3" s="85">
        <v>61</v>
      </c>
      <c r="X3" s="85">
        <v>59.08</v>
      </c>
      <c r="Y3" s="85">
        <v>65</v>
      </c>
      <c r="Z3" s="85">
        <v>62.3</v>
      </c>
      <c r="AA3" s="85">
        <v>62.42</v>
      </c>
      <c r="AB3" s="85">
        <v>62.67</v>
      </c>
      <c r="AC3" s="85">
        <v>57</v>
      </c>
      <c r="AD3" s="40"/>
      <c r="AE3" s="86" t="s">
        <v>162</v>
      </c>
      <c r="AF3" s="86">
        <v>336</v>
      </c>
      <c r="AG3" s="86">
        <v>364</v>
      </c>
      <c r="AH3" s="86">
        <v>491</v>
      </c>
      <c r="AI3" s="86">
        <v>448</v>
      </c>
      <c r="AJ3" s="86">
        <v>560</v>
      </c>
      <c r="AK3" s="86">
        <v>594</v>
      </c>
      <c r="AL3" s="86">
        <v>610</v>
      </c>
      <c r="AM3" s="86">
        <v>580</v>
      </c>
      <c r="AN3" s="86">
        <v>600</v>
      </c>
    </row>
    <row r="4" spans="1:40" ht="27" customHeight="1" thickTop="1" thickBot="1" x14ac:dyDescent="0.3">
      <c r="A4" s="277"/>
      <c r="B4" s="214"/>
      <c r="C4" s="194"/>
      <c r="D4" s="194"/>
      <c r="E4" s="194"/>
      <c r="F4" s="194"/>
      <c r="G4" s="197"/>
      <c r="H4" s="197"/>
      <c r="I4" s="197"/>
      <c r="J4" s="269"/>
      <c r="K4" s="271" t="s">
        <v>397</v>
      </c>
      <c r="L4" s="80">
        <v>3</v>
      </c>
      <c r="M4" s="81" t="s">
        <v>398</v>
      </c>
      <c r="N4" s="83">
        <v>87.08</v>
      </c>
      <c r="O4" s="83">
        <v>96.28</v>
      </c>
      <c r="P4" s="82">
        <v>81.36</v>
      </c>
      <c r="Q4" s="83">
        <v>89.14</v>
      </c>
      <c r="R4" s="84">
        <v>-9.1999999999999993</v>
      </c>
      <c r="S4" s="40"/>
      <c r="T4" s="40"/>
      <c r="U4" s="85">
        <v>2014</v>
      </c>
      <c r="V4" s="85">
        <v>61.92</v>
      </c>
      <c r="W4" s="85">
        <v>59.62</v>
      </c>
      <c r="X4" s="85">
        <v>58.42</v>
      </c>
      <c r="Y4" s="85">
        <v>64.25</v>
      </c>
      <c r="Z4" s="85">
        <v>63.51</v>
      </c>
      <c r="AA4" s="85">
        <v>60.03</v>
      </c>
      <c r="AB4" s="85">
        <v>61.07</v>
      </c>
      <c r="AC4" s="85">
        <v>51</v>
      </c>
      <c r="AD4" s="40"/>
      <c r="AE4" s="86" t="s">
        <v>399</v>
      </c>
      <c r="AF4" s="87">
        <v>0.9</v>
      </c>
      <c r="AG4" s="88">
        <v>0.94099999999999995</v>
      </c>
      <c r="AH4" s="87">
        <v>0.92</v>
      </c>
      <c r="AI4" s="87">
        <v>0.77</v>
      </c>
      <c r="AJ4" s="87">
        <v>0.83</v>
      </c>
      <c r="AK4" s="87">
        <v>0.84</v>
      </c>
      <c r="AL4" s="87">
        <v>0.86</v>
      </c>
      <c r="AM4" s="87">
        <v>0.87</v>
      </c>
      <c r="AN4" s="87">
        <v>0.9</v>
      </c>
    </row>
    <row r="5" spans="1:40" ht="27" customHeight="1" thickTop="1" thickBot="1" x14ac:dyDescent="0.3">
      <c r="A5" s="277"/>
      <c r="B5" s="214"/>
      <c r="C5" s="216"/>
      <c r="D5" s="216"/>
      <c r="E5" s="216"/>
      <c r="F5" s="216"/>
      <c r="G5" s="218"/>
      <c r="H5" s="218"/>
      <c r="I5" s="218"/>
      <c r="J5" s="270"/>
      <c r="K5" s="273"/>
      <c r="L5" s="80">
        <v>4</v>
      </c>
      <c r="M5" s="81" t="s">
        <v>400</v>
      </c>
      <c r="N5" s="83">
        <v>89.51</v>
      </c>
      <c r="O5" s="83">
        <v>96.06</v>
      </c>
      <c r="P5" s="82">
        <v>84.9</v>
      </c>
      <c r="Q5" s="83">
        <v>91.89</v>
      </c>
      <c r="R5" s="84">
        <v>-6.55</v>
      </c>
      <c r="S5" s="40"/>
      <c r="T5" s="40"/>
      <c r="U5" s="85">
        <v>2013</v>
      </c>
      <c r="V5" s="85">
        <v>66</v>
      </c>
      <c r="W5" s="85">
        <v>62</v>
      </c>
      <c r="X5" s="85">
        <v>63</v>
      </c>
      <c r="Y5" s="85">
        <v>66</v>
      </c>
      <c r="Z5" s="85">
        <v>65</v>
      </c>
      <c r="AA5" s="85">
        <v>63.84</v>
      </c>
      <c r="AB5" s="85">
        <v>64</v>
      </c>
      <c r="AC5" s="85">
        <v>57</v>
      </c>
      <c r="AD5" s="40"/>
      <c r="AE5" s="86" t="s">
        <v>401</v>
      </c>
      <c r="AF5" s="88">
        <v>1.6400000000000001E-2</v>
      </c>
      <c r="AG5" s="88">
        <v>1.2500000000000001E-2</v>
      </c>
      <c r="AH5" s="88">
        <v>1.23E-2</v>
      </c>
      <c r="AI5" s="88">
        <v>2.2200000000000001E-2</v>
      </c>
      <c r="AJ5" s="88">
        <v>1.72E-2</v>
      </c>
      <c r="AK5" s="88">
        <v>1.5900000000000001E-2</v>
      </c>
      <c r="AL5" s="88">
        <v>1.4999999999999999E-2</v>
      </c>
      <c r="AM5" s="88">
        <v>1.4800000000000001E-2</v>
      </c>
      <c r="AN5" s="88">
        <v>1.24E-2</v>
      </c>
    </row>
    <row r="6" spans="1:40" ht="27" customHeight="1" thickTop="1" thickBot="1" x14ac:dyDescent="0.3">
      <c r="A6" s="277"/>
      <c r="B6" s="214" t="s">
        <v>12</v>
      </c>
      <c r="C6" s="193">
        <v>85.75</v>
      </c>
      <c r="D6" s="193">
        <v>94.89</v>
      </c>
      <c r="E6" s="193">
        <v>79.209999999999994</v>
      </c>
      <c r="F6" s="193">
        <v>89.57</v>
      </c>
      <c r="G6" s="196">
        <v>-9.14</v>
      </c>
      <c r="H6" s="196">
        <v>6.54</v>
      </c>
      <c r="I6" s="196">
        <v>-3.82</v>
      </c>
      <c r="J6" s="268" t="s">
        <v>12</v>
      </c>
      <c r="K6" s="271" t="s">
        <v>402</v>
      </c>
      <c r="L6" s="80">
        <v>5</v>
      </c>
      <c r="M6" s="81" t="s">
        <v>403</v>
      </c>
      <c r="N6" s="83">
        <v>89.01</v>
      </c>
      <c r="O6" s="83">
        <v>96.06</v>
      </c>
      <c r="P6" s="82">
        <v>82.09</v>
      </c>
      <c r="Q6" s="83">
        <v>92.38</v>
      </c>
      <c r="R6" s="84">
        <v>-7.05</v>
      </c>
      <c r="S6" s="40"/>
      <c r="T6" s="40"/>
      <c r="U6" s="85">
        <v>2012</v>
      </c>
      <c r="V6" s="85">
        <v>69</v>
      </c>
      <c r="W6" s="85">
        <v>67</v>
      </c>
      <c r="X6" s="85">
        <v>66</v>
      </c>
      <c r="Y6" s="85">
        <v>68</v>
      </c>
      <c r="Z6" s="85">
        <v>68</v>
      </c>
      <c r="AA6" s="85">
        <v>67.08</v>
      </c>
      <c r="AB6" s="85">
        <v>67</v>
      </c>
      <c r="AC6" s="85">
        <v>62</v>
      </c>
      <c r="AD6" s="40"/>
      <c r="AE6" s="86" t="s">
        <v>404</v>
      </c>
      <c r="AF6" s="89">
        <v>42915</v>
      </c>
      <c r="AG6" s="89">
        <v>42915</v>
      </c>
      <c r="AH6" s="89">
        <v>42918</v>
      </c>
      <c r="AI6" s="89">
        <v>42920</v>
      </c>
      <c r="AJ6" s="89">
        <v>42926</v>
      </c>
      <c r="AK6" s="89">
        <v>42951</v>
      </c>
      <c r="AL6" s="89">
        <v>42951</v>
      </c>
      <c r="AM6" s="89">
        <v>42967</v>
      </c>
      <c r="AN6" s="89">
        <v>42906</v>
      </c>
    </row>
    <row r="7" spans="1:40" ht="27" customHeight="1" thickTop="1" thickBot="1" x14ac:dyDescent="0.3">
      <c r="A7" s="277"/>
      <c r="B7" s="214"/>
      <c r="C7" s="194"/>
      <c r="D7" s="194"/>
      <c r="E7" s="194"/>
      <c r="F7" s="194"/>
      <c r="G7" s="197"/>
      <c r="H7" s="197"/>
      <c r="I7" s="197"/>
      <c r="J7" s="269"/>
      <c r="K7" s="272"/>
      <c r="L7" s="80">
        <v>6</v>
      </c>
      <c r="M7" s="81" t="s">
        <v>405</v>
      </c>
      <c r="N7" s="82">
        <v>84.34</v>
      </c>
      <c r="O7" s="83">
        <v>94.53</v>
      </c>
      <c r="P7" s="82">
        <v>78.010000000000005</v>
      </c>
      <c r="Q7" s="83">
        <v>90.85</v>
      </c>
      <c r="R7" s="84">
        <v>-10.19</v>
      </c>
      <c r="S7" s="40"/>
      <c r="T7" s="40"/>
      <c r="U7" s="85">
        <v>2011</v>
      </c>
      <c r="V7" s="85">
        <v>62</v>
      </c>
      <c r="W7" s="85">
        <v>61</v>
      </c>
      <c r="X7" s="85">
        <v>60</v>
      </c>
      <c r="Y7" s="85">
        <v>62</v>
      </c>
      <c r="Z7" s="85">
        <v>66</v>
      </c>
      <c r="AA7" s="85">
        <v>61.18</v>
      </c>
      <c r="AB7" s="85">
        <v>62</v>
      </c>
      <c r="AC7" s="85">
        <v>51</v>
      </c>
      <c r="AD7" s="40"/>
      <c r="AE7" s="86" t="s">
        <v>406</v>
      </c>
      <c r="AF7" s="86" t="s">
        <v>407</v>
      </c>
      <c r="AG7" s="86" t="s">
        <v>407</v>
      </c>
      <c r="AH7" s="86" t="s">
        <v>407</v>
      </c>
      <c r="AI7" s="86" t="s">
        <v>407</v>
      </c>
      <c r="AJ7" s="86" t="s">
        <v>407</v>
      </c>
      <c r="AK7" s="86" t="s">
        <v>407</v>
      </c>
      <c r="AL7" s="86" t="s">
        <v>407</v>
      </c>
      <c r="AM7" s="86" t="s">
        <v>407</v>
      </c>
      <c r="AN7" s="86" t="s">
        <v>407</v>
      </c>
    </row>
    <row r="8" spans="1:40" ht="27" customHeight="1" thickTop="1" x14ac:dyDescent="0.25">
      <c r="A8" s="277"/>
      <c r="B8" s="214"/>
      <c r="C8" s="194"/>
      <c r="D8" s="194"/>
      <c r="E8" s="194"/>
      <c r="F8" s="194"/>
      <c r="G8" s="197"/>
      <c r="H8" s="197"/>
      <c r="I8" s="197"/>
      <c r="J8" s="269"/>
      <c r="K8" s="273"/>
      <c r="L8" s="80">
        <v>7</v>
      </c>
      <c r="M8" s="81" t="s">
        <v>408</v>
      </c>
      <c r="N8" s="82">
        <v>76.25</v>
      </c>
      <c r="O8" s="83">
        <v>90.57</v>
      </c>
      <c r="P8" s="82">
        <v>68.849999999999994</v>
      </c>
      <c r="Q8" s="82">
        <v>81.239999999999995</v>
      </c>
      <c r="R8" s="84">
        <v>-14.32</v>
      </c>
      <c r="S8" s="40"/>
      <c r="T8" s="40"/>
      <c r="U8" s="85">
        <v>2010</v>
      </c>
      <c r="V8" s="85">
        <v>65</v>
      </c>
      <c r="W8" s="85">
        <v>63</v>
      </c>
      <c r="X8" s="85">
        <v>61</v>
      </c>
      <c r="Y8" s="85">
        <v>61</v>
      </c>
      <c r="Z8" s="85">
        <v>63</v>
      </c>
      <c r="AA8" s="85">
        <v>63.36</v>
      </c>
      <c r="AB8" s="85">
        <v>63</v>
      </c>
      <c r="AC8" s="85">
        <v>55</v>
      </c>
      <c r="AD8" s="40"/>
      <c r="AE8" s="40"/>
      <c r="AF8" s="40"/>
      <c r="AG8" s="40"/>
      <c r="AH8" s="40"/>
      <c r="AI8" s="40"/>
      <c r="AJ8" s="40"/>
      <c r="AK8" s="40"/>
      <c r="AL8" s="40"/>
      <c r="AM8" s="40"/>
      <c r="AN8" s="40"/>
    </row>
    <row r="9" spans="1:40" ht="27" customHeight="1" x14ac:dyDescent="0.25">
      <c r="A9" s="277"/>
      <c r="B9" s="214"/>
      <c r="C9" s="194"/>
      <c r="D9" s="194"/>
      <c r="E9" s="194"/>
      <c r="F9" s="194"/>
      <c r="G9" s="197"/>
      <c r="H9" s="197"/>
      <c r="I9" s="197"/>
      <c r="J9" s="269"/>
      <c r="K9" s="271" t="s">
        <v>409</v>
      </c>
      <c r="L9" s="80">
        <v>8</v>
      </c>
      <c r="M9" s="81" t="s">
        <v>410</v>
      </c>
      <c r="N9" s="83">
        <v>87.18</v>
      </c>
      <c r="O9" s="83">
        <v>95.4</v>
      </c>
      <c r="P9" s="82">
        <v>82.88</v>
      </c>
      <c r="Q9" s="83">
        <v>90.08</v>
      </c>
      <c r="R9" s="84">
        <v>-8.2200000000000006</v>
      </c>
      <c r="S9" s="40"/>
      <c r="T9" s="40"/>
      <c r="U9" s="85">
        <v>2009</v>
      </c>
      <c r="V9" s="85">
        <v>66</v>
      </c>
      <c r="W9" s="85">
        <v>64</v>
      </c>
      <c r="X9" s="85">
        <v>61</v>
      </c>
      <c r="Y9" s="85">
        <v>58</v>
      </c>
      <c r="Z9" s="85">
        <v>62</v>
      </c>
      <c r="AA9" s="85">
        <v>63.62</v>
      </c>
      <c r="AB9" s="85">
        <v>62</v>
      </c>
      <c r="AC9" s="85">
        <v>52</v>
      </c>
      <c r="AD9" s="40"/>
      <c r="AE9" s="40"/>
      <c r="AF9" s="40"/>
      <c r="AG9" s="40"/>
      <c r="AH9" s="40"/>
      <c r="AI9" s="40"/>
      <c r="AJ9" s="40"/>
      <c r="AK9" s="40"/>
      <c r="AL9" s="40"/>
      <c r="AM9" s="40"/>
      <c r="AN9" s="40"/>
    </row>
    <row r="10" spans="1:40" ht="27" customHeight="1" x14ac:dyDescent="0.25">
      <c r="A10" s="277"/>
      <c r="B10" s="214"/>
      <c r="C10" s="194"/>
      <c r="D10" s="194"/>
      <c r="E10" s="194"/>
      <c r="F10" s="194"/>
      <c r="G10" s="197"/>
      <c r="H10" s="197"/>
      <c r="I10" s="197"/>
      <c r="J10" s="269"/>
      <c r="K10" s="273"/>
      <c r="L10" s="80">
        <v>9</v>
      </c>
      <c r="M10" s="81" t="s">
        <v>411</v>
      </c>
      <c r="N10" s="83">
        <v>89.17</v>
      </c>
      <c r="O10" s="83">
        <v>97.37</v>
      </c>
      <c r="P10" s="83">
        <v>86.01</v>
      </c>
      <c r="Q10" s="83">
        <v>95.21</v>
      </c>
      <c r="R10" s="84">
        <v>-8.1999999999999993</v>
      </c>
      <c r="S10" s="40"/>
      <c r="T10" s="40"/>
      <c r="U10" s="85">
        <v>2008</v>
      </c>
      <c r="V10" s="85">
        <v>66</v>
      </c>
      <c r="W10" s="85">
        <v>64</v>
      </c>
      <c r="X10" s="85">
        <v>61</v>
      </c>
      <c r="Y10" s="85">
        <v>59</v>
      </c>
      <c r="Z10" s="85">
        <v>62</v>
      </c>
      <c r="AA10" s="85">
        <v>64</v>
      </c>
      <c r="AB10" s="85">
        <v>62</v>
      </c>
      <c r="AC10" s="85">
        <v>48</v>
      </c>
      <c r="AD10" s="40"/>
      <c r="AE10" s="40"/>
      <c r="AF10" s="40"/>
      <c r="AG10" s="40"/>
      <c r="AH10" s="40"/>
      <c r="AI10" s="40"/>
      <c r="AJ10" s="40"/>
      <c r="AK10" s="40"/>
      <c r="AL10" s="40"/>
      <c r="AM10" s="40"/>
      <c r="AN10" s="40"/>
    </row>
    <row r="11" spans="1:40" ht="27" customHeight="1" x14ac:dyDescent="0.25">
      <c r="A11" s="277"/>
      <c r="B11" s="214"/>
      <c r="C11" s="216"/>
      <c r="D11" s="216"/>
      <c r="E11" s="216"/>
      <c r="F11" s="216"/>
      <c r="G11" s="218"/>
      <c r="H11" s="218"/>
      <c r="I11" s="218"/>
      <c r="J11" s="270"/>
      <c r="K11" s="90" t="s">
        <v>412</v>
      </c>
      <c r="L11" s="80">
        <v>10</v>
      </c>
      <c r="M11" s="81" t="s">
        <v>413</v>
      </c>
      <c r="N11" s="83">
        <v>88.56</v>
      </c>
      <c r="O11" s="83">
        <v>95.38</v>
      </c>
      <c r="P11" s="82">
        <v>77.41</v>
      </c>
      <c r="Q11" s="83">
        <v>87.68</v>
      </c>
      <c r="R11" s="84">
        <v>-6.82</v>
      </c>
      <c r="S11" s="40"/>
      <c r="T11" s="40"/>
      <c r="U11" s="85">
        <v>2007</v>
      </c>
      <c r="V11" s="85">
        <v>66.72</v>
      </c>
      <c r="W11" s="85">
        <v>66.94</v>
      </c>
      <c r="X11" s="85">
        <v>63.77</v>
      </c>
      <c r="Y11" s="85">
        <v>61.24</v>
      </c>
      <c r="Z11" s="85">
        <v>65.47</v>
      </c>
      <c r="AA11" s="85">
        <v>66</v>
      </c>
      <c r="AB11" s="85">
        <v>65</v>
      </c>
      <c r="AC11" s="85">
        <v>57.02</v>
      </c>
      <c r="AD11" s="40"/>
      <c r="AE11" s="40"/>
      <c r="AF11" s="40"/>
      <c r="AG11" s="40"/>
      <c r="AH11" s="40"/>
      <c r="AI11" s="40"/>
      <c r="AJ11" s="40"/>
      <c r="AK11" s="40"/>
      <c r="AL11" s="40"/>
      <c r="AM11" s="40"/>
      <c r="AN11" s="40"/>
    </row>
    <row r="12" spans="1:40" ht="27" customHeight="1" x14ac:dyDescent="0.25">
      <c r="A12" s="277"/>
      <c r="B12" s="214" t="s">
        <v>13</v>
      </c>
      <c r="C12" s="193">
        <v>85.61</v>
      </c>
      <c r="D12" s="193">
        <v>94.52</v>
      </c>
      <c r="E12" s="193">
        <v>79.099999999999994</v>
      </c>
      <c r="F12" s="193">
        <v>88.12</v>
      </c>
      <c r="G12" s="196">
        <v>-8.91</v>
      </c>
      <c r="H12" s="196">
        <v>6.51</v>
      </c>
      <c r="I12" s="196">
        <v>-2.5099999999999998</v>
      </c>
      <c r="J12" s="268" t="s">
        <v>13</v>
      </c>
      <c r="K12" s="271" t="s">
        <v>414</v>
      </c>
      <c r="L12" s="80">
        <v>11</v>
      </c>
      <c r="M12" s="81" t="s">
        <v>415</v>
      </c>
      <c r="N12" s="82">
        <v>82.4</v>
      </c>
      <c r="O12" s="83">
        <v>92.11</v>
      </c>
      <c r="P12" s="82">
        <v>74.319999999999993</v>
      </c>
      <c r="Q12" s="83">
        <v>87.25</v>
      </c>
      <c r="R12" s="84">
        <v>-9.7100000000000009</v>
      </c>
      <c r="S12" s="40"/>
      <c r="T12" s="40"/>
      <c r="U12" s="85">
        <v>2006</v>
      </c>
      <c r="V12" s="85">
        <v>74.33</v>
      </c>
      <c r="W12" s="85">
        <v>73.819999999999993</v>
      </c>
      <c r="X12" s="85">
        <v>69.739999999999995</v>
      </c>
      <c r="Y12" s="85">
        <v>71.430000000000007</v>
      </c>
      <c r="Z12" s="85">
        <v>73.430000000000007</v>
      </c>
      <c r="AA12" s="85">
        <v>73</v>
      </c>
      <c r="AB12" s="85">
        <v>73</v>
      </c>
      <c r="AC12" s="85">
        <v>70.81</v>
      </c>
      <c r="AD12" s="40"/>
      <c r="AE12" s="40"/>
      <c r="AF12" s="40"/>
      <c r="AG12" s="40"/>
      <c r="AH12" s="40"/>
      <c r="AI12" s="40"/>
      <c r="AJ12" s="40"/>
      <c r="AK12" s="40"/>
      <c r="AL12" s="40"/>
      <c r="AM12" s="40"/>
      <c r="AN12" s="40"/>
    </row>
    <row r="13" spans="1:40" ht="27" customHeight="1" x14ac:dyDescent="0.25">
      <c r="A13" s="277"/>
      <c r="B13" s="214"/>
      <c r="C13" s="194"/>
      <c r="D13" s="194"/>
      <c r="E13" s="194"/>
      <c r="F13" s="194"/>
      <c r="G13" s="197"/>
      <c r="H13" s="197"/>
      <c r="I13" s="197"/>
      <c r="J13" s="269"/>
      <c r="K13" s="272"/>
      <c r="L13" s="80">
        <v>12</v>
      </c>
      <c r="M13" s="81" t="s">
        <v>416</v>
      </c>
      <c r="N13" s="82">
        <v>82.42</v>
      </c>
      <c r="O13" s="83">
        <v>91.67</v>
      </c>
      <c r="P13" s="82">
        <v>74.2</v>
      </c>
      <c r="Q13" s="82">
        <v>85.16</v>
      </c>
      <c r="R13" s="84">
        <v>-9.25</v>
      </c>
      <c r="S13" s="40"/>
      <c r="T13" s="40"/>
      <c r="U13" s="85">
        <v>2005</v>
      </c>
      <c r="V13" s="85">
        <v>70</v>
      </c>
      <c r="W13" s="85">
        <v>71</v>
      </c>
      <c r="X13" s="85">
        <v>66</v>
      </c>
      <c r="Y13" s="85">
        <v>67</v>
      </c>
      <c r="Z13" s="85">
        <v>69</v>
      </c>
      <c r="AA13" s="85">
        <v>69</v>
      </c>
      <c r="AB13" s="85">
        <v>69</v>
      </c>
      <c r="AC13" s="85">
        <v>66.099999999999994</v>
      </c>
      <c r="AD13" s="40"/>
      <c r="AE13" s="40"/>
      <c r="AF13" s="40"/>
      <c r="AG13" s="40"/>
      <c r="AH13" s="40"/>
      <c r="AI13" s="40"/>
      <c r="AJ13" s="40"/>
      <c r="AK13" s="40"/>
      <c r="AL13" s="40"/>
      <c r="AM13" s="40"/>
      <c r="AN13" s="40"/>
    </row>
    <row r="14" spans="1:40" ht="27" customHeight="1" x14ac:dyDescent="0.25">
      <c r="A14" s="277"/>
      <c r="B14" s="214"/>
      <c r="C14" s="194"/>
      <c r="D14" s="194"/>
      <c r="E14" s="194"/>
      <c r="F14" s="194"/>
      <c r="G14" s="197"/>
      <c r="H14" s="197"/>
      <c r="I14" s="197"/>
      <c r="J14" s="269"/>
      <c r="K14" s="273"/>
      <c r="L14" s="80">
        <v>13</v>
      </c>
      <c r="M14" s="81" t="s">
        <v>417</v>
      </c>
      <c r="N14" s="82">
        <v>85.31</v>
      </c>
      <c r="O14" s="83">
        <v>97.37</v>
      </c>
      <c r="P14" s="82">
        <v>81.02</v>
      </c>
      <c r="Q14" s="82">
        <v>85.17</v>
      </c>
      <c r="R14" s="84">
        <v>-12.06</v>
      </c>
      <c r="S14" s="40"/>
      <c r="T14" s="40"/>
      <c r="U14" s="40"/>
      <c r="V14" s="40"/>
      <c r="W14" s="40"/>
      <c r="X14" s="40"/>
      <c r="Y14" s="40"/>
      <c r="Z14" s="40"/>
      <c r="AA14" s="40"/>
      <c r="AB14" s="40"/>
      <c r="AC14" s="40"/>
      <c r="AD14" s="40"/>
      <c r="AE14" s="40"/>
      <c r="AF14" s="40"/>
      <c r="AG14" s="40"/>
      <c r="AH14" s="40"/>
      <c r="AI14" s="40"/>
      <c r="AJ14" s="40"/>
      <c r="AK14" s="40"/>
      <c r="AL14" s="40"/>
      <c r="AM14" s="40"/>
      <c r="AN14" s="40"/>
    </row>
    <row r="15" spans="1:40" ht="27" customHeight="1" thickBot="1" x14ac:dyDescent="0.3">
      <c r="A15" s="278"/>
      <c r="B15" s="232"/>
      <c r="C15" s="195"/>
      <c r="D15" s="195"/>
      <c r="E15" s="195"/>
      <c r="F15" s="195"/>
      <c r="G15" s="198"/>
      <c r="H15" s="198"/>
      <c r="I15" s="198"/>
      <c r="J15" s="281"/>
      <c r="K15" s="90" t="s">
        <v>418</v>
      </c>
      <c r="L15" s="80">
        <v>14</v>
      </c>
      <c r="M15" s="81" t="s">
        <v>419</v>
      </c>
      <c r="N15" s="83">
        <v>92.33</v>
      </c>
      <c r="O15" s="83">
        <v>96.93</v>
      </c>
      <c r="P15" s="83">
        <v>86.87</v>
      </c>
      <c r="Q15" s="83">
        <v>94.91</v>
      </c>
      <c r="R15" s="91">
        <v>-4.5999999999999996</v>
      </c>
      <c r="S15" s="40"/>
      <c r="T15" s="40"/>
      <c r="U15" s="40"/>
      <c r="V15" s="40"/>
      <c r="W15" s="40"/>
      <c r="X15" s="40"/>
      <c r="Y15" s="40"/>
      <c r="Z15" s="40"/>
      <c r="AA15" s="40"/>
      <c r="AB15" s="40"/>
      <c r="AC15" s="40"/>
      <c r="AD15" s="40"/>
      <c r="AE15" s="40"/>
      <c r="AF15" s="40"/>
      <c r="AG15" s="40"/>
      <c r="AH15" s="40"/>
      <c r="AI15" s="40"/>
      <c r="AJ15" s="40"/>
      <c r="AK15" s="40"/>
      <c r="AL15" s="40"/>
      <c r="AM15" s="40"/>
      <c r="AN15" s="40"/>
    </row>
    <row r="16" spans="1:40" ht="37.5" customHeight="1" thickBot="1" x14ac:dyDescent="0.3">
      <c r="A16" s="71" t="s">
        <v>374</v>
      </c>
      <c r="B16" s="71" t="s">
        <v>375</v>
      </c>
      <c r="C16" s="71">
        <v>2016</v>
      </c>
      <c r="D16" s="71">
        <v>2016</v>
      </c>
      <c r="E16" s="71" t="s">
        <v>376</v>
      </c>
      <c r="F16" s="71" t="s">
        <v>377</v>
      </c>
      <c r="G16" s="71" t="s">
        <v>378</v>
      </c>
      <c r="H16" s="71" t="s">
        <v>379</v>
      </c>
      <c r="I16" s="71" t="s">
        <v>380</v>
      </c>
      <c r="J16" s="206" t="s">
        <v>375</v>
      </c>
      <c r="K16" s="206"/>
      <c r="L16" s="71" t="s">
        <v>381</v>
      </c>
      <c r="M16" s="71" t="s">
        <v>382</v>
      </c>
      <c r="N16" s="71">
        <v>2016</v>
      </c>
      <c r="O16" s="71">
        <v>2016</v>
      </c>
      <c r="P16" s="71" t="s">
        <v>376</v>
      </c>
      <c r="Q16" s="71" t="s">
        <v>377</v>
      </c>
      <c r="R16" s="40"/>
      <c r="S16" s="40"/>
      <c r="T16" s="40"/>
      <c r="U16" s="40"/>
      <c r="V16" s="40"/>
      <c r="W16" s="40"/>
      <c r="X16" s="40"/>
      <c r="Y16" s="40"/>
      <c r="Z16" s="40"/>
      <c r="AA16" s="40"/>
      <c r="AB16" s="40"/>
      <c r="AC16" s="40"/>
      <c r="AD16" s="40"/>
      <c r="AE16" s="40"/>
      <c r="AF16" s="40"/>
      <c r="AG16" s="40"/>
      <c r="AH16" s="40"/>
      <c r="AI16" s="40"/>
      <c r="AJ16" s="40"/>
      <c r="AK16" s="40"/>
      <c r="AL16" s="40"/>
      <c r="AM16" s="40"/>
      <c r="AN16" s="40"/>
    </row>
    <row r="17" spans="1:40" ht="27" customHeight="1" x14ac:dyDescent="0.25">
      <c r="A17" s="210" t="s">
        <v>420</v>
      </c>
      <c r="B17" s="213" t="s">
        <v>14</v>
      </c>
      <c r="C17" s="215">
        <v>82.03</v>
      </c>
      <c r="D17" s="215">
        <v>94.36</v>
      </c>
      <c r="E17" s="215">
        <v>76.66</v>
      </c>
      <c r="F17" s="215">
        <v>87</v>
      </c>
      <c r="G17" s="217">
        <v>-12.33</v>
      </c>
      <c r="H17" s="217">
        <v>5.37</v>
      </c>
      <c r="I17" s="217">
        <v>-4.97</v>
      </c>
      <c r="J17" s="274" t="s">
        <v>14</v>
      </c>
      <c r="K17" s="275" t="s">
        <v>421</v>
      </c>
      <c r="L17" s="80">
        <v>15</v>
      </c>
      <c r="M17" s="81" t="s">
        <v>422</v>
      </c>
      <c r="N17" s="82">
        <v>79.709999999999994</v>
      </c>
      <c r="O17" s="83">
        <v>94.29</v>
      </c>
      <c r="P17" s="82">
        <v>73.25</v>
      </c>
      <c r="Q17" s="83">
        <v>87.27</v>
      </c>
      <c r="R17" s="84">
        <v>-14.58</v>
      </c>
      <c r="S17" s="40"/>
      <c r="T17" s="40"/>
      <c r="U17" s="40"/>
      <c r="V17" s="40"/>
      <c r="W17" s="40"/>
      <c r="X17" s="40"/>
      <c r="Y17" s="40"/>
      <c r="Z17" s="40"/>
      <c r="AA17" s="40"/>
      <c r="AB17" s="40"/>
      <c r="AC17" s="40"/>
      <c r="AD17" s="40"/>
      <c r="AE17" s="40"/>
      <c r="AF17" s="40"/>
      <c r="AG17" s="40"/>
      <c r="AH17" s="40"/>
      <c r="AI17" s="40"/>
      <c r="AJ17" s="40"/>
      <c r="AK17" s="40"/>
      <c r="AL17" s="40"/>
      <c r="AM17" s="40"/>
      <c r="AN17" s="40"/>
    </row>
    <row r="18" spans="1:40" ht="27" customHeight="1" x14ac:dyDescent="0.25">
      <c r="A18" s="211"/>
      <c r="B18" s="214"/>
      <c r="C18" s="194"/>
      <c r="D18" s="194"/>
      <c r="E18" s="194"/>
      <c r="F18" s="194"/>
      <c r="G18" s="197"/>
      <c r="H18" s="197"/>
      <c r="I18" s="197"/>
      <c r="J18" s="264"/>
      <c r="K18" s="258"/>
      <c r="L18" s="80">
        <v>16</v>
      </c>
      <c r="M18" s="81" t="s">
        <v>423</v>
      </c>
      <c r="N18" s="82">
        <v>83.11</v>
      </c>
      <c r="O18" s="83">
        <v>98.25</v>
      </c>
      <c r="P18" s="82">
        <v>82.08</v>
      </c>
      <c r="Q18" s="83">
        <v>88.76</v>
      </c>
      <c r="R18" s="84">
        <v>-15.14</v>
      </c>
      <c r="S18" s="40"/>
      <c r="T18" s="40"/>
      <c r="U18" s="40"/>
      <c r="V18" s="40"/>
      <c r="W18" s="40"/>
      <c r="X18" s="40"/>
      <c r="Y18" s="40"/>
      <c r="Z18" s="40"/>
      <c r="AA18" s="40"/>
      <c r="AB18" s="40"/>
      <c r="AC18" s="40"/>
      <c r="AD18" s="40"/>
      <c r="AE18" s="40"/>
      <c r="AF18" s="40"/>
      <c r="AG18" s="40"/>
      <c r="AH18" s="40"/>
      <c r="AI18" s="40"/>
      <c r="AJ18" s="40"/>
      <c r="AK18" s="40"/>
      <c r="AL18" s="40"/>
      <c r="AM18" s="40"/>
      <c r="AN18" s="40"/>
    </row>
    <row r="19" spans="1:40" ht="27" customHeight="1" x14ac:dyDescent="0.25">
      <c r="A19" s="211"/>
      <c r="B19" s="214"/>
      <c r="C19" s="194"/>
      <c r="D19" s="194"/>
      <c r="E19" s="194"/>
      <c r="F19" s="194"/>
      <c r="G19" s="197"/>
      <c r="H19" s="197"/>
      <c r="I19" s="197"/>
      <c r="J19" s="264"/>
      <c r="K19" s="257" t="s">
        <v>424</v>
      </c>
      <c r="L19" s="80">
        <v>17</v>
      </c>
      <c r="M19" s="81" t="s">
        <v>425</v>
      </c>
      <c r="N19" s="82">
        <v>79.77</v>
      </c>
      <c r="O19" s="83">
        <v>90.81</v>
      </c>
      <c r="P19" s="82">
        <v>70.37</v>
      </c>
      <c r="Q19" s="82">
        <v>83.54</v>
      </c>
      <c r="R19" s="84">
        <v>-11.04</v>
      </c>
      <c r="S19" s="40"/>
      <c r="T19" s="40"/>
      <c r="U19" s="40"/>
      <c r="V19" s="40"/>
      <c r="W19" s="40"/>
      <c r="X19" s="40"/>
      <c r="Y19" s="40"/>
      <c r="Z19" s="40"/>
      <c r="AA19" s="40"/>
      <c r="AB19" s="40"/>
      <c r="AC19" s="40"/>
      <c r="AD19" s="40"/>
      <c r="AE19" s="40"/>
      <c r="AF19" s="40"/>
      <c r="AG19" s="40"/>
      <c r="AH19" s="40"/>
      <c r="AI19" s="40"/>
      <c r="AJ19" s="40"/>
      <c r="AK19" s="40"/>
      <c r="AL19" s="40"/>
      <c r="AM19" s="40"/>
      <c r="AN19" s="40"/>
    </row>
    <row r="20" spans="1:40" ht="27" customHeight="1" x14ac:dyDescent="0.25">
      <c r="A20" s="211"/>
      <c r="B20" s="214"/>
      <c r="C20" s="216"/>
      <c r="D20" s="216"/>
      <c r="E20" s="216"/>
      <c r="F20" s="216"/>
      <c r="G20" s="218"/>
      <c r="H20" s="218"/>
      <c r="I20" s="218"/>
      <c r="J20" s="256"/>
      <c r="K20" s="258"/>
      <c r="L20" s="80">
        <v>18</v>
      </c>
      <c r="M20" s="81" t="s">
        <v>426</v>
      </c>
      <c r="N20" s="83">
        <v>85.53</v>
      </c>
      <c r="O20" s="83">
        <v>94.09</v>
      </c>
      <c r="P20" s="82">
        <v>80.94</v>
      </c>
      <c r="Q20" s="83">
        <v>88.42</v>
      </c>
      <c r="R20" s="84">
        <v>-8.56</v>
      </c>
      <c r="S20" s="40"/>
      <c r="T20" s="40"/>
      <c r="U20" s="40"/>
      <c r="V20" s="40"/>
      <c r="W20" s="40"/>
      <c r="X20" s="40"/>
      <c r="Y20" s="40"/>
      <c r="Z20" s="40"/>
      <c r="AA20" s="40"/>
      <c r="AB20" s="40"/>
      <c r="AC20" s="40"/>
      <c r="AD20" s="40"/>
      <c r="AE20" s="40"/>
      <c r="AF20" s="40"/>
      <c r="AG20" s="40"/>
      <c r="AH20" s="40"/>
      <c r="AI20" s="40"/>
      <c r="AJ20" s="40"/>
      <c r="AK20" s="40"/>
      <c r="AL20" s="40"/>
      <c r="AM20" s="40"/>
      <c r="AN20" s="40"/>
    </row>
    <row r="21" spans="1:40" ht="27" customHeight="1" x14ac:dyDescent="0.25">
      <c r="A21" s="211"/>
      <c r="B21" s="214" t="s">
        <v>15</v>
      </c>
      <c r="C21" s="193">
        <v>81.34</v>
      </c>
      <c r="D21" s="193">
        <v>92.55</v>
      </c>
      <c r="E21" s="193">
        <v>73.13</v>
      </c>
      <c r="F21" s="193">
        <v>86.07</v>
      </c>
      <c r="G21" s="196">
        <v>-11.21</v>
      </c>
      <c r="H21" s="196">
        <v>8.2100000000000009</v>
      </c>
      <c r="I21" s="196">
        <v>-4.7300000000000004</v>
      </c>
      <c r="J21" s="255" t="s">
        <v>15</v>
      </c>
      <c r="K21" s="257" t="s">
        <v>427</v>
      </c>
      <c r="L21" s="80">
        <v>19</v>
      </c>
      <c r="M21" s="81" t="s">
        <v>428</v>
      </c>
      <c r="N21" s="82">
        <v>83.52</v>
      </c>
      <c r="O21" s="83">
        <v>93.22</v>
      </c>
      <c r="P21" s="82">
        <v>76.94</v>
      </c>
      <c r="Q21" s="83">
        <v>88.49</v>
      </c>
      <c r="R21" s="84">
        <v>-9.6999999999999993</v>
      </c>
      <c r="S21" s="40"/>
      <c r="T21" s="40"/>
      <c r="U21" s="40"/>
      <c r="V21" s="40"/>
      <c r="W21" s="40"/>
      <c r="X21" s="40"/>
      <c r="Y21" s="40"/>
      <c r="Z21" s="40"/>
      <c r="AA21" s="40"/>
      <c r="AB21" s="40"/>
      <c r="AC21" s="40"/>
      <c r="AD21" s="40"/>
      <c r="AE21" s="40"/>
      <c r="AF21" s="40"/>
      <c r="AG21" s="40"/>
      <c r="AH21" s="40"/>
      <c r="AI21" s="40"/>
      <c r="AJ21" s="40"/>
      <c r="AK21" s="40"/>
      <c r="AL21" s="40"/>
      <c r="AM21" s="40"/>
      <c r="AN21" s="40"/>
    </row>
    <row r="22" spans="1:40" ht="27" customHeight="1" x14ac:dyDescent="0.25">
      <c r="A22" s="211"/>
      <c r="B22" s="214"/>
      <c r="C22" s="216"/>
      <c r="D22" s="216"/>
      <c r="E22" s="216"/>
      <c r="F22" s="216"/>
      <c r="G22" s="218"/>
      <c r="H22" s="218"/>
      <c r="I22" s="218"/>
      <c r="J22" s="256"/>
      <c r="K22" s="258"/>
      <c r="L22" s="80">
        <v>20</v>
      </c>
      <c r="M22" s="81" t="s">
        <v>429</v>
      </c>
      <c r="N22" s="82">
        <v>79.17</v>
      </c>
      <c r="O22" s="83">
        <v>91.89</v>
      </c>
      <c r="P22" s="82">
        <v>69.31</v>
      </c>
      <c r="Q22" s="82">
        <v>83.64</v>
      </c>
      <c r="R22" s="84">
        <v>-12.72</v>
      </c>
      <c r="S22" s="40"/>
      <c r="T22" s="40"/>
      <c r="U22" s="40"/>
      <c r="V22" s="40"/>
      <c r="W22" s="40"/>
      <c r="X22" s="40"/>
      <c r="Y22" s="40"/>
      <c r="Z22" s="40"/>
      <c r="AA22" s="40"/>
      <c r="AB22" s="40"/>
      <c r="AC22" s="40"/>
      <c r="AD22" s="40"/>
      <c r="AE22" s="40"/>
      <c r="AF22" s="40"/>
      <c r="AG22" s="40"/>
      <c r="AH22" s="40"/>
      <c r="AI22" s="40"/>
      <c r="AJ22" s="40"/>
      <c r="AK22" s="40"/>
      <c r="AL22" s="40"/>
      <c r="AM22" s="40"/>
      <c r="AN22" s="40"/>
    </row>
    <row r="23" spans="1:40" ht="27" customHeight="1" x14ac:dyDescent="0.25">
      <c r="A23" s="211"/>
      <c r="B23" s="214" t="s">
        <v>16</v>
      </c>
      <c r="C23" s="193">
        <v>81.349999999999994</v>
      </c>
      <c r="D23" s="193">
        <v>95.99</v>
      </c>
      <c r="E23" s="193">
        <v>79.02</v>
      </c>
      <c r="F23" s="193">
        <v>89.03</v>
      </c>
      <c r="G23" s="196">
        <v>-14.64</v>
      </c>
      <c r="H23" s="196">
        <v>2.33</v>
      </c>
      <c r="I23" s="196">
        <v>-7.68</v>
      </c>
      <c r="J23" s="255" t="s">
        <v>16</v>
      </c>
      <c r="K23" s="257" t="s">
        <v>430</v>
      </c>
      <c r="L23" s="80">
        <v>21</v>
      </c>
      <c r="M23" s="81" t="s">
        <v>431</v>
      </c>
      <c r="N23" s="83">
        <v>91.17</v>
      </c>
      <c r="O23" s="83">
        <v>98.02</v>
      </c>
      <c r="P23" s="83">
        <v>89.53</v>
      </c>
      <c r="Q23" s="83">
        <v>95.8</v>
      </c>
      <c r="R23" s="84">
        <v>-6.85</v>
      </c>
      <c r="S23" s="40"/>
      <c r="T23" s="40"/>
      <c r="U23" s="40"/>
      <c r="V23" s="40"/>
      <c r="W23" s="40"/>
      <c r="X23" s="40"/>
      <c r="Y23" s="40"/>
      <c r="Z23" s="40"/>
      <c r="AA23" s="40"/>
      <c r="AB23" s="40"/>
      <c r="AC23" s="40"/>
      <c r="AD23" s="40"/>
      <c r="AE23" s="40"/>
      <c r="AF23" s="40"/>
      <c r="AG23" s="40"/>
      <c r="AH23" s="40"/>
      <c r="AI23" s="40"/>
      <c r="AJ23" s="40"/>
      <c r="AK23" s="40"/>
      <c r="AL23" s="40"/>
      <c r="AM23" s="40"/>
      <c r="AN23" s="40"/>
    </row>
    <row r="24" spans="1:40" ht="27" customHeight="1" x14ac:dyDescent="0.25">
      <c r="A24" s="211"/>
      <c r="B24" s="214"/>
      <c r="C24" s="194"/>
      <c r="D24" s="194"/>
      <c r="E24" s="194"/>
      <c r="F24" s="194"/>
      <c r="G24" s="197"/>
      <c r="H24" s="197"/>
      <c r="I24" s="197"/>
      <c r="J24" s="264"/>
      <c r="K24" s="266"/>
      <c r="L24" s="80">
        <v>22</v>
      </c>
      <c r="M24" s="81" t="s">
        <v>432</v>
      </c>
      <c r="N24" s="82">
        <v>69.52</v>
      </c>
      <c r="O24" s="83">
        <v>94.3</v>
      </c>
      <c r="P24" s="82">
        <v>76.599999999999994</v>
      </c>
      <c r="Q24" s="83">
        <v>87.39</v>
      </c>
      <c r="R24" s="84">
        <v>-24.78</v>
      </c>
      <c r="S24" s="40"/>
      <c r="T24" s="40"/>
      <c r="U24" s="40"/>
      <c r="V24" s="40"/>
      <c r="W24" s="40"/>
      <c r="X24" s="40"/>
      <c r="Y24" s="40"/>
      <c r="Z24" s="40"/>
      <c r="AA24" s="40"/>
      <c r="AB24" s="40"/>
      <c r="AC24" s="40"/>
      <c r="AD24" s="40"/>
      <c r="AE24" s="40"/>
      <c r="AF24" s="40"/>
      <c r="AG24" s="40"/>
      <c r="AH24" s="40"/>
      <c r="AI24" s="40"/>
      <c r="AJ24" s="40"/>
      <c r="AK24" s="40"/>
      <c r="AL24" s="40"/>
      <c r="AM24" s="40"/>
      <c r="AN24" s="40"/>
    </row>
    <row r="25" spans="1:40" ht="27" customHeight="1" x14ac:dyDescent="0.25">
      <c r="A25" s="211"/>
      <c r="B25" s="214"/>
      <c r="C25" s="194"/>
      <c r="D25" s="194"/>
      <c r="E25" s="194"/>
      <c r="F25" s="194"/>
      <c r="G25" s="197"/>
      <c r="H25" s="197"/>
      <c r="I25" s="197"/>
      <c r="J25" s="264"/>
      <c r="K25" s="258"/>
      <c r="L25" s="80">
        <v>23</v>
      </c>
      <c r="M25" s="81" t="s">
        <v>433</v>
      </c>
      <c r="N25" s="82">
        <v>80.98</v>
      </c>
      <c r="O25" s="83">
        <v>96.06</v>
      </c>
      <c r="P25" s="82">
        <v>80.63</v>
      </c>
      <c r="Q25" s="83">
        <v>92.73</v>
      </c>
      <c r="R25" s="84">
        <v>-15.08</v>
      </c>
      <c r="S25" s="40"/>
      <c r="T25" s="40"/>
      <c r="U25" s="40"/>
      <c r="V25" s="40"/>
      <c r="W25" s="40"/>
      <c r="X25" s="40"/>
      <c r="Y25" s="40"/>
      <c r="Z25" s="40"/>
      <c r="AA25" s="40"/>
      <c r="AB25" s="40"/>
      <c r="AC25" s="40"/>
      <c r="AD25" s="40"/>
      <c r="AE25" s="40"/>
      <c r="AF25" s="40"/>
      <c r="AG25" s="40"/>
      <c r="AH25" s="40"/>
      <c r="AI25" s="40"/>
      <c r="AJ25" s="40"/>
      <c r="AK25" s="40"/>
      <c r="AL25" s="40"/>
      <c r="AM25" s="40"/>
      <c r="AN25" s="40"/>
    </row>
    <row r="26" spans="1:40" ht="27" customHeight="1" x14ac:dyDescent="0.25">
      <c r="A26" s="211"/>
      <c r="B26" s="214"/>
      <c r="C26" s="194"/>
      <c r="D26" s="194"/>
      <c r="E26" s="194"/>
      <c r="F26" s="194"/>
      <c r="G26" s="197"/>
      <c r="H26" s="197"/>
      <c r="I26" s="197"/>
      <c r="J26" s="264"/>
      <c r="K26" s="257" t="s">
        <v>434</v>
      </c>
      <c r="L26" s="80">
        <v>24</v>
      </c>
      <c r="M26" s="81" t="s">
        <v>435</v>
      </c>
      <c r="N26" s="82">
        <v>84.76</v>
      </c>
      <c r="O26" s="83">
        <v>94.53</v>
      </c>
      <c r="P26" s="82">
        <v>84.95</v>
      </c>
      <c r="Q26" s="83">
        <v>89.49</v>
      </c>
      <c r="R26" s="84">
        <v>-9.77</v>
      </c>
      <c r="S26" s="40"/>
      <c r="T26" s="40"/>
      <c r="U26" s="40"/>
      <c r="V26" s="40"/>
      <c r="W26" s="40"/>
      <c r="X26" s="40"/>
      <c r="Y26" s="40"/>
      <c r="Z26" s="40"/>
      <c r="AA26" s="40"/>
      <c r="AB26" s="40"/>
      <c r="AC26" s="40"/>
      <c r="AD26" s="40"/>
      <c r="AE26" s="40"/>
      <c r="AF26" s="40"/>
      <c r="AG26" s="40"/>
      <c r="AH26" s="40"/>
      <c r="AI26" s="40"/>
      <c r="AJ26" s="40"/>
      <c r="AK26" s="40"/>
      <c r="AL26" s="40"/>
      <c r="AM26" s="40"/>
      <c r="AN26" s="40"/>
    </row>
    <row r="27" spans="1:40" ht="27" customHeight="1" x14ac:dyDescent="0.25">
      <c r="A27" s="211"/>
      <c r="B27" s="214"/>
      <c r="C27" s="194"/>
      <c r="D27" s="194"/>
      <c r="E27" s="194"/>
      <c r="F27" s="194"/>
      <c r="G27" s="197"/>
      <c r="H27" s="197"/>
      <c r="I27" s="197"/>
      <c r="J27" s="264"/>
      <c r="K27" s="266"/>
      <c r="L27" s="80">
        <v>25</v>
      </c>
      <c r="M27" s="81" t="s">
        <v>436</v>
      </c>
      <c r="N27" s="82">
        <v>75.88</v>
      </c>
      <c r="O27" s="83">
        <v>95.62</v>
      </c>
      <c r="P27" s="82">
        <v>70.97</v>
      </c>
      <c r="Q27" s="82">
        <v>79.06</v>
      </c>
      <c r="R27" s="84">
        <v>-19.739999999999998</v>
      </c>
      <c r="S27" s="40"/>
      <c r="T27" s="40"/>
      <c r="U27" s="40"/>
      <c r="V27" s="40"/>
      <c r="W27" s="40"/>
      <c r="X27" s="40"/>
      <c r="Y27" s="40"/>
      <c r="Z27" s="40"/>
      <c r="AA27" s="40"/>
      <c r="AB27" s="40"/>
      <c r="AC27" s="40"/>
      <c r="AD27" s="40"/>
      <c r="AE27" s="40"/>
      <c r="AF27" s="40"/>
      <c r="AG27" s="40"/>
      <c r="AH27" s="40"/>
      <c r="AI27" s="40"/>
      <c r="AJ27" s="40"/>
      <c r="AK27" s="40"/>
      <c r="AL27" s="40"/>
      <c r="AM27" s="40"/>
      <c r="AN27" s="40"/>
    </row>
    <row r="28" spans="1:40" ht="27" customHeight="1" x14ac:dyDescent="0.25">
      <c r="A28" s="211"/>
      <c r="B28" s="214"/>
      <c r="C28" s="194"/>
      <c r="D28" s="194"/>
      <c r="E28" s="194"/>
      <c r="F28" s="194"/>
      <c r="G28" s="197"/>
      <c r="H28" s="197"/>
      <c r="I28" s="197"/>
      <c r="J28" s="264"/>
      <c r="K28" s="266"/>
      <c r="L28" s="80">
        <v>26</v>
      </c>
      <c r="M28" s="81" t="s">
        <v>437</v>
      </c>
      <c r="N28" s="82">
        <v>85.43</v>
      </c>
      <c r="O28" s="83">
        <v>94.97</v>
      </c>
      <c r="P28" s="82">
        <v>78.45</v>
      </c>
      <c r="Q28" s="83">
        <v>88.16</v>
      </c>
      <c r="R28" s="84">
        <v>-9.5399999999999991</v>
      </c>
      <c r="S28" s="40"/>
      <c r="T28" s="40"/>
      <c r="U28" s="40"/>
      <c r="V28" s="40"/>
      <c r="W28" s="40"/>
      <c r="X28" s="40"/>
      <c r="Y28" s="40"/>
      <c r="Z28" s="40"/>
      <c r="AA28" s="40"/>
      <c r="AB28" s="40"/>
      <c r="AC28" s="40"/>
      <c r="AD28" s="40"/>
      <c r="AE28" s="40"/>
      <c r="AF28" s="40"/>
      <c r="AG28" s="40"/>
      <c r="AH28" s="40"/>
      <c r="AI28" s="40"/>
      <c r="AJ28" s="40"/>
      <c r="AK28" s="40"/>
      <c r="AL28" s="40"/>
      <c r="AM28" s="40"/>
      <c r="AN28" s="40"/>
    </row>
    <row r="29" spans="1:40" ht="27" customHeight="1" thickBot="1" x14ac:dyDescent="0.3">
      <c r="A29" s="212"/>
      <c r="B29" s="232"/>
      <c r="C29" s="195"/>
      <c r="D29" s="195"/>
      <c r="E29" s="195"/>
      <c r="F29" s="195"/>
      <c r="G29" s="198"/>
      <c r="H29" s="198"/>
      <c r="I29" s="198"/>
      <c r="J29" s="265"/>
      <c r="K29" s="267"/>
      <c r="L29" s="80">
        <v>27</v>
      </c>
      <c r="M29" s="81" t="s">
        <v>438</v>
      </c>
      <c r="N29" s="82">
        <v>81.680000000000007</v>
      </c>
      <c r="O29" s="83">
        <v>98.46</v>
      </c>
      <c r="P29" s="82">
        <v>72.040000000000006</v>
      </c>
      <c r="Q29" s="83">
        <v>90.55</v>
      </c>
      <c r="R29" s="84">
        <v>-16.78</v>
      </c>
      <c r="S29" s="40"/>
      <c r="T29" s="40"/>
      <c r="U29" s="40"/>
      <c r="V29" s="40"/>
      <c r="W29" s="40"/>
      <c r="X29" s="40"/>
      <c r="Y29" s="40"/>
      <c r="Z29" s="40"/>
      <c r="AA29" s="40"/>
      <c r="AB29" s="40"/>
      <c r="AC29" s="40"/>
      <c r="AD29" s="40"/>
      <c r="AE29" s="40"/>
      <c r="AF29" s="40"/>
      <c r="AG29" s="40"/>
      <c r="AH29" s="40"/>
      <c r="AI29" s="40"/>
      <c r="AJ29" s="40"/>
      <c r="AK29" s="40"/>
      <c r="AL29" s="40"/>
      <c r="AM29" s="40"/>
      <c r="AN29" s="40"/>
    </row>
    <row r="30" spans="1:40" ht="37.5" customHeight="1" thickBot="1" x14ac:dyDescent="0.3">
      <c r="A30" s="71" t="s">
        <v>374</v>
      </c>
      <c r="B30" s="71" t="s">
        <v>375</v>
      </c>
      <c r="C30" s="71">
        <v>2016</v>
      </c>
      <c r="D30" s="71">
        <v>2016</v>
      </c>
      <c r="E30" s="71" t="s">
        <v>376</v>
      </c>
      <c r="F30" s="71" t="s">
        <v>377</v>
      </c>
      <c r="G30" s="71" t="s">
        <v>378</v>
      </c>
      <c r="H30" s="71" t="s">
        <v>379</v>
      </c>
      <c r="I30" s="71" t="s">
        <v>380</v>
      </c>
      <c r="J30" s="206" t="s">
        <v>375</v>
      </c>
      <c r="K30" s="206"/>
      <c r="L30" s="71" t="s">
        <v>381</v>
      </c>
      <c r="M30" s="71" t="s">
        <v>382</v>
      </c>
      <c r="N30" s="71">
        <v>2016</v>
      </c>
      <c r="O30" s="71">
        <v>2016</v>
      </c>
      <c r="P30" s="71" t="s">
        <v>376</v>
      </c>
      <c r="Q30" s="71" t="s">
        <v>377</v>
      </c>
      <c r="R30" s="40"/>
      <c r="S30" s="40"/>
      <c r="T30" s="40"/>
      <c r="U30" s="40"/>
      <c r="V30" s="40"/>
      <c r="W30" s="40"/>
      <c r="X30" s="40"/>
      <c r="Y30" s="40"/>
      <c r="Z30" s="40"/>
      <c r="AA30" s="40"/>
      <c r="AB30" s="40"/>
      <c r="AC30" s="40"/>
      <c r="AD30" s="40"/>
      <c r="AE30" s="40"/>
      <c r="AF30" s="40"/>
      <c r="AG30" s="40"/>
      <c r="AH30" s="40"/>
      <c r="AI30" s="40"/>
      <c r="AJ30" s="40"/>
      <c r="AK30" s="40"/>
      <c r="AL30" s="40"/>
      <c r="AM30" s="40"/>
      <c r="AN30" s="40"/>
    </row>
    <row r="31" spans="1:40" ht="27" customHeight="1" x14ac:dyDescent="0.25">
      <c r="A31" s="261" t="s">
        <v>439</v>
      </c>
      <c r="B31" s="213" t="s">
        <v>17</v>
      </c>
      <c r="C31" s="215">
        <v>68.510000000000005</v>
      </c>
      <c r="D31" s="215">
        <v>91.02</v>
      </c>
      <c r="E31" s="215">
        <v>63.26</v>
      </c>
      <c r="F31" s="215">
        <v>76.400000000000006</v>
      </c>
      <c r="G31" s="217">
        <v>-22.51</v>
      </c>
      <c r="H31" s="217">
        <v>5.25</v>
      </c>
      <c r="I31" s="217">
        <v>-7.89</v>
      </c>
      <c r="J31" s="243" t="s">
        <v>17</v>
      </c>
      <c r="K31" s="259" t="s">
        <v>440</v>
      </c>
      <c r="L31" s="80">
        <v>28</v>
      </c>
      <c r="M31" s="81" t="s">
        <v>441</v>
      </c>
      <c r="N31" s="82">
        <v>63.94</v>
      </c>
      <c r="O31" s="83">
        <v>87.97</v>
      </c>
      <c r="P31" s="92">
        <v>51.79</v>
      </c>
      <c r="Q31" s="82">
        <v>68.03</v>
      </c>
      <c r="R31" s="84">
        <v>-24.03</v>
      </c>
      <c r="S31" s="40"/>
      <c r="T31" s="40"/>
      <c r="U31" s="40"/>
      <c r="V31" s="40"/>
      <c r="W31" s="40"/>
      <c r="X31" s="40"/>
      <c r="Y31" s="40"/>
      <c r="Z31" s="40"/>
      <c r="AA31" s="40"/>
      <c r="AB31" s="40"/>
      <c r="AC31" s="40"/>
      <c r="AD31" s="40"/>
      <c r="AE31" s="40"/>
      <c r="AF31" s="40"/>
      <c r="AG31" s="40"/>
      <c r="AH31" s="40"/>
      <c r="AI31" s="40"/>
      <c r="AJ31" s="40"/>
      <c r="AK31" s="40"/>
      <c r="AL31" s="40"/>
      <c r="AM31" s="40"/>
      <c r="AN31" s="40"/>
    </row>
    <row r="32" spans="1:40" ht="27" customHeight="1" x14ac:dyDescent="0.25">
      <c r="A32" s="262"/>
      <c r="B32" s="214"/>
      <c r="C32" s="194"/>
      <c r="D32" s="194"/>
      <c r="E32" s="194"/>
      <c r="F32" s="194"/>
      <c r="G32" s="197"/>
      <c r="H32" s="197"/>
      <c r="I32" s="197"/>
      <c r="J32" s="244"/>
      <c r="K32" s="250"/>
      <c r="L32" s="80">
        <v>29</v>
      </c>
      <c r="M32" s="81" t="s">
        <v>442</v>
      </c>
      <c r="N32" s="92">
        <v>45.85</v>
      </c>
      <c r="O32" s="82">
        <v>83.55</v>
      </c>
      <c r="P32" s="92">
        <v>44.68</v>
      </c>
      <c r="Q32" s="92">
        <v>58.33</v>
      </c>
      <c r="R32" s="84">
        <v>-37.700000000000003</v>
      </c>
      <c r="S32" s="40"/>
      <c r="T32" s="40"/>
      <c r="U32" s="40"/>
      <c r="V32" s="40"/>
      <c r="W32" s="40"/>
      <c r="X32" s="40"/>
      <c r="Y32" s="40"/>
      <c r="Z32" s="40"/>
      <c r="AA32" s="40"/>
      <c r="AB32" s="40"/>
      <c r="AC32" s="40"/>
      <c r="AD32" s="40"/>
      <c r="AE32" s="40"/>
      <c r="AF32" s="40"/>
      <c r="AG32" s="40"/>
      <c r="AH32" s="40"/>
      <c r="AI32" s="40"/>
      <c r="AJ32" s="40"/>
      <c r="AK32" s="40"/>
      <c r="AL32" s="40"/>
      <c r="AM32" s="40"/>
      <c r="AN32" s="40"/>
    </row>
    <row r="33" spans="1:40" ht="27" customHeight="1" x14ac:dyDescent="0.25">
      <c r="A33" s="262"/>
      <c r="B33" s="214"/>
      <c r="C33" s="194"/>
      <c r="D33" s="194"/>
      <c r="E33" s="194"/>
      <c r="F33" s="194"/>
      <c r="G33" s="197"/>
      <c r="H33" s="197"/>
      <c r="I33" s="197"/>
      <c r="J33" s="244"/>
      <c r="K33" s="260" t="s">
        <v>443</v>
      </c>
      <c r="L33" s="80">
        <v>30</v>
      </c>
      <c r="M33" s="81" t="s">
        <v>444</v>
      </c>
      <c r="N33" s="82">
        <v>72.17</v>
      </c>
      <c r="O33" s="83">
        <v>93.65</v>
      </c>
      <c r="P33" s="82">
        <v>65.959999999999994</v>
      </c>
      <c r="Q33" s="82">
        <v>83.3</v>
      </c>
      <c r="R33" s="84">
        <v>-21.48</v>
      </c>
      <c r="S33" s="40"/>
      <c r="T33" s="40"/>
      <c r="U33" s="40"/>
      <c r="V33" s="40"/>
      <c r="W33" s="40"/>
      <c r="X33" s="40"/>
      <c r="Y33" s="40"/>
      <c r="Z33" s="40"/>
      <c r="AA33" s="40"/>
      <c r="AB33" s="40"/>
      <c r="AC33" s="40"/>
      <c r="AD33" s="40"/>
      <c r="AE33" s="40"/>
      <c r="AF33" s="40"/>
      <c r="AG33" s="40"/>
      <c r="AH33" s="40"/>
      <c r="AI33" s="40"/>
      <c r="AJ33" s="40"/>
      <c r="AK33" s="40"/>
      <c r="AL33" s="40"/>
      <c r="AM33" s="40"/>
      <c r="AN33" s="40"/>
    </row>
    <row r="34" spans="1:40" ht="27" customHeight="1" x14ac:dyDescent="0.25">
      <c r="A34" s="262"/>
      <c r="B34" s="214"/>
      <c r="C34" s="216"/>
      <c r="D34" s="216"/>
      <c r="E34" s="216"/>
      <c r="F34" s="216"/>
      <c r="G34" s="218"/>
      <c r="H34" s="218"/>
      <c r="I34" s="218"/>
      <c r="J34" s="245"/>
      <c r="K34" s="250"/>
      <c r="L34" s="80">
        <v>31</v>
      </c>
      <c r="M34" s="81" t="s">
        <v>445</v>
      </c>
      <c r="N34" s="83">
        <v>92.08</v>
      </c>
      <c r="O34" s="83">
        <v>98.9</v>
      </c>
      <c r="P34" s="83">
        <v>90.62</v>
      </c>
      <c r="Q34" s="83">
        <v>95.96</v>
      </c>
      <c r="R34" s="84">
        <v>-6.82</v>
      </c>
      <c r="S34" s="40"/>
      <c r="T34" s="40"/>
      <c r="U34" s="40"/>
      <c r="V34" s="40"/>
      <c r="W34" s="40"/>
      <c r="X34" s="40"/>
      <c r="Y34" s="40"/>
      <c r="Z34" s="40"/>
      <c r="AA34" s="40"/>
      <c r="AB34" s="40"/>
      <c r="AC34" s="40"/>
      <c r="AD34" s="40"/>
      <c r="AE34" s="40"/>
      <c r="AF34" s="40"/>
      <c r="AG34" s="40"/>
      <c r="AH34" s="40"/>
      <c r="AI34" s="40"/>
      <c r="AJ34" s="40"/>
      <c r="AK34" s="40"/>
      <c r="AL34" s="40"/>
      <c r="AM34" s="40"/>
      <c r="AN34" s="40"/>
    </row>
    <row r="35" spans="1:40" ht="27" customHeight="1" x14ac:dyDescent="0.25">
      <c r="A35" s="262"/>
      <c r="B35" s="214" t="s">
        <v>18</v>
      </c>
      <c r="C35" s="193">
        <v>67.98</v>
      </c>
      <c r="D35" s="193">
        <v>86.62</v>
      </c>
      <c r="E35" s="193">
        <v>64.150000000000006</v>
      </c>
      <c r="F35" s="193">
        <v>78.08</v>
      </c>
      <c r="G35" s="196">
        <v>-18.64</v>
      </c>
      <c r="H35" s="196">
        <v>3.83</v>
      </c>
      <c r="I35" s="196">
        <v>-10.1</v>
      </c>
      <c r="J35" s="251" t="s">
        <v>18</v>
      </c>
      <c r="K35" s="252"/>
      <c r="L35" s="80">
        <v>32</v>
      </c>
      <c r="M35" s="81" t="s">
        <v>446</v>
      </c>
      <c r="N35" s="92">
        <v>58.81</v>
      </c>
      <c r="O35" s="82">
        <v>83.99</v>
      </c>
      <c r="P35" s="92">
        <v>59.33</v>
      </c>
      <c r="Q35" s="82">
        <v>74.95</v>
      </c>
      <c r="R35" s="84">
        <v>-25.18</v>
      </c>
      <c r="S35" s="40"/>
      <c r="T35" s="40"/>
      <c r="U35" s="40"/>
      <c r="V35" s="40"/>
      <c r="W35" s="40"/>
      <c r="X35" s="40"/>
      <c r="Y35" s="40"/>
      <c r="Z35" s="40"/>
      <c r="AA35" s="40"/>
      <c r="AB35" s="40"/>
      <c r="AC35" s="40"/>
      <c r="AD35" s="40"/>
      <c r="AE35" s="40"/>
      <c r="AF35" s="40"/>
      <c r="AG35" s="40"/>
      <c r="AH35" s="40"/>
      <c r="AI35" s="40"/>
      <c r="AJ35" s="40"/>
      <c r="AK35" s="40"/>
      <c r="AL35" s="40"/>
      <c r="AM35" s="40"/>
      <c r="AN35" s="40"/>
    </row>
    <row r="36" spans="1:40" ht="27" customHeight="1" x14ac:dyDescent="0.25">
      <c r="A36" s="262"/>
      <c r="B36" s="214"/>
      <c r="C36" s="194"/>
      <c r="D36" s="194"/>
      <c r="E36" s="194"/>
      <c r="F36" s="194"/>
      <c r="G36" s="197"/>
      <c r="H36" s="197"/>
      <c r="I36" s="197"/>
      <c r="J36" s="251"/>
      <c r="K36" s="252"/>
      <c r="L36" s="80">
        <v>33</v>
      </c>
      <c r="M36" s="81" t="s">
        <v>447</v>
      </c>
      <c r="N36" s="82">
        <v>73.19</v>
      </c>
      <c r="O36" s="83">
        <v>85.93</v>
      </c>
      <c r="P36" s="82">
        <v>64.44</v>
      </c>
      <c r="Q36" s="82">
        <v>75.44</v>
      </c>
      <c r="R36" s="84">
        <v>-12.74</v>
      </c>
      <c r="S36" s="40"/>
      <c r="T36" s="40"/>
      <c r="U36" s="40"/>
      <c r="V36" s="40"/>
      <c r="W36" s="40"/>
      <c r="X36" s="40"/>
      <c r="Y36" s="40"/>
      <c r="Z36" s="40"/>
      <c r="AA36" s="40"/>
      <c r="AB36" s="40"/>
      <c r="AC36" s="40"/>
      <c r="AD36" s="40"/>
      <c r="AE36" s="40"/>
      <c r="AF36" s="40"/>
      <c r="AG36" s="40"/>
      <c r="AH36" s="40"/>
      <c r="AI36" s="40"/>
      <c r="AJ36" s="40"/>
      <c r="AK36" s="40"/>
      <c r="AL36" s="40"/>
      <c r="AM36" s="40"/>
      <c r="AN36" s="40"/>
    </row>
    <row r="37" spans="1:40" ht="27" customHeight="1" x14ac:dyDescent="0.25">
      <c r="A37" s="262"/>
      <c r="B37" s="214"/>
      <c r="C37" s="216"/>
      <c r="D37" s="216"/>
      <c r="E37" s="216"/>
      <c r="F37" s="216"/>
      <c r="G37" s="218"/>
      <c r="H37" s="218"/>
      <c r="I37" s="218"/>
      <c r="J37" s="253"/>
      <c r="K37" s="254"/>
      <c r="L37" s="80">
        <v>34</v>
      </c>
      <c r="M37" s="81" t="s">
        <v>448</v>
      </c>
      <c r="N37" s="82">
        <v>71.930000000000007</v>
      </c>
      <c r="O37" s="83">
        <v>89.93</v>
      </c>
      <c r="P37" s="82">
        <v>68.69</v>
      </c>
      <c r="Q37" s="82">
        <v>83.84</v>
      </c>
      <c r="R37" s="84">
        <v>-18</v>
      </c>
      <c r="S37" s="40"/>
      <c r="T37" s="40"/>
      <c r="U37" s="40"/>
      <c r="V37" s="40"/>
      <c r="W37" s="40"/>
      <c r="X37" s="40"/>
      <c r="Y37" s="40"/>
      <c r="Z37" s="40"/>
      <c r="AA37" s="40"/>
      <c r="AB37" s="40"/>
      <c r="AC37" s="40"/>
      <c r="AD37" s="40"/>
      <c r="AE37" s="40"/>
      <c r="AF37" s="40"/>
      <c r="AG37" s="40"/>
      <c r="AH37" s="40"/>
      <c r="AI37" s="40"/>
      <c r="AJ37" s="40"/>
      <c r="AK37" s="40"/>
      <c r="AL37" s="40"/>
      <c r="AM37" s="40"/>
      <c r="AN37" s="40"/>
    </row>
    <row r="38" spans="1:40" ht="27" customHeight="1" x14ac:dyDescent="0.25">
      <c r="A38" s="262"/>
      <c r="B38" s="214" t="s">
        <v>19</v>
      </c>
      <c r="C38" s="193">
        <v>91.08</v>
      </c>
      <c r="D38" s="193">
        <v>98.07</v>
      </c>
      <c r="E38" s="193">
        <v>90.14</v>
      </c>
      <c r="F38" s="193">
        <v>95.2</v>
      </c>
      <c r="G38" s="196">
        <v>-6.99</v>
      </c>
      <c r="H38" s="196">
        <v>0.94</v>
      </c>
      <c r="I38" s="196">
        <v>-4.12</v>
      </c>
      <c r="J38" s="246" t="s">
        <v>19</v>
      </c>
      <c r="K38" s="248" t="s">
        <v>449</v>
      </c>
      <c r="L38" s="80">
        <v>35</v>
      </c>
      <c r="M38" s="81" t="s">
        <v>450</v>
      </c>
      <c r="N38" s="82">
        <v>85.43</v>
      </c>
      <c r="O38" s="83">
        <v>97.58</v>
      </c>
      <c r="P38" s="83">
        <v>88.19</v>
      </c>
      <c r="Q38" s="83">
        <v>94.22</v>
      </c>
      <c r="R38" s="84">
        <v>-12.15</v>
      </c>
      <c r="S38" s="40"/>
      <c r="T38" s="40"/>
      <c r="U38" s="40"/>
      <c r="V38" s="40"/>
      <c r="W38" s="40"/>
      <c r="X38" s="40"/>
      <c r="Y38" s="40"/>
      <c r="Z38" s="40"/>
      <c r="AA38" s="40"/>
      <c r="AB38" s="40"/>
      <c r="AC38" s="40"/>
      <c r="AD38" s="40"/>
      <c r="AE38" s="40"/>
      <c r="AF38" s="40"/>
      <c r="AG38" s="40"/>
      <c r="AH38" s="40"/>
      <c r="AI38" s="40"/>
      <c r="AJ38" s="40"/>
      <c r="AK38" s="40"/>
      <c r="AL38" s="40"/>
      <c r="AM38" s="40"/>
      <c r="AN38" s="40"/>
    </row>
    <row r="39" spans="1:40" ht="27" customHeight="1" x14ac:dyDescent="0.25">
      <c r="A39" s="262"/>
      <c r="B39" s="214"/>
      <c r="C39" s="194"/>
      <c r="D39" s="194"/>
      <c r="E39" s="194"/>
      <c r="F39" s="194"/>
      <c r="G39" s="197"/>
      <c r="H39" s="197"/>
      <c r="I39" s="197"/>
      <c r="J39" s="244"/>
      <c r="K39" s="249"/>
      <c r="L39" s="80">
        <v>36</v>
      </c>
      <c r="M39" s="81" t="s">
        <v>451</v>
      </c>
      <c r="N39" s="83">
        <v>96.52</v>
      </c>
      <c r="O39" s="83">
        <v>99.12</v>
      </c>
      <c r="P39" s="83">
        <v>94.83</v>
      </c>
      <c r="Q39" s="83">
        <v>96.73</v>
      </c>
      <c r="R39" s="91">
        <v>-2.6</v>
      </c>
      <c r="S39" s="40"/>
      <c r="T39" s="40"/>
      <c r="U39" s="40"/>
      <c r="V39" s="40"/>
      <c r="W39" s="40"/>
      <c r="X39" s="40"/>
      <c r="Y39" s="40"/>
      <c r="Z39" s="40"/>
      <c r="AA39" s="40"/>
      <c r="AB39" s="40"/>
      <c r="AC39" s="40"/>
      <c r="AD39" s="40"/>
      <c r="AE39" s="40"/>
      <c r="AF39" s="40"/>
      <c r="AG39" s="40"/>
      <c r="AH39" s="40"/>
      <c r="AI39" s="40"/>
      <c r="AJ39" s="40"/>
      <c r="AK39" s="40"/>
      <c r="AL39" s="40"/>
      <c r="AM39" s="40"/>
      <c r="AN39" s="40"/>
    </row>
    <row r="40" spans="1:40" ht="27" customHeight="1" x14ac:dyDescent="0.25">
      <c r="A40" s="262"/>
      <c r="B40" s="214"/>
      <c r="C40" s="194"/>
      <c r="D40" s="194"/>
      <c r="E40" s="194"/>
      <c r="F40" s="194"/>
      <c r="G40" s="197"/>
      <c r="H40" s="197"/>
      <c r="I40" s="197"/>
      <c r="J40" s="244"/>
      <c r="K40" s="249"/>
      <c r="L40" s="80">
        <v>37</v>
      </c>
      <c r="M40" s="81" t="s">
        <v>452</v>
      </c>
      <c r="N40" s="83">
        <v>94.97</v>
      </c>
      <c r="O40" s="83">
        <v>98.68</v>
      </c>
      <c r="P40" s="83">
        <v>93.52</v>
      </c>
      <c r="Q40" s="83">
        <v>97.62</v>
      </c>
      <c r="R40" s="91">
        <v>-3.71</v>
      </c>
      <c r="S40" s="40"/>
      <c r="T40" s="40"/>
      <c r="U40" s="40"/>
      <c r="V40" s="40"/>
      <c r="W40" s="40"/>
      <c r="X40" s="40"/>
      <c r="Y40" s="40"/>
      <c r="Z40" s="40"/>
      <c r="AA40" s="40"/>
      <c r="AB40" s="40"/>
      <c r="AC40" s="40"/>
      <c r="AD40" s="40"/>
      <c r="AE40" s="40"/>
      <c r="AF40" s="40"/>
      <c r="AG40" s="40"/>
      <c r="AH40" s="40"/>
      <c r="AI40" s="40"/>
      <c r="AJ40" s="40"/>
      <c r="AK40" s="40"/>
      <c r="AL40" s="40"/>
      <c r="AM40" s="40"/>
      <c r="AN40" s="40"/>
    </row>
    <row r="41" spans="1:40" ht="27" customHeight="1" x14ac:dyDescent="0.25">
      <c r="A41" s="262"/>
      <c r="B41" s="214"/>
      <c r="C41" s="194"/>
      <c r="D41" s="194"/>
      <c r="E41" s="194"/>
      <c r="F41" s="194"/>
      <c r="G41" s="197"/>
      <c r="H41" s="197"/>
      <c r="I41" s="197"/>
      <c r="J41" s="244"/>
      <c r="K41" s="250"/>
      <c r="L41" s="80">
        <v>38</v>
      </c>
      <c r="M41" s="81" t="s">
        <v>453</v>
      </c>
      <c r="N41" s="83">
        <v>93.83</v>
      </c>
      <c r="O41" s="83">
        <v>99.12</v>
      </c>
      <c r="P41" s="83">
        <v>92.24</v>
      </c>
      <c r="Q41" s="83">
        <v>96.57</v>
      </c>
      <c r="R41" s="84">
        <v>-5.29</v>
      </c>
      <c r="S41" s="40"/>
      <c r="T41" s="40"/>
      <c r="U41" s="40"/>
      <c r="V41" s="40"/>
      <c r="W41" s="40"/>
      <c r="X41" s="40"/>
      <c r="Y41" s="40"/>
      <c r="Z41" s="40"/>
      <c r="AA41" s="40"/>
      <c r="AB41" s="40"/>
      <c r="AC41" s="40"/>
      <c r="AD41" s="40"/>
      <c r="AE41" s="40"/>
      <c r="AF41" s="40"/>
      <c r="AG41" s="40"/>
      <c r="AH41" s="40"/>
      <c r="AI41" s="40"/>
      <c r="AJ41" s="40"/>
      <c r="AK41" s="40"/>
      <c r="AL41" s="40"/>
      <c r="AM41" s="40"/>
      <c r="AN41" s="40"/>
    </row>
    <row r="42" spans="1:40" ht="27" customHeight="1" thickBot="1" x14ac:dyDescent="0.3">
      <c r="A42" s="263"/>
      <c r="B42" s="232"/>
      <c r="C42" s="195"/>
      <c r="D42" s="195"/>
      <c r="E42" s="195"/>
      <c r="F42" s="195"/>
      <c r="G42" s="198"/>
      <c r="H42" s="198"/>
      <c r="I42" s="198"/>
      <c r="J42" s="247"/>
      <c r="K42" s="93" t="s">
        <v>454</v>
      </c>
      <c r="L42" s="80">
        <v>39</v>
      </c>
      <c r="M42" s="81" t="s">
        <v>455</v>
      </c>
      <c r="N42" s="82">
        <v>84.65</v>
      </c>
      <c r="O42" s="83">
        <v>95.83</v>
      </c>
      <c r="P42" s="82">
        <v>81.91</v>
      </c>
      <c r="Q42" s="83">
        <v>90.85</v>
      </c>
      <c r="R42" s="84">
        <v>-11.18</v>
      </c>
      <c r="S42" s="40"/>
      <c r="T42" s="40"/>
      <c r="U42" s="40"/>
      <c r="V42" s="40"/>
      <c r="W42" s="40"/>
      <c r="X42" s="40"/>
      <c r="Y42" s="40"/>
      <c r="Z42" s="40"/>
      <c r="AA42" s="40"/>
      <c r="AB42" s="40"/>
      <c r="AC42" s="40"/>
      <c r="AD42" s="40"/>
      <c r="AE42" s="40"/>
      <c r="AF42" s="40"/>
      <c r="AG42" s="40"/>
      <c r="AH42" s="40"/>
      <c r="AI42" s="40"/>
      <c r="AJ42" s="40"/>
      <c r="AK42" s="40"/>
      <c r="AL42" s="40"/>
      <c r="AM42" s="40"/>
      <c r="AN42" s="40"/>
    </row>
    <row r="43" spans="1:40" ht="37.5" customHeight="1" thickBot="1" x14ac:dyDescent="0.3">
      <c r="A43" s="71" t="s">
        <v>374</v>
      </c>
      <c r="B43" s="71" t="s">
        <v>375</v>
      </c>
      <c r="C43" s="71">
        <v>2016</v>
      </c>
      <c r="D43" s="71">
        <v>2016</v>
      </c>
      <c r="E43" s="71" t="s">
        <v>376</v>
      </c>
      <c r="F43" s="71" t="s">
        <v>377</v>
      </c>
      <c r="G43" s="71" t="s">
        <v>378</v>
      </c>
      <c r="H43" s="71" t="s">
        <v>379</v>
      </c>
      <c r="I43" s="71" t="s">
        <v>380</v>
      </c>
      <c r="J43" s="206" t="s">
        <v>375</v>
      </c>
      <c r="K43" s="206"/>
      <c r="L43" s="71" t="s">
        <v>381</v>
      </c>
      <c r="M43" s="71" t="s">
        <v>382</v>
      </c>
      <c r="N43" s="71">
        <v>2016</v>
      </c>
      <c r="O43" s="71">
        <v>2016</v>
      </c>
      <c r="P43" s="71" t="s">
        <v>376</v>
      </c>
      <c r="Q43" s="71" t="s">
        <v>377</v>
      </c>
      <c r="R43" s="40"/>
      <c r="S43" s="40"/>
      <c r="T43" s="40"/>
      <c r="U43" s="40"/>
      <c r="V43" s="40"/>
      <c r="W43" s="40"/>
      <c r="X43" s="40"/>
      <c r="Y43" s="40"/>
      <c r="Z43" s="40"/>
      <c r="AA43" s="40"/>
      <c r="AB43" s="40"/>
      <c r="AC43" s="40"/>
      <c r="AD43" s="40"/>
      <c r="AE43" s="40"/>
      <c r="AF43" s="40"/>
      <c r="AG43" s="40"/>
      <c r="AH43" s="40"/>
      <c r="AI43" s="40"/>
      <c r="AJ43" s="40"/>
      <c r="AK43" s="40"/>
      <c r="AL43" s="40"/>
      <c r="AM43" s="40"/>
      <c r="AN43" s="40"/>
    </row>
    <row r="44" spans="1:40" ht="27" customHeight="1" x14ac:dyDescent="0.25">
      <c r="A44" s="219" t="s">
        <v>456</v>
      </c>
      <c r="B44" s="213" t="s">
        <v>20</v>
      </c>
      <c r="C44" s="215">
        <v>80.63</v>
      </c>
      <c r="D44" s="215">
        <v>93.98</v>
      </c>
      <c r="E44" s="215">
        <v>76.319999999999993</v>
      </c>
      <c r="F44" s="215">
        <v>86.67</v>
      </c>
      <c r="G44" s="217">
        <v>-13.35</v>
      </c>
      <c r="H44" s="217">
        <v>4.3099999999999996</v>
      </c>
      <c r="I44" s="217">
        <v>-6.04</v>
      </c>
      <c r="J44" s="239" t="s">
        <v>20</v>
      </c>
      <c r="K44" s="240"/>
      <c r="L44" s="80">
        <v>40</v>
      </c>
      <c r="M44" s="81" t="s">
        <v>457</v>
      </c>
      <c r="N44" s="82">
        <v>83.95</v>
      </c>
      <c r="O44" s="83">
        <v>92.34</v>
      </c>
      <c r="P44" s="82">
        <v>77.8</v>
      </c>
      <c r="Q44" s="83">
        <v>87.06</v>
      </c>
      <c r="R44" s="84">
        <v>-8.39</v>
      </c>
      <c r="S44" s="40"/>
      <c r="T44" s="40"/>
      <c r="U44" s="40"/>
      <c r="V44" s="40"/>
      <c r="W44" s="40"/>
      <c r="X44" s="40"/>
      <c r="Y44" s="40"/>
      <c r="Z44" s="40"/>
      <c r="AA44" s="40"/>
      <c r="AB44" s="40"/>
      <c r="AC44" s="40"/>
      <c r="AD44" s="40"/>
      <c r="AE44" s="40"/>
      <c r="AF44" s="40"/>
      <c r="AG44" s="40"/>
      <c r="AH44" s="40"/>
      <c r="AI44" s="40"/>
      <c r="AJ44" s="40"/>
      <c r="AK44" s="40"/>
      <c r="AL44" s="40"/>
      <c r="AM44" s="40"/>
      <c r="AN44" s="40"/>
    </row>
    <row r="45" spans="1:40" ht="27" customHeight="1" x14ac:dyDescent="0.25">
      <c r="A45" s="220"/>
      <c r="B45" s="214"/>
      <c r="C45" s="216"/>
      <c r="D45" s="216"/>
      <c r="E45" s="216"/>
      <c r="F45" s="216"/>
      <c r="G45" s="218"/>
      <c r="H45" s="218"/>
      <c r="I45" s="218"/>
      <c r="J45" s="241"/>
      <c r="K45" s="242"/>
      <c r="L45" s="80">
        <v>41</v>
      </c>
      <c r="M45" s="81" t="s">
        <v>458</v>
      </c>
      <c r="N45" s="82">
        <v>77.3</v>
      </c>
      <c r="O45" s="83">
        <v>95.62</v>
      </c>
      <c r="P45" s="82">
        <v>74.849999999999994</v>
      </c>
      <c r="Q45" s="83">
        <v>86.28</v>
      </c>
      <c r="R45" s="84">
        <v>-18.32</v>
      </c>
      <c r="S45" s="40"/>
      <c r="T45" s="40"/>
      <c r="U45" s="40"/>
      <c r="V45" s="40"/>
      <c r="W45" s="40"/>
      <c r="X45" s="40"/>
      <c r="Y45" s="40"/>
      <c r="Z45" s="40"/>
      <c r="AA45" s="40"/>
      <c r="AB45" s="40"/>
      <c r="AC45" s="40"/>
      <c r="AD45" s="40"/>
      <c r="AE45" s="40"/>
      <c r="AF45" s="40"/>
      <c r="AG45" s="40"/>
      <c r="AH45" s="40"/>
      <c r="AI45" s="40"/>
      <c r="AJ45" s="40"/>
      <c r="AK45" s="40"/>
      <c r="AL45" s="40"/>
      <c r="AM45" s="40"/>
      <c r="AN45" s="40"/>
    </row>
    <row r="46" spans="1:40" ht="27" customHeight="1" x14ac:dyDescent="0.25">
      <c r="A46" s="220"/>
      <c r="B46" s="214" t="s">
        <v>21</v>
      </c>
      <c r="C46" s="193">
        <v>83.99</v>
      </c>
      <c r="D46" s="193">
        <v>95.51</v>
      </c>
      <c r="E46" s="193">
        <v>80.14</v>
      </c>
      <c r="F46" s="193">
        <v>92.22</v>
      </c>
      <c r="G46" s="196">
        <v>-11.52</v>
      </c>
      <c r="H46" s="196">
        <v>3.85</v>
      </c>
      <c r="I46" s="196">
        <v>-8.23</v>
      </c>
      <c r="J46" s="233" t="s">
        <v>21</v>
      </c>
      <c r="K46" s="234"/>
      <c r="L46" s="80">
        <v>42</v>
      </c>
      <c r="M46" s="81" t="s">
        <v>459</v>
      </c>
      <c r="N46" s="83">
        <v>90.85</v>
      </c>
      <c r="O46" s="83">
        <v>97.37</v>
      </c>
      <c r="P46" s="83">
        <v>87.31</v>
      </c>
      <c r="Q46" s="83">
        <v>93.24</v>
      </c>
      <c r="R46" s="84">
        <v>-6.52</v>
      </c>
      <c r="S46" s="40"/>
      <c r="T46" s="40"/>
      <c r="U46" s="40"/>
      <c r="V46" s="40"/>
      <c r="W46" s="40"/>
      <c r="X46" s="40"/>
      <c r="Y46" s="40"/>
      <c r="Z46" s="40"/>
      <c r="AA46" s="40"/>
      <c r="AB46" s="40"/>
      <c r="AC46" s="40"/>
      <c r="AD46" s="40"/>
      <c r="AE46" s="40"/>
      <c r="AF46" s="40"/>
      <c r="AG46" s="40"/>
      <c r="AH46" s="40"/>
      <c r="AI46" s="40"/>
      <c r="AJ46" s="40"/>
      <c r="AK46" s="40"/>
      <c r="AL46" s="40"/>
      <c r="AM46" s="40"/>
      <c r="AN46" s="40"/>
    </row>
    <row r="47" spans="1:40" ht="27" customHeight="1" x14ac:dyDescent="0.25">
      <c r="A47" s="220"/>
      <c r="B47" s="214"/>
      <c r="C47" s="216"/>
      <c r="D47" s="216"/>
      <c r="E47" s="216"/>
      <c r="F47" s="216"/>
      <c r="G47" s="218"/>
      <c r="H47" s="218"/>
      <c r="I47" s="218"/>
      <c r="J47" s="241"/>
      <c r="K47" s="242"/>
      <c r="L47" s="80">
        <v>43</v>
      </c>
      <c r="M47" s="81" t="s">
        <v>460</v>
      </c>
      <c r="N47" s="82">
        <v>77.12</v>
      </c>
      <c r="O47" s="83">
        <v>93.64</v>
      </c>
      <c r="P47" s="82">
        <v>72.97</v>
      </c>
      <c r="Q47" s="83">
        <v>91.19</v>
      </c>
      <c r="R47" s="84">
        <v>-16.52</v>
      </c>
      <c r="S47" s="40"/>
      <c r="T47" s="40"/>
      <c r="U47" s="40"/>
      <c r="V47" s="40"/>
      <c r="W47" s="40"/>
      <c r="X47" s="40"/>
      <c r="Y47" s="40"/>
      <c r="Z47" s="40"/>
      <c r="AA47" s="40"/>
      <c r="AB47" s="40"/>
      <c r="AC47" s="40"/>
      <c r="AD47" s="40"/>
      <c r="AE47" s="40"/>
      <c r="AF47" s="40"/>
      <c r="AG47" s="40"/>
      <c r="AH47" s="40"/>
      <c r="AI47" s="40"/>
      <c r="AJ47" s="40"/>
      <c r="AK47" s="40"/>
      <c r="AL47" s="40"/>
      <c r="AM47" s="40"/>
      <c r="AN47" s="40"/>
    </row>
    <row r="48" spans="1:40" ht="27" customHeight="1" x14ac:dyDescent="0.25">
      <c r="A48" s="220"/>
      <c r="B48" s="214" t="s">
        <v>22</v>
      </c>
      <c r="C48" s="193">
        <v>84.29</v>
      </c>
      <c r="D48" s="193">
        <v>97.16</v>
      </c>
      <c r="E48" s="193">
        <v>80.72</v>
      </c>
      <c r="F48" s="193">
        <v>92.52</v>
      </c>
      <c r="G48" s="196">
        <v>-12.87</v>
      </c>
      <c r="H48" s="196">
        <v>3.57</v>
      </c>
      <c r="I48" s="196">
        <v>-8.23</v>
      </c>
      <c r="J48" s="233" t="s">
        <v>22</v>
      </c>
      <c r="K48" s="234"/>
      <c r="L48" s="80">
        <v>44</v>
      </c>
      <c r="M48" s="81" t="s">
        <v>461</v>
      </c>
      <c r="N48" s="83">
        <v>86.83</v>
      </c>
      <c r="O48" s="83">
        <v>97.81</v>
      </c>
      <c r="P48" s="82">
        <v>79.09</v>
      </c>
      <c r="Q48" s="83">
        <v>88.52</v>
      </c>
      <c r="R48" s="84">
        <v>-10.98</v>
      </c>
      <c r="S48" s="40"/>
      <c r="T48" s="40"/>
      <c r="U48" s="40"/>
      <c r="V48" s="40"/>
      <c r="W48" s="40"/>
      <c r="X48" s="40"/>
      <c r="Y48" s="40"/>
      <c r="Z48" s="40"/>
      <c r="AA48" s="40"/>
      <c r="AB48" s="40"/>
      <c r="AC48" s="40"/>
      <c r="AD48" s="40"/>
      <c r="AE48" s="40"/>
      <c r="AF48" s="40"/>
      <c r="AG48" s="40"/>
      <c r="AH48" s="40"/>
      <c r="AI48" s="40"/>
      <c r="AJ48" s="40"/>
      <c r="AK48" s="40"/>
      <c r="AL48" s="40"/>
      <c r="AM48" s="40"/>
      <c r="AN48" s="40"/>
    </row>
    <row r="49" spans="1:40" ht="27" customHeight="1" x14ac:dyDescent="0.25">
      <c r="A49" s="220"/>
      <c r="B49" s="214"/>
      <c r="C49" s="194"/>
      <c r="D49" s="194"/>
      <c r="E49" s="194"/>
      <c r="F49" s="194"/>
      <c r="G49" s="197"/>
      <c r="H49" s="197"/>
      <c r="I49" s="197"/>
      <c r="J49" s="235"/>
      <c r="K49" s="236"/>
      <c r="L49" s="80">
        <v>45</v>
      </c>
      <c r="M49" s="81" t="s">
        <v>462</v>
      </c>
      <c r="N49" s="83">
        <v>89.37</v>
      </c>
      <c r="O49" s="83">
        <v>98.47</v>
      </c>
      <c r="P49" s="83">
        <v>85.6</v>
      </c>
      <c r="Q49" s="83">
        <v>94.71</v>
      </c>
      <c r="R49" s="84">
        <v>-9.1</v>
      </c>
      <c r="S49" s="40"/>
      <c r="T49" s="40"/>
      <c r="U49" s="40"/>
      <c r="V49" s="40"/>
      <c r="W49" s="40"/>
      <c r="X49" s="40"/>
      <c r="Y49" s="40"/>
      <c r="Z49" s="40"/>
      <c r="AA49" s="40"/>
      <c r="AB49" s="40"/>
      <c r="AC49" s="40"/>
      <c r="AD49" s="40"/>
      <c r="AE49" s="40"/>
      <c r="AF49" s="40"/>
      <c r="AG49" s="40"/>
      <c r="AH49" s="40"/>
      <c r="AI49" s="40"/>
      <c r="AJ49" s="40"/>
      <c r="AK49" s="40"/>
      <c r="AL49" s="40"/>
      <c r="AM49" s="40"/>
      <c r="AN49" s="40"/>
    </row>
    <row r="50" spans="1:40" ht="27" customHeight="1" x14ac:dyDescent="0.25">
      <c r="A50" s="220"/>
      <c r="B50" s="214"/>
      <c r="C50" s="194"/>
      <c r="D50" s="194"/>
      <c r="E50" s="194"/>
      <c r="F50" s="194"/>
      <c r="G50" s="197"/>
      <c r="H50" s="197"/>
      <c r="I50" s="197"/>
      <c r="J50" s="235"/>
      <c r="K50" s="236"/>
      <c r="L50" s="80">
        <v>46</v>
      </c>
      <c r="M50" s="81" t="s">
        <v>463</v>
      </c>
      <c r="N50" s="82">
        <v>79.180000000000007</v>
      </c>
      <c r="O50" s="83">
        <v>96.49</v>
      </c>
      <c r="P50" s="82">
        <v>78.81</v>
      </c>
      <c r="Q50" s="83">
        <v>93.71</v>
      </c>
      <c r="R50" s="84">
        <v>-17.309999999999999</v>
      </c>
      <c r="S50" s="40"/>
      <c r="T50" s="40"/>
      <c r="U50" s="40"/>
      <c r="V50" s="40"/>
      <c r="W50" s="40"/>
      <c r="X50" s="40"/>
      <c r="Y50" s="40"/>
      <c r="Z50" s="40"/>
      <c r="AA50" s="40"/>
      <c r="AB50" s="40"/>
      <c r="AC50" s="40"/>
      <c r="AD50" s="40"/>
      <c r="AE50" s="40"/>
      <c r="AF50" s="40"/>
      <c r="AG50" s="40"/>
      <c r="AH50" s="40"/>
      <c r="AI50" s="40"/>
      <c r="AJ50" s="40"/>
      <c r="AK50" s="40"/>
      <c r="AL50" s="40"/>
      <c r="AM50" s="40"/>
      <c r="AN50" s="40"/>
    </row>
    <row r="51" spans="1:40" ht="27" customHeight="1" thickBot="1" x14ac:dyDescent="0.3">
      <c r="A51" s="221"/>
      <c r="B51" s="232"/>
      <c r="C51" s="195"/>
      <c r="D51" s="195"/>
      <c r="E51" s="195"/>
      <c r="F51" s="195"/>
      <c r="G51" s="198"/>
      <c r="H51" s="198"/>
      <c r="I51" s="198"/>
      <c r="J51" s="237"/>
      <c r="K51" s="238"/>
      <c r="L51" s="80">
        <v>47</v>
      </c>
      <c r="M51" s="81" t="s">
        <v>464</v>
      </c>
      <c r="N51" s="82">
        <v>81.77</v>
      </c>
      <c r="O51" s="83">
        <v>95.84</v>
      </c>
      <c r="P51" s="82">
        <v>79.37</v>
      </c>
      <c r="Q51" s="83">
        <v>93.16</v>
      </c>
      <c r="R51" s="84">
        <v>-14.07</v>
      </c>
      <c r="S51" s="40"/>
      <c r="T51" s="40"/>
      <c r="U51" s="40"/>
      <c r="V51" s="40"/>
      <c r="W51" s="40"/>
      <c r="X51" s="40"/>
      <c r="Y51" s="40"/>
      <c r="Z51" s="40"/>
      <c r="AA51" s="40"/>
      <c r="AB51" s="40"/>
      <c r="AC51" s="40"/>
      <c r="AD51" s="40"/>
      <c r="AE51" s="40"/>
      <c r="AF51" s="40"/>
      <c r="AG51" s="40"/>
      <c r="AH51" s="40"/>
      <c r="AI51" s="40"/>
      <c r="AJ51" s="40"/>
      <c r="AK51" s="40"/>
      <c r="AL51" s="40"/>
      <c r="AM51" s="40"/>
      <c r="AN51" s="40"/>
    </row>
    <row r="52" spans="1:40" ht="37.5" customHeight="1" thickBot="1" x14ac:dyDescent="0.3">
      <c r="A52" s="71" t="s">
        <v>374</v>
      </c>
      <c r="B52" s="71" t="s">
        <v>375</v>
      </c>
      <c r="C52" s="71">
        <v>2016</v>
      </c>
      <c r="D52" s="71">
        <v>2016</v>
      </c>
      <c r="E52" s="71" t="s">
        <v>376</v>
      </c>
      <c r="F52" s="71" t="s">
        <v>377</v>
      </c>
      <c r="G52" s="71" t="s">
        <v>378</v>
      </c>
      <c r="H52" s="71" t="s">
        <v>379</v>
      </c>
      <c r="I52" s="71" t="s">
        <v>380</v>
      </c>
      <c r="J52" s="206" t="s">
        <v>375</v>
      </c>
      <c r="K52" s="206"/>
      <c r="L52" s="71" t="s">
        <v>381</v>
      </c>
      <c r="M52" s="71" t="s">
        <v>382</v>
      </c>
      <c r="N52" s="71">
        <v>2016</v>
      </c>
      <c r="O52" s="71">
        <v>2016</v>
      </c>
      <c r="P52" s="71" t="s">
        <v>376</v>
      </c>
      <c r="Q52" s="71" t="s">
        <v>377</v>
      </c>
      <c r="R52" s="40"/>
      <c r="S52" s="40"/>
      <c r="T52" s="40"/>
      <c r="U52" s="40"/>
      <c r="V52" s="40"/>
      <c r="W52" s="40"/>
      <c r="X52" s="40"/>
      <c r="Y52" s="40"/>
      <c r="Z52" s="40"/>
      <c r="AA52" s="40"/>
      <c r="AB52" s="40"/>
      <c r="AC52" s="40"/>
      <c r="AD52" s="40"/>
      <c r="AE52" s="40"/>
      <c r="AF52" s="40"/>
      <c r="AG52" s="40"/>
      <c r="AH52" s="40"/>
      <c r="AI52" s="40"/>
      <c r="AJ52" s="40"/>
      <c r="AK52" s="40"/>
      <c r="AL52" s="40"/>
      <c r="AM52" s="40"/>
      <c r="AN52" s="40"/>
    </row>
    <row r="53" spans="1:40" ht="27" customHeight="1" x14ac:dyDescent="0.25">
      <c r="A53" s="210" t="s">
        <v>465</v>
      </c>
      <c r="B53" s="213" t="s">
        <v>23</v>
      </c>
      <c r="C53" s="215">
        <v>87.27</v>
      </c>
      <c r="D53" s="215">
        <v>97.45</v>
      </c>
      <c r="E53" s="215">
        <v>84.71</v>
      </c>
      <c r="F53" s="215">
        <v>93.18</v>
      </c>
      <c r="G53" s="217">
        <v>-10.18</v>
      </c>
      <c r="H53" s="217">
        <v>2.56</v>
      </c>
      <c r="I53" s="217">
        <v>-5.91</v>
      </c>
      <c r="J53" s="222" t="s">
        <v>23</v>
      </c>
      <c r="K53" s="223"/>
      <c r="L53" s="80">
        <v>48</v>
      </c>
      <c r="M53" s="81" t="s">
        <v>466</v>
      </c>
      <c r="N53" s="83">
        <v>89.81</v>
      </c>
      <c r="O53" s="83">
        <v>97.37</v>
      </c>
      <c r="P53" s="83">
        <v>87.45</v>
      </c>
      <c r="Q53" s="83">
        <v>92.94</v>
      </c>
      <c r="R53" s="84">
        <v>-7.56</v>
      </c>
      <c r="S53" s="40"/>
      <c r="T53" s="40"/>
      <c r="U53" s="40"/>
      <c r="V53" s="40"/>
      <c r="W53" s="40"/>
      <c r="X53" s="40"/>
      <c r="Y53" s="40"/>
      <c r="Z53" s="40"/>
      <c r="AA53" s="40"/>
      <c r="AB53" s="40"/>
      <c r="AC53" s="40"/>
      <c r="AD53" s="40"/>
      <c r="AE53" s="40"/>
      <c r="AF53" s="40"/>
      <c r="AG53" s="40"/>
      <c r="AH53" s="40"/>
      <c r="AI53" s="40"/>
      <c r="AJ53" s="40"/>
      <c r="AK53" s="40"/>
      <c r="AL53" s="40"/>
      <c r="AM53" s="40"/>
      <c r="AN53" s="40"/>
    </row>
    <row r="54" spans="1:40" ht="27" customHeight="1" x14ac:dyDescent="0.25">
      <c r="A54" s="211"/>
      <c r="B54" s="214"/>
      <c r="C54" s="194"/>
      <c r="D54" s="194"/>
      <c r="E54" s="194"/>
      <c r="F54" s="194"/>
      <c r="G54" s="197"/>
      <c r="H54" s="197"/>
      <c r="I54" s="197"/>
      <c r="J54" s="202"/>
      <c r="K54" s="203"/>
      <c r="L54" s="80">
        <v>49</v>
      </c>
      <c r="M54" s="81" t="s">
        <v>467</v>
      </c>
      <c r="N54" s="83">
        <v>88.17</v>
      </c>
      <c r="O54" s="83">
        <v>98.46</v>
      </c>
      <c r="P54" s="82">
        <v>85.47</v>
      </c>
      <c r="Q54" s="83">
        <v>94.42</v>
      </c>
      <c r="R54" s="84">
        <v>-10.29</v>
      </c>
      <c r="S54" s="40"/>
      <c r="T54" s="40"/>
      <c r="U54" s="40"/>
      <c r="V54" s="40"/>
      <c r="W54" s="40"/>
      <c r="X54" s="40"/>
      <c r="Y54" s="40"/>
      <c r="Z54" s="40"/>
      <c r="AA54" s="40"/>
      <c r="AB54" s="40"/>
      <c r="AC54" s="40"/>
      <c r="AD54" s="40"/>
      <c r="AE54" s="40"/>
      <c r="AF54" s="40"/>
      <c r="AG54" s="40"/>
      <c r="AH54" s="40"/>
      <c r="AI54" s="40"/>
      <c r="AJ54" s="40"/>
      <c r="AK54" s="40"/>
      <c r="AL54" s="40"/>
      <c r="AM54" s="40"/>
      <c r="AN54" s="40"/>
    </row>
    <row r="55" spans="1:40" ht="27" customHeight="1" x14ac:dyDescent="0.25">
      <c r="A55" s="211"/>
      <c r="B55" s="214"/>
      <c r="C55" s="216"/>
      <c r="D55" s="216"/>
      <c r="E55" s="216"/>
      <c r="F55" s="216"/>
      <c r="G55" s="218"/>
      <c r="H55" s="218"/>
      <c r="I55" s="218"/>
      <c r="J55" s="224"/>
      <c r="K55" s="225"/>
      <c r="L55" s="80">
        <v>50</v>
      </c>
      <c r="M55" s="81" t="s">
        <v>468</v>
      </c>
      <c r="N55" s="82">
        <v>83.84</v>
      </c>
      <c r="O55" s="83">
        <v>96.49</v>
      </c>
      <c r="P55" s="82">
        <v>81.22</v>
      </c>
      <c r="Q55" s="83">
        <v>92.18</v>
      </c>
      <c r="R55" s="84">
        <v>-12.65</v>
      </c>
      <c r="S55" s="40"/>
      <c r="T55" s="40"/>
      <c r="U55" s="40"/>
      <c r="V55" s="40"/>
      <c r="W55" s="40"/>
      <c r="X55" s="40"/>
      <c r="Y55" s="40"/>
      <c r="Z55" s="40"/>
      <c r="AA55" s="40"/>
      <c r="AB55" s="40"/>
      <c r="AC55" s="40"/>
      <c r="AD55" s="40"/>
      <c r="AE55" s="40"/>
      <c r="AF55" s="40"/>
      <c r="AG55" s="40"/>
      <c r="AH55" s="40"/>
      <c r="AI55" s="40"/>
      <c r="AJ55" s="40"/>
      <c r="AK55" s="40"/>
      <c r="AL55" s="40"/>
      <c r="AM55" s="40"/>
      <c r="AN55" s="40"/>
    </row>
    <row r="56" spans="1:40" ht="27" customHeight="1" x14ac:dyDescent="0.25">
      <c r="A56" s="211"/>
      <c r="B56" s="214" t="s">
        <v>24</v>
      </c>
      <c r="C56" s="193">
        <v>88.28</v>
      </c>
      <c r="D56" s="193">
        <v>97.7</v>
      </c>
      <c r="E56" s="193">
        <v>86.6</v>
      </c>
      <c r="F56" s="193">
        <v>93.94</v>
      </c>
      <c r="G56" s="196">
        <v>-9.42</v>
      </c>
      <c r="H56" s="196">
        <v>1.68</v>
      </c>
      <c r="I56" s="196">
        <v>-5.66</v>
      </c>
      <c r="J56" s="226" t="s">
        <v>24</v>
      </c>
      <c r="K56" s="229" t="s">
        <v>469</v>
      </c>
      <c r="L56" s="80">
        <v>51</v>
      </c>
      <c r="M56" s="81" t="s">
        <v>470</v>
      </c>
      <c r="N56" s="83">
        <v>90.49</v>
      </c>
      <c r="O56" s="83">
        <v>99.34</v>
      </c>
      <c r="P56" s="83">
        <v>89.51</v>
      </c>
      <c r="Q56" s="83">
        <v>95.4</v>
      </c>
      <c r="R56" s="84">
        <v>-8.85</v>
      </c>
      <c r="S56" s="40"/>
      <c r="T56" s="40"/>
      <c r="U56" s="40"/>
      <c r="V56" s="40"/>
      <c r="W56" s="40"/>
      <c r="X56" s="40"/>
      <c r="Y56" s="40"/>
      <c r="Z56" s="40"/>
      <c r="AA56" s="40"/>
      <c r="AB56" s="40"/>
      <c r="AC56" s="40"/>
      <c r="AD56" s="40"/>
      <c r="AE56" s="40"/>
      <c r="AF56" s="40"/>
      <c r="AG56" s="40"/>
      <c r="AH56" s="40"/>
      <c r="AI56" s="40"/>
      <c r="AJ56" s="40"/>
      <c r="AK56" s="40"/>
      <c r="AL56" s="40"/>
      <c r="AM56" s="40"/>
      <c r="AN56" s="40"/>
    </row>
    <row r="57" spans="1:40" ht="27" customHeight="1" x14ac:dyDescent="0.25">
      <c r="A57" s="211"/>
      <c r="B57" s="214"/>
      <c r="C57" s="194"/>
      <c r="D57" s="194"/>
      <c r="E57" s="194"/>
      <c r="F57" s="194"/>
      <c r="G57" s="197"/>
      <c r="H57" s="197"/>
      <c r="I57" s="197"/>
      <c r="J57" s="227"/>
      <c r="K57" s="230"/>
      <c r="L57" s="80">
        <v>52</v>
      </c>
      <c r="M57" s="81" t="s">
        <v>471</v>
      </c>
      <c r="N57" s="82">
        <v>84.02</v>
      </c>
      <c r="O57" s="83">
        <v>97.37</v>
      </c>
      <c r="P57" s="82">
        <v>82.63</v>
      </c>
      <c r="Q57" s="83">
        <v>93.56</v>
      </c>
      <c r="R57" s="84">
        <v>-13.35</v>
      </c>
      <c r="S57" s="40"/>
      <c r="T57" s="40"/>
      <c r="U57" s="40"/>
      <c r="V57" s="40"/>
      <c r="W57" s="40"/>
      <c r="X57" s="40"/>
      <c r="Y57" s="40"/>
      <c r="Z57" s="40"/>
      <c r="AA57" s="40"/>
      <c r="AB57" s="40"/>
      <c r="AC57" s="40"/>
      <c r="AD57" s="40"/>
      <c r="AE57" s="40"/>
      <c r="AF57" s="40"/>
      <c r="AG57" s="40"/>
      <c r="AH57" s="40"/>
      <c r="AI57" s="40"/>
      <c r="AJ57" s="40"/>
      <c r="AK57" s="40"/>
      <c r="AL57" s="40"/>
      <c r="AM57" s="40"/>
      <c r="AN57" s="40"/>
    </row>
    <row r="58" spans="1:40" ht="27" customHeight="1" x14ac:dyDescent="0.25">
      <c r="A58" s="211"/>
      <c r="B58" s="214"/>
      <c r="C58" s="194"/>
      <c r="D58" s="194"/>
      <c r="E58" s="194"/>
      <c r="F58" s="194"/>
      <c r="G58" s="197"/>
      <c r="H58" s="197"/>
      <c r="I58" s="197"/>
      <c r="J58" s="227"/>
      <c r="K58" s="231" t="s">
        <v>472</v>
      </c>
      <c r="L58" s="80">
        <v>53</v>
      </c>
      <c r="M58" s="81" t="s">
        <v>473</v>
      </c>
      <c r="N58" s="83">
        <v>93.54</v>
      </c>
      <c r="O58" s="83">
        <v>98.03</v>
      </c>
      <c r="P58" s="83">
        <v>91.37</v>
      </c>
      <c r="Q58" s="83">
        <v>96.02</v>
      </c>
      <c r="R58" s="91">
        <v>-4.49</v>
      </c>
      <c r="S58" s="40"/>
      <c r="T58" s="40"/>
      <c r="U58" s="40"/>
      <c r="V58" s="40"/>
      <c r="W58" s="40"/>
      <c r="X58" s="40"/>
      <c r="Y58" s="40"/>
      <c r="Z58" s="40"/>
      <c r="AA58" s="40"/>
      <c r="AB58" s="40"/>
      <c r="AC58" s="40"/>
      <c r="AD58" s="40"/>
      <c r="AE58" s="40"/>
      <c r="AF58" s="40"/>
      <c r="AG58" s="40"/>
      <c r="AH58" s="40"/>
      <c r="AI58" s="40"/>
      <c r="AJ58" s="40"/>
      <c r="AK58" s="40"/>
      <c r="AL58" s="40"/>
      <c r="AM58" s="40"/>
      <c r="AN58" s="40"/>
    </row>
    <row r="59" spans="1:40" ht="27" customHeight="1" x14ac:dyDescent="0.25">
      <c r="A59" s="211"/>
      <c r="B59" s="214"/>
      <c r="C59" s="216"/>
      <c r="D59" s="216"/>
      <c r="E59" s="216"/>
      <c r="F59" s="216"/>
      <c r="G59" s="218"/>
      <c r="H59" s="218"/>
      <c r="I59" s="218"/>
      <c r="J59" s="228"/>
      <c r="K59" s="230"/>
      <c r="L59" s="80">
        <v>54</v>
      </c>
      <c r="M59" s="81" t="s">
        <v>474</v>
      </c>
      <c r="N59" s="82">
        <v>85.06</v>
      </c>
      <c r="O59" s="83">
        <v>96.04</v>
      </c>
      <c r="P59" s="82">
        <v>82.91</v>
      </c>
      <c r="Q59" s="83">
        <v>90.76</v>
      </c>
      <c r="R59" s="84">
        <v>-10.98</v>
      </c>
      <c r="S59" s="40"/>
      <c r="T59" s="40"/>
      <c r="U59" s="40"/>
      <c r="V59" s="40"/>
      <c r="W59" s="40"/>
      <c r="X59" s="40"/>
      <c r="Y59" s="40"/>
      <c r="Z59" s="40"/>
      <c r="AA59" s="40"/>
      <c r="AB59" s="40"/>
      <c r="AC59" s="40"/>
      <c r="AD59" s="40"/>
      <c r="AE59" s="40"/>
      <c r="AF59" s="40"/>
      <c r="AG59" s="40"/>
      <c r="AH59" s="40"/>
      <c r="AI59" s="40"/>
      <c r="AJ59" s="40"/>
      <c r="AK59" s="40"/>
      <c r="AL59" s="40"/>
      <c r="AM59" s="40"/>
      <c r="AN59" s="40"/>
    </row>
    <row r="60" spans="1:40" ht="27" customHeight="1" x14ac:dyDescent="0.25">
      <c r="A60" s="211"/>
      <c r="B60" s="214" t="s">
        <v>25</v>
      </c>
      <c r="C60" s="193">
        <v>82.3</v>
      </c>
      <c r="D60" s="193">
        <v>95.32</v>
      </c>
      <c r="E60" s="193">
        <v>78.11</v>
      </c>
      <c r="F60" s="193">
        <v>90.65</v>
      </c>
      <c r="G60" s="196">
        <v>-13.02</v>
      </c>
      <c r="H60" s="196">
        <v>4.1900000000000004</v>
      </c>
      <c r="I60" s="196">
        <v>-8.35</v>
      </c>
      <c r="J60" s="202" t="s">
        <v>25</v>
      </c>
      <c r="K60" s="203"/>
      <c r="L60" s="80">
        <v>55</v>
      </c>
      <c r="M60" s="81" t="s">
        <v>475</v>
      </c>
      <c r="N60" s="82">
        <v>81.8</v>
      </c>
      <c r="O60" s="83">
        <v>96.94</v>
      </c>
      <c r="P60" s="82">
        <v>77.45</v>
      </c>
      <c r="Q60" s="83">
        <v>90.16</v>
      </c>
      <c r="R60" s="84">
        <v>-15.14</v>
      </c>
      <c r="S60" s="40"/>
      <c r="T60" s="40"/>
      <c r="U60" s="40"/>
      <c r="V60" s="40"/>
      <c r="W60" s="40"/>
      <c r="X60" s="40"/>
      <c r="Y60" s="40"/>
      <c r="Z60" s="40"/>
      <c r="AA60" s="40"/>
      <c r="AB60" s="40"/>
      <c r="AC60" s="40"/>
      <c r="AD60" s="40"/>
      <c r="AE60" s="40"/>
      <c r="AF60" s="40"/>
      <c r="AG60" s="40"/>
      <c r="AH60" s="40"/>
      <c r="AI60" s="40"/>
      <c r="AJ60" s="40"/>
      <c r="AK60" s="40"/>
      <c r="AL60" s="40"/>
      <c r="AM60" s="40"/>
      <c r="AN60" s="40"/>
    </row>
    <row r="61" spans="1:40" ht="27" customHeight="1" x14ac:dyDescent="0.25">
      <c r="A61" s="211"/>
      <c r="B61" s="214"/>
      <c r="C61" s="194"/>
      <c r="D61" s="194"/>
      <c r="E61" s="194"/>
      <c r="F61" s="194"/>
      <c r="G61" s="197"/>
      <c r="H61" s="197"/>
      <c r="I61" s="197"/>
      <c r="J61" s="202"/>
      <c r="K61" s="203"/>
      <c r="L61" s="80">
        <v>56</v>
      </c>
      <c r="M61" s="81" t="s">
        <v>476</v>
      </c>
      <c r="N61" s="82">
        <v>81.81</v>
      </c>
      <c r="O61" s="83">
        <v>95.83</v>
      </c>
      <c r="P61" s="82">
        <v>75.42</v>
      </c>
      <c r="Q61" s="83">
        <v>90.17</v>
      </c>
      <c r="R61" s="84">
        <v>-14.02</v>
      </c>
      <c r="S61" s="40"/>
      <c r="T61" s="40"/>
      <c r="U61" s="40"/>
      <c r="V61" s="40"/>
      <c r="W61" s="40"/>
      <c r="X61" s="40"/>
      <c r="Y61" s="40"/>
      <c r="Z61" s="40"/>
      <c r="AA61" s="40"/>
      <c r="AB61" s="40"/>
      <c r="AC61" s="40"/>
      <c r="AD61" s="40"/>
      <c r="AE61" s="40"/>
      <c r="AF61" s="40"/>
      <c r="AG61" s="40"/>
      <c r="AH61" s="40"/>
      <c r="AI61" s="40"/>
      <c r="AJ61" s="40"/>
      <c r="AK61" s="40"/>
      <c r="AL61" s="40"/>
      <c r="AM61" s="40"/>
      <c r="AN61" s="40"/>
    </row>
    <row r="62" spans="1:40" ht="27" customHeight="1" thickBot="1" x14ac:dyDescent="0.3">
      <c r="A62" s="212"/>
      <c r="B62" s="232"/>
      <c r="C62" s="195"/>
      <c r="D62" s="195"/>
      <c r="E62" s="195"/>
      <c r="F62" s="195"/>
      <c r="G62" s="198"/>
      <c r="H62" s="198"/>
      <c r="I62" s="198"/>
      <c r="J62" s="204"/>
      <c r="K62" s="205"/>
      <c r="L62" s="80">
        <v>57</v>
      </c>
      <c r="M62" s="81" t="s">
        <v>477</v>
      </c>
      <c r="N62" s="82">
        <v>83.31</v>
      </c>
      <c r="O62" s="83">
        <v>93.2</v>
      </c>
      <c r="P62" s="82">
        <v>81.459999999999994</v>
      </c>
      <c r="Q62" s="83">
        <v>91.62</v>
      </c>
      <c r="R62" s="84">
        <v>-9.89</v>
      </c>
      <c r="S62" s="40"/>
      <c r="T62" s="40"/>
      <c r="U62" s="40"/>
      <c r="V62" s="40"/>
      <c r="W62" s="40"/>
      <c r="X62" s="40"/>
      <c r="Y62" s="40"/>
      <c r="Z62" s="40"/>
      <c r="AA62" s="40"/>
      <c r="AB62" s="40"/>
      <c r="AC62" s="40"/>
      <c r="AD62" s="40"/>
      <c r="AE62" s="40"/>
      <c r="AF62" s="40"/>
      <c r="AG62" s="40"/>
      <c r="AH62" s="40"/>
      <c r="AI62" s="40"/>
      <c r="AJ62" s="40"/>
      <c r="AK62" s="40"/>
      <c r="AL62" s="40"/>
      <c r="AM62" s="40"/>
      <c r="AN62" s="40"/>
    </row>
    <row r="63" spans="1:40" ht="37.5" customHeight="1" thickBot="1" x14ac:dyDescent="0.3">
      <c r="A63" s="71" t="s">
        <v>374</v>
      </c>
      <c r="B63" s="71" t="s">
        <v>375</v>
      </c>
      <c r="C63" s="71">
        <v>2016</v>
      </c>
      <c r="D63" s="71">
        <v>2016</v>
      </c>
      <c r="E63" s="71" t="s">
        <v>376</v>
      </c>
      <c r="F63" s="71" t="s">
        <v>377</v>
      </c>
      <c r="G63" s="71" t="s">
        <v>378</v>
      </c>
      <c r="H63" s="71" t="s">
        <v>379</v>
      </c>
      <c r="I63" s="71" t="s">
        <v>380</v>
      </c>
      <c r="J63" s="206" t="s">
        <v>375</v>
      </c>
      <c r="K63" s="206"/>
      <c r="L63" s="71" t="s">
        <v>381</v>
      </c>
      <c r="M63" s="71" t="s">
        <v>382</v>
      </c>
      <c r="N63" s="71">
        <v>2016</v>
      </c>
      <c r="O63" s="71">
        <v>2016</v>
      </c>
      <c r="P63" s="71" t="s">
        <v>376</v>
      </c>
      <c r="Q63" s="71" t="s">
        <v>377</v>
      </c>
      <c r="R63" s="40"/>
      <c r="S63" s="40"/>
      <c r="T63" s="40"/>
      <c r="U63" s="40"/>
      <c r="V63" s="40"/>
      <c r="W63" s="40"/>
      <c r="X63" s="40"/>
      <c r="Y63" s="40"/>
      <c r="Z63" s="40"/>
      <c r="AA63" s="40"/>
      <c r="AB63" s="40"/>
      <c r="AC63" s="40"/>
      <c r="AD63" s="40"/>
      <c r="AE63" s="40"/>
      <c r="AF63" s="40"/>
      <c r="AG63" s="40"/>
      <c r="AH63" s="40"/>
      <c r="AI63" s="40"/>
      <c r="AJ63" s="40"/>
      <c r="AK63" s="40"/>
      <c r="AL63" s="40"/>
      <c r="AM63" s="40"/>
      <c r="AN63" s="40"/>
    </row>
    <row r="64" spans="1:40" ht="27" customHeight="1" x14ac:dyDescent="0.25">
      <c r="A64" s="40"/>
      <c r="B64" s="40"/>
      <c r="C64" s="40"/>
      <c r="D64" s="40"/>
      <c r="E64" s="40"/>
      <c r="F64" s="40"/>
      <c r="G64" s="40"/>
      <c r="H64" s="40"/>
      <c r="I64" s="40"/>
      <c r="J64" s="40"/>
      <c r="K64" s="207" t="s">
        <v>478</v>
      </c>
      <c r="L64" s="80">
        <v>59</v>
      </c>
      <c r="M64" s="81" t="s">
        <v>479</v>
      </c>
      <c r="N64" s="82">
        <v>85.1</v>
      </c>
      <c r="O64" s="82"/>
      <c r="P64" s="94">
        <v>0</v>
      </c>
      <c r="Q64" s="94">
        <v>0</v>
      </c>
      <c r="R64" s="91"/>
      <c r="S64" s="40"/>
      <c r="T64" s="40"/>
      <c r="U64" s="40"/>
      <c r="V64" s="40"/>
      <c r="W64" s="40"/>
      <c r="X64" s="40"/>
      <c r="Y64" s="40"/>
      <c r="Z64" s="40"/>
      <c r="AA64" s="40"/>
      <c r="AB64" s="40"/>
      <c r="AC64" s="40"/>
      <c r="AD64" s="40"/>
      <c r="AE64" s="40"/>
      <c r="AF64" s="40"/>
      <c r="AG64" s="40"/>
      <c r="AH64" s="40"/>
      <c r="AI64" s="40"/>
      <c r="AJ64" s="40"/>
      <c r="AK64" s="40"/>
      <c r="AL64" s="40"/>
      <c r="AM64" s="40"/>
      <c r="AN64" s="40"/>
    </row>
    <row r="65" spans="1:40" ht="27" customHeight="1" x14ac:dyDescent="0.25">
      <c r="A65" s="40"/>
      <c r="B65" s="40"/>
      <c r="C65" s="40"/>
      <c r="D65" s="40"/>
      <c r="E65" s="40"/>
      <c r="F65" s="40"/>
      <c r="G65" s="40"/>
      <c r="H65" s="40"/>
      <c r="I65" s="40"/>
      <c r="J65" s="40"/>
      <c r="K65" s="208"/>
      <c r="L65" s="80">
        <v>60</v>
      </c>
      <c r="M65" s="81" t="s">
        <v>480</v>
      </c>
      <c r="N65" s="82">
        <v>85.09</v>
      </c>
      <c r="O65" s="82"/>
      <c r="P65" s="94">
        <v>0</v>
      </c>
      <c r="Q65" s="94">
        <v>0</v>
      </c>
      <c r="R65" s="91"/>
      <c r="S65" s="40"/>
      <c r="T65" s="40"/>
      <c r="U65" s="40"/>
      <c r="V65" s="40"/>
      <c r="W65" s="40"/>
      <c r="X65" s="40"/>
      <c r="Y65" s="40"/>
      <c r="Z65" s="40"/>
      <c r="AA65" s="40"/>
      <c r="AB65" s="40"/>
      <c r="AC65" s="40"/>
      <c r="AD65" s="40"/>
      <c r="AE65" s="40"/>
      <c r="AF65" s="40"/>
      <c r="AG65" s="40"/>
      <c r="AH65" s="40"/>
      <c r="AI65" s="40"/>
      <c r="AJ65" s="40"/>
      <c r="AK65" s="40"/>
      <c r="AL65" s="40"/>
      <c r="AM65" s="40"/>
      <c r="AN65" s="40"/>
    </row>
    <row r="66" spans="1:40" ht="27" customHeight="1" x14ac:dyDescent="0.25">
      <c r="A66" s="40"/>
      <c r="B66" s="40"/>
      <c r="C66" s="40"/>
      <c r="D66" s="40"/>
      <c r="E66" s="40"/>
      <c r="F66" s="40"/>
      <c r="G66" s="40"/>
      <c r="H66" s="40"/>
      <c r="I66" s="40"/>
      <c r="J66" s="40"/>
      <c r="K66" s="208"/>
      <c r="L66" s="80">
        <v>61</v>
      </c>
      <c r="M66" s="81" t="s">
        <v>481</v>
      </c>
      <c r="N66" s="92">
        <v>54.8</v>
      </c>
      <c r="O66" s="82"/>
      <c r="P66" s="94">
        <v>0</v>
      </c>
      <c r="Q66" s="94">
        <v>0</v>
      </c>
      <c r="R66" s="91"/>
      <c r="S66" s="40"/>
      <c r="T66" s="40"/>
      <c r="U66" s="40"/>
      <c r="V66" s="40"/>
      <c r="W66" s="40"/>
      <c r="X66" s="40"/>
      <c r="Y66" s="40"/>
      <c r="Z66" s="40"/>
      <c r="AA66" s="40"/>
      <c r="AB66" s="40"/>
      <c r="AC66" s="40"/>
      <c r="AD66" s="40"/>
      <c r="AE66" s="40"/>
      <c r="AF66" s="40"/>
      <c r="AG66" s="40"/>
      <c r="AH66" s="40"/>
      <c r="AI66" s="40"/>
      <c r="AJ66" s="40"/>
      <c r="AK66" s="40"/>
      <c r="AL66" s="40"/>
      <c r="AM66" s="40"/>
      <c r="AN66" s="40"/>
    </row>
    <row r="67" spans="1:40" ht="27" customHeight="1" x14ac:dyDescent="0.25">
      <c r="A67" s="40"/>
      <c r="B67" s="40"/>
      <c r="C67" s="40"/>
      <c r="D67" s="40"/>
      <c r="E67" s="40"/>
      <c r="F67" s="40"/>
      <c r="G67" s="40"/>
      <c r="H67" s="40"/>
      <c r="I67" s="40"/>
      <c r="J67" s="40"/>
      <c r="K67" s="208"/>
      <c r="L67" s="80">
        <v>62</v>
      </c>
      <c r="M67" s="81" t="s">
        <v>482</v>
      </c>
      <c r="N67" s="83">
        <v>92.57</v>
      </c>
      <c r="O67" s="82"/>
      <c r="P67" s="94">
        <v>0</v>
      </c>
      <c r="Q67" s="94">
        <v>0</v>
      </c>
      <c r="R67" s="91"/>
      <c r="S67" s="40"/>
      <c r="T67" s="40"/>
      <c r="U67" s="40"/>
      <c r="V67" s="40"/>
      <c r="W67" s="40"/>
      <c r="X67" s="40"/>
      <c r="Y67" s="40"/>
      <c r="Z67" s="40"/>
      <c r="AA67" s="40"/>
      <c r="AB67" s="40"/>
      <c r="AC67" s="40"/>
      <c r="AD67" s="40"/>
      <c r="AE67" s="40"/>
      <c r="AF67" s="40"/>
      <c r="AG67" s="40"/>
      <c r="AH67" s="40"/>
      <c r="AI67" s="40"/>
      <c r="AJ67" s="40"/>
      <c r="AK67" s="40"/>
      <c r="AL67" s="40"/>
      <c r="AM67" s="40"/>
      <c r="AN67" s="40"/>
    </row>
    <row r="68" spans="1:40" ht="27" customHeight="1" x14ac:dyDescent="0.25">
      <c r="A68" s="40"/>
      <c r="B68" s="40"/>
      <c r="C68" s="40"/>
      <c r="D68" s="40"/>
      <c r="E68" s="40"/>
      <c r="F68" s="40"/>
      <c r="G68" s="40"/>
      <c r="H68" s="40"/>
      <c r="I68" s="40"/>
      <c r="J68" s="40"/>
      <c r="K68" s="208"/>
      <c r="L68" s="80">
        <v>63</v>
      </c>
      <c r="M68" s="81" t="s">
        <v>483</v>
      </c>
      <c r="N68" s="83">
        <v>93.13</v>
      </c>
      <c r="O68" s="82"/>
      <c r="P68" s="94">
        <v>0</v>
      </c>
      <c r="Q68" s="94">
        <v>0</v>
      </c>
      <c r="R68" s="91"/>
      <c r="S68" s="40"/>
      <c r="T68" s="40"/>
      <c r="U68" s="40"/>
      <c r="V68" s="40"/>
      <c r="W68" s="40"/>
      <c r="X68" s="40"/>
      <c r="Y68" s="40"/>
      <c r="Z68" s="40"/>
      <c r="AA68" s="40"/>
      <c r="AB68" s="40"/>
      <c r="AC68" s="40"/>
      <c r="AD68" s="40"/>
      <c r="AE68" s="40"/>
      <c r="AF68" s="40"/>
      <c r="AG68" s="40"/>
      <c r="AH68" s="40"/>
      <c r="AI68" s="40"/>
      <c r="AJ68" s="40"/>
      <c r="AK68" s="40"/>
      <c r="AL68" s="40"/>
      <c r="AM68" s="40"/>
      <c r="AN68" s="40"/>
    </row>
    <row r="69" spans="1:40" ht="27" customHeight="1" x14ac:dyDescent="0.25">
      <c r="A69" s="40"/>
      <c r="B69" s="40"/>
      <c r="C69" s="40"/>
      <c r="D69" s="40"/>
      <c r="E69" s="40"/>
      <c r="F69" s="40"/>
      <c r="G69" s="40"/>
      <c r="H69" s="40"/>
      <c r="I69" s="40"/>
      <c r="J69" s="40"/>
      <c r="K69" s="208"/>
      <c r="L69" s="80">
        <v>64</v>
      </c>
      <c r="M69" s="81" t="s">
        <v>484</v>
      </c>
      <c r="N69" s="82">
        <v>85.46</v>
      </c>
      <c r="O69" s="82"/>
      <c r="P69" s="82"/>
      <c r="Q69" s="82"/>
      <c r="R69" s="91"/>
      <c r="S69" s="40"/>
      <c r="T69" s="40"/>
      <c r="U69" s="40"/>
      <c r="V69" s="40"/>
      <c r="W69" s="40"/>
      <c r="X69" s="40"/>
      <c r="Y69" s="40"/>
      <c r="Z69" s="40"/>
      <c r="AA69" s="40"/>
      <c r="AB69" s="40"/>
      <c r="AC69" s="40"/>
      <c r="AD69" s="40"/>
      <c r="AE69" s="40"/>
      <c r="AF69" s="40"/>
      <c r="AG69" s="40"/>
      <c r="AH69" s="40"/>
      <c r="AI69" s="40"/>
      <c r="AJ69" s="40"/>
      <c r="AK69" s="40"/>
      <c r="AL69" s="40"/>
      <c r="AM69" s="40"/>
      <c r="AN69" s="40"/>
    </row>
    <row r="70" spans="1:40" ht="27" customHeight="1" x14ac:dyDescent="0.25">
      <c r="A70" s="40"/>
      <c r="B70" s="40"/>
      <c r="C70" s="40"/>
      <c r="D70" s="40"/>
      <c r="E70" s="40"/>
      <c r="F70" s="40"/>
      <c r="G70" s="40"/>
      <c r="H70" s="40"/>
      <c r="I70" s="40"/>
      <c r="J70" s="40"/>
      <c r="K70" s="208"/>
      <c r="L70" s="80">
        <v>65</v>
      </c>
      <c r="M70" s="81" t="s">
        <v>485</v>
      </c>
      <c r="N70" s="82">
        <v>80.86</v>
      </c>
      <c r="O70" s="82"/>
      <c r="P70" s="82"/>
      <c r="Q70" s="82"/>
      <c r="R70" s="91"/>
      <c r="S70" s="40"/>
      <c r="T70" s="40"/>
      <c r="U70" s="40"/>
      <c r="V70" s="40"/>
      <c r="W70" s="40"/>
      <c r="X70" s="40"/>
      <c r="Y70" s="40"/>
      <c r="Z70" s="40"/>
      <c r="AA70" s="40"/>
      <c r="AB70" s="40"/>
      <c r="AC70" s="40"/>
      <c r="AD70" s="40"/>
      <c r="AE70" s="40"/>
      <c r="AF70" s="40"/>
      <c r="AG70" s="40"/>
      <c r="AH70" s="40"/>
      <c r="AI70" s="40"/>
      <c r="AJ70" s="40"/>
      <c r="AK70" s="40"/>
      <c r="AL70" s="40"/>
      <c r="AM70" s="40"/>
      <c r="AN70" s="40"/>
    </row>
    <row r="71" spans="1:40" ht="15.75" customHeight="1" thickBot="1" x14ac:dyDescent="0.3">
      <c r="A71" s="40"/>
      <c r="B71" s="40"/>
      <c r="C71" s="40"/>
      <c r="D71" s="40"/>
      <c r="E71" s="40"/>
      <c r="F71" s="40"/>
      <c r="G71" s="40"/>
      <c r="H71" s="40"/>
      <c r="I71" s="40"/>
      <c r="J71" s="40"/>
      <c r="K71" s="40"/>
      <c r="L71" s="40"/>
      <c r="M71" s="40"/>
      <c r="N71" s="40"/>
      <c r="O71" s="40"/>
      <c r="P71" s="40"/>
      <c r="Q71" s="40"/>
      <c r="R71" s="40"/>
      <c r="S71" s="40"/>
      <c r="T71" s="40"/>
      <c r="U71" s="40"/>
      <c r="V71" s="40"/>
      <c r="W71" s="40"/>
      <c r="X71" s="40"/>
      <c r="Y71" s="40"/>
      <c r="Z71" s="40"/>
      <c r="AA71" s="40"/>
      <c r="AB71" s="40"/>
      <c r="AC71" s="40"/>
      <c r="AD71" s="40"/>
      <c r="AE71" s="40"/>
      <c r="AF71" s="40"/>
      <c r="AG71" s="40"/>
      <c r="AH71" s="40"/>
      <c r="AI71" s="40"/>
      <c r="AJ71" s="40"/>
      <c r="AK71" s="40"/>
      <c r="AL71" s="40"/>
      <c r="AM71" s="40"/>
      <c r="AN71" s="40"/>
    </row>
    <row r="72" spans="1:40" ht="35.25" customHeight="1" thickBot="1" x14ac:dyDescent="0.3">
      <c r="A72" s="40"/>
      <c r="B72" s="40"/>
      <c r="C72" s="40"/>
      <c r="D72" s="40"/>
      <c r="E72" s="40"/>
      <c r="F72" s="40"/>
      <c r="G72" s="40"/>
      <c r="H72" s="40"/>
      <c r="I72" s="40"/>
      <c r="J72" s="40"/>
      <c r="K72" s="209" t="s">
        <v>486</v>
      </c>
      <c r="L72" s="71" t="s">
        <v>381</v>
      </c>
      <c r="M72" s="71" t="s">
        <v>382</v>
      </c>
      <c r="N72" s="71">
        <v>2016</v>
      </c>
      <c r="O72" s="71">
        <v>2016</v>
      </c>
      <c r="P72" s="71" t="s">
        <v>376</v>
      </c>
      <c r="Q72" s="71" t="s">
        <v>377</v>
      </c>
      <c r="R72" s="40"/>
      <c r="S72" s="40"/>
      <c r="T72" s="40"/>
      <c r="U72" s="40"/>
      <c r="V72" s="40"/>
      <c r="W72" s="40"/>
      <c r="X72" s="40"/>
      <c r="Y72" s="40"/>
      <c r="Z72" s="40"/>
      <c r="AA72" s="40"/>
      <c r="AB72" s="40"/>
      <c r="AC72" s="40"/>
      <c r="AD72" s="40"/>
      <c r="AE72" s="40"/>
      <c r="AF72" s="40"/>
      <c r="AG72" s="40"/>
      <c r="AH72" s="40"/>
      <c r="AI72" s="40"/>
      <c r="AJ72" s="40"/>
      <c r="AK72" s="40"/>
      <c r="AL72" s="40"/>
      <c r="AM72" s="40"/>
      <c r="AN72" s="40"/>
    </row>
    <row r="73" spans="1:40" ht="27" customHeight="1" x14ac:dyDescent="0.25">
      <c r="A73" s="40"/>
      <c r="B73" s="40"/>
      <c r="C73" s="40"/>
      <c r="D73" s="40"/>
      <c r="E73" s="40"/>
      <c r="F73" s="40"/>
      <c r="G73" s="40"/>
      <c r="H73" s="40"/>
      <c r="I73" s="40"/>
      <c r="J73" s="40"/>
      <c r="K73" s="209"/>
      <c r="L73" s="80">
        <v>58</v>
      </c>
      <c r="M73" s="81" t="s">
        <v>170</v>
      </c>
      <c r="N73" s="82">
        <v>84.08</v>
      </c>
      <c r="O73" s="83">
        <v>98.47</v>
      </c>
      <c r="P73" s="82">
        <v>81.900000000000006</v>
      </c>
      <c r="Q73" s="83">
        <v>93.15</v>
      </c>
      <c r="R73" s="91"/>
      <c r="S73" s="40"/>
      <c r="T73" s="40"/>
      <c r="U73" s="40"/>
      <c r="V73" s="40"/>
      <c r="W73" s="40"/>
      <c r="X73" s="40"/>
      <c r="Y73" s="40"/>
      <c r="Z73" s="40"/>
      <c r="AA73" s="40"/>
      <c r="AB73" s="40"/>
      <c r="AC73" s="40"/>
      <c r="AD73" s="40"/>
      <c r="AE73" s="40"/>
      <c r="AF73" s="40"/>
      <c r="AG73" s="40"/>
      <c r="AH73" s="40"/>
      <c r="AI73" s="40"/>
      <c r="AJ73" s="40"/>
      <c r="AK73" s="40"/>
      <c r="AL73" s="40"/>
      <c r="AM73" s="40"/>
      <c r="AN73" s="40"/>
    </row>
    <row r="74" spans="1:40" ht="16.5" customHeight="1" x14ac:dyDescent="0.25">
      <c r="A74" s="40"/>
      <c r="B74" s="40"/>
      <c r="C74" s="40"/>
      <c r="D74" s="40"/>
      <c r="E74" s="40"/>
      <c r="F74" s="40"/>
      <c r="G74" s="40"/>
      <c r="H74" s="40"/>
      <c r="I74" s="40"/>
      <c r="J74" s="40"/>
      <c r="K74" s="209"/>
      <c r="L74" s="95"/>
      <c r="M74" s="95" t="s">
        <v>171</v>
      </c>
      <c r="N74" s="96">
        <v>82.91</v>
      </c>
      <c r="O74" s="96">
        <v>95.04</v>
      </c>
      <c r="P74" s="96">
        <v>78.569999999999993</v>
      </c>
      <c r="Q74" s="96">
        <v>88.71</v>
      </c>
      <c r="R74" s="40"/>
      <c r="S74" s="40"/>
      <c r="T74" s="40"/>
      <c r="U74" s="40"/>
      <c r="V74" s="40"/>
      <c r="W74" s="40"/>
      <c r="X74" s="40"/>
      <c r="Y74" s="40"/>
      <c r="Z74" s="40"/>
      <c r="AA74" s="40"/>
      <c r="AB74" s="40"/>
      <c r="AC74" s="40"/>
      <c r="AD74" s="40"/>
      <c r="AE74" s="40"/>
      <c r="AF74" s="40"/>
      <c r="AG74" s="40"/>
      <c r="AH74" s="40"/>
      <c r="AI74" s="40"/>
      <c r="AJ74" s="40"/>
      <c r="AK74" s="40"/>
      <c r="AL74" s="40"/>
      <c r="AM74" s="40"/>
      <c r="AN74" s="40"/>
    </row>
    <row r="75" spans="1:40" ht="15" customHeight="1" x14ac:dyDescent="0.25">
      <c r="A75" s="40"/>
      <c r="B75" s="40"/>
      <c r="C75" s="40"/>
      <c r="D75" s="40"/>
      <c r="E75" s="40"/>
      <c r="F75" s="40"/>
      <c r="G75" s="40"/>
      <c r="H75" s="40"/>
      <c r="I75" s="40"/>
      <c r="J75" s="40"/>
      <c r="K75" s="209"/>
      <c r="L75" s="97"/>
      <c r="M75" s="97" t="s">
        <v>191</v>
      </c>
      <c r="N75" s="98">
        <v>81.97</v>
      </c>
      <c r="O75" s="98">
        <v>94.28</v>
      </c>
      <c r="P75" s="98">
        <v>77.040000000000006</v>
      </c>
      <c r="Q75" s="98">
        <v>87.11</v>
      </c>
      <c r="R75" s="40"/>
      <c r="S75" s="40"/>
      <c r="T75" s="40"/>
      <c r="U75" s="40"/>
      <c r="V75" s="40"/>
      <c r="W75" s="40"/>
      <c r="X75" s="40"/>
      <c r="Y75" s="40"/>
      <c r="Z75" s="40"/>
      <c r="AA75" s="40"/>
      <c r="AB75" s="40"/>
      <c r="AC75" s="40"/>
      <c r="AD75" s="40"/>
      <c r="AE75" s="40"/>
      <c r="AF75" s="40"/>
      <c r="AG75" s="40"/>
      <c r="AH75" s="40"/>
      <c r="AI75" s="40"/>
      <c r="AJ75" s="40"/>
      <c r="AK75" s="40"/>
      <c r="AL75" s="40"/>
      <c r="AM75" s="40"/>
      <c r="AN75" s="40"/>
    </row>
    <row r="76" spans="1:40" ht="15.75" customHeight="1" thickBot="1" x14ac:dyDescent="0.3">
      <c r="A76" s="40"/>
      <c r="B76" s="40"/>
      <c r="C76" s="40"/>
      <c r="D76" s="40"/>
      <c r="E76" s="40"/>
      <c r="F76" s="40"/>
      <c r="G76" s="40"/>
      <c r="H76" s="40"/>
      <c r="I76" s="40"/>
      <c r="J76" s="40"/>
      <c r="K76" s="40"/>
      <c r="L76" s="40"/>
      <c r="M76" s="40"/>
      <c r="N76" s="40"/>
      <c r="O76" s="40"/>
      <c r="P76" s="40"/>
      <c r="Q76" s="40"/>
      <c r="R76" s="40"/>
      <c r="S76" s="40"/>
      <c r="T76" s="40"/>
      <c r="U76" s="40"/>
      <c r="V76" s="40"/>
      <c r="W76" s="40"/>
      <c r="X76" s="40"/>
      <c r="Y76" s="40"/>
      <c r="Z76" s="40"/>
      <c r="AA76" s="40"/>
      <c r="AB76" s="40"/>
      <c r="AC76" s="40"/>
      <c r="AD76" s="40"/>
      <c r="AE76" s="40"/>
      <c r="AF76" s="40"/>
      <c r="AG76" s="40"/>
      <c r="AH76" s="40"/>
      <c r="AI76" s="40"/>
      <c r="AJ76" s="40"/>
      <c r="AK76" s="40"/>
      <c r="AL76" s="40"/>
      <c r="AM76" s="40"/>
      <c r="AN76" s="40"/>
    </row>
    <row r="77" spans="1:40" ht="35.25" customHeight="1" thickBot="1" x14ac:dyDescent="0.3">
      <c r="A77" s="40"/>
      <c r="B77" s="40"/>
      <c r="C77" s="40"/>
      <c r="D77" s="40"/>
      <c r="E77" s="40"/>
      <c r="F77" s="40"/>
      <c r="G77" s="40"/>
      <c r="H77" s="40"/>
      <c r="I77" s="40"/>
      <c r="J77" s="40"/>
      <c r="K77" s="40"/>
      <c r="L77" s="40"/>
      <c r="M77" s="40"/>
      <c r="N77" s="71">
        <v>2016</v>
      </c>
      <c r="O77" s="71">
        <v>2016</v>
      </c>
      <c r="P77" s="71" t="s">
        <v>376</v>
      </c>
      <c r="Q77" s="71" t="s">
        <v>377</v>
      </c>
      <c r="R77" s="40"/>
      <c r="S77" s="40"/>
      <c r="T77" s="40"/>
      <c r="U77" s="40"/>
      <c r="V77" s="40"/>
      <c r="W77" s="40"/>
      <c r="X77" s="40"/>
      <c r="Y77" s="40"/>
      <c r="Z77" s="40"/>
      <c r="AA77" s="40"/>
      <c r="AB77" s="40"/>
      <c r="AC77" s="40"/>
      <c r="AD77" s="40"/>
      <c r="AE77" s="40"/>
      <c r="AF77" s="40"/>
      <c r="AG77" s="40"/>
      <c r="AH77" s="40"/>
      <c r="AI77" s="40"/>
      <c r="AJ77" s="40"/>
      <c r="AK77" s="40"/>
      <c r="AL77" s="40"/>
      <c r="AM77" s="40"/>
      <c r="AN77" s="40"/>
    </row>
    <row r="78" spans="1:40" ht="14.25" customHeight="1" x14ac:dyDescent="0.25">
      <c r="A78" s="40"/>
      <c r="B78" s="40"/>
      <c r="C78" s="40"/>
      <c r="D78" s="40"/>
      <c r="E78" s="40"/>
      <c r="F78" s="40"/>
      <c r="G78" s="40"/>
      <c r="H78" s="40"/>
      <c r="I78" s="40"/>
      <c r="J78" s="40"/>
      <c r="K78" s="199" t="s">
        <v>26</v>
      </c>
      <c r="L78" s="200" t="s">
        <v>164</v>
      </c>
      <c r="M78" s="201"/>
      <c r="N78" s="99">
        <v>85.93</v>
      </c>
      <c r="O78" s="99">
        <v>94.88</v>
      </c>
      <c r="P78" s="99">
        <v>78.73</v>
      </c>
      <c r="Q78" s="99">
        <v>88.43</v>
      </c>
      <c r="R78" s="40"/>
      <c r="S78" s="40"/>
      <c r="T78" s="40"/>
      <c r="U78" s="40"/>
      <c r="V78" s="40"/>
      <c r="W78" s="40"/>
      <c r="X78" s="40"/>
      <c r="Y78" s="40"/>
      <c r="Z78" s="40"/>
      <c r="AA78" s="40"/>
      <c r="AB78" s="40"/>
      <c r="AC78" s="40"/>
      <c r="AD78" s="40"/>
      <c r="AE78" s="40"/>
      <c r="AF78" s="40"/>
      <c r="AG78" s="40"/>
      <c r="AH78" s="40"/>
      <c r="AI78" s="40"/>
      <c r="AJ78" s="40"/>
      <c r="AK78" s="40"/>
      <c r="AL78" s="40"/>
      <c r="AM78" s="40"/>
      <c r="AN78" s="40"/>
    </row>
    <row r="79" spans="1:40" ht="14.25" customHeight="1" x14ac:dyDescent="0.25">
      <c r="A79" s="40"/>
      <c r="B79" s="40"/>
      <c r="C79" s="40"/>
      <c r="D79" s="40"/>
      <c r="E79" s="40"/>
      <c r="F79" s="40"/>
      <c r="G79" s="40"/>
      <c r="H79" s="40"/>
      <c r="I79" s="40"/>
      <c r="J79" s="40"/>
      <c r="K79" s="199"/>
      <c r="L79" s="200" t="s">
        <v>166</v>
      </c>
      <c r="M79" s="201"/>
      <c r="N79" s="100">
        <v>81.56</v>
      </c>
      <c r="O79" s="100">
        <v>94.96</v>
      </c>
      <c r="P79" s="100">
        <v>77.39</v>
      </c>
      <c r="Q79" s="100">
        <v>87.95</v>
      </c>
      <c r="R79" s="40"/>
      <c r="S79" s="40"/>
      <c r="T79" s="40"/>
      <c r="U79" s="40"/>
      <c r="V79" s="40"/>
      <c r="W79" s="40"/>
      <c r="X79" s="40"/>
      <c r="Y79" s="40"/>
      <c r="Z79" s="40"/>
      <c r="AA79" s="40"/>
      <c r="AB79" s="40"/>
      <c r="AC79" s="40"/>
      <c r="AD79" s="40"/>
      <c r="AE79" s="40"/>
      <c r="AF79" s="40"/>
      <c r="AG79" s="40"/>
      <c r="AH79" s="40"/>
      <c r="AI79" s="40"/>
      <c r="AJ79" s="40"/>
      <c r="AK79" s="40"/>
      <c r="AL79" s="40"/>
      <c r="AM79" s="40"/>
      <c r="AN79" s="40"/>
    </row>
    <row r="80" spans="1:40" ht="14.25" customHeight="1" x14ac:dyDescent="0.25">
      <c r="A80" s="40"/>
      <c r="B80" s="40"/>
      <c r="C80" s="40"/>
      <c r="D80" s="40"/>
      <c r="E80" s="40"/>
      <c r="F80" s="40"/>
      <c r="G80" s="40"/>
      <c r="H80" s="40"/>
      <c r="I80" s="40"/>
      <c r="J80" s="40"/>
      <c r="K80" s="199"/>
      <c r="L80" s="200" t="s">
        <v>167</v>
      </c>
      <c r="M80" s="201"/>
      <c r="N80" s="101">
        <v>77.78</v>
      </c>
      <c r="O80" s="101">
        <v>92.86</v>
      </c>
      <c r="P80" s="101">
        <v>74.680000000000007</v>
      </c>
      <c r="Q80" s="101">
        <v>84.65</v>
      </c>
      <c r="R80" s="40"/>
      <c r="S80" s="40"/>
      <c r="T80" s="40"/>
      <c r="U80" s="40"/>
      <c r="V80" s="40"/>
      <c r="W80" s="40"/>
      <c r="X80" s="40"/>
      <c r="Y80" s="40"/>
      <c r="Z80" s="40"/>
      <c r="AA80" s="40"/>
      <c r="AB80" s="40"/>
      <c r="AC80" s="40"/>
      <c r="AD80" s="40"/>
      <c r="AE80" s="40"/>
      <c r="AF80" s="40"/>
      <c r="AG80" s="40"/>
      <c r="AH80" s="40"/>
      <c r="AI80" s="40"/>
      <c r="AJ80" s="40"/>
      <c r="AK80" s="40"/>
      <c r="AL80" s="40"/>
      <c r="AM80" s="40"/>
      <c r="AN80" s="40"/>
    </row>
    <row r="81" spans="1:40" ht="14.25" customHeight="1" x14ac:dyDescent="0.25">
      <c r="A81" s="40"/>
      <c r="B81" s="40"/>
      <c r="C81" s="40"/>
      <c r="D81" s="40"/>
      <c r="E81" s="40"/>
      <c r="F81" s="40"/>
      <c r="G81" s="40"/>
      <c r="H81" s="40"/>
      <c r="I81" s="40"/>
      <c r="J81" s="40"/>
      <c r="K81" s="199"/>
      <c r="L81" s="200" t="s">
        <v>168</v>
      </c>
      <c r="M81" s="201"/>
      <c r="N81" s="102">
        <v>83.3</v>
      </c>
      <c r="O81" s="102">
        <v>95.95</v>
      </c>
      <c r="P81" s="102">
        <v>79.47</v>
      </c>
      <c r="Q81" s="102">
        <v>90.98</v>
      </c>
      <c r="R81" s="40"/>
      <c r="S81" s="40"/>
      <c r="T81" s="40"/>
      <c r="U81" s="40"/>
      <c r="V81" s="40"/>
      <c r="W81" s="40"/>
      <c r="X81" s="40"/>
      <c r="Y81" s="40"/>
      <c r="Z81" s="40"/>
      <c r="AA81" s="40"/>
      <c r="AB81" s="40"/>
      <c r="AC81" s="40"/>
      <c r="AD81" s="40"/>
      <c r="AE81" s="40"/>
      <c r="AF81" s="40"/>
      <c r="AG81" s="40"/>
      <c r="AH81" s="40"/>
      <c r="AI81" s="40"/>
      <c r="AJ81" s="40"/>
      <c r="AK81" s="40"/>
      <c r="AL81" s="40"/>
      <c r="AM81" s="40"/>
      <c r="AN81" s="40"/>
    </row>
    <row r="82" spans="1:40" ht="14.25" customHeight="1" x14ac:dyDescent="0.25">
      <c r="A82" s="40"/>
      <c r="B82" s="40"/>
      <c r="C82" s="40"/>
      <c r="D82" s="40"/>
      <c r="E82" s="40"/>
      <c r="F82" s="40"/>
      <c r="G82" s="40"/>
      <c r="H82" s="40"/>
      <c r="I82" s="40"/>
      <c r="J82" s="40"/>
      <c r="K82" s="199"/>
      <c r="L82" s="200" t="s">
        <v>169</v>
      </c>
      <c r="M82" s="201"/>
      <c r="N82" s="103">
        <v>86.19</v>
      </c>
      <c r="O82" s="103">
        <v>96.91</v>
      </c>
      <c r="P82" s="103">
        <v>83.49</v>
      </c>
      <c r="Q82" s="103">
        <v>92.72</v>
      </c>
      <c r="R82" s="40"/>
      <c r="S82" s="40"/>
      <c r="T82" s="40"/>
      <c r="U82" s="40"/>
      <c r="V82" s="40"/>
      <c r="W82" s="40"/>
      <c r="X82" s="40"/>
      <c r="Y82" s="40"/>
      <c r="Z82" s="40"/>
      <c r="AA82" s="40"/>
      <c r="AB82" s="40"/>
      <c r="AC82" s="40"/>
      <c r="AD82" s="40"/>
      <c r="AE82" s="40"/>
      <c r="AF82" s="40"/>
      <c r="AG82" s="40"/>
      <c r="AH82" s="40"/>
      <c r="AI82" s="40"/>
      <c r="AJ82" s="40"/>
      <c r="AK82" s="40"/>
      <c r="AL82" s="40"/>
      <c r="AM82" s="40"/>
      <c r="AN82" s="40"/>
    </row>
    <row r="83" spans="1:40" ht="15" customHeight="1" x14ac:dyDescent="0.25">
      <c r="A83" s="40"/>
      <c r="B83" s="40"/>
      <c r="C83" s="40"/>
      <c r="D83" s="40"/>
      <c r="E83" s="40"/>
      <c r="F83" s="40"/>
      <c r="G83" s="40"/>
      <c r="H83" s="40"/>
      <c r="I83" s="40"/>
      <c r="J83" s="40"/>
      <c r="K83" s="40"/>
      <c r="L83" s="40"/>
      <c r="M83" s="40"/>
      <c r="N83" s="40"/>
      <c r="O83" s="40"/>
      <c r="P83" s="40"/>
      <c r="Q83" s="40"/>
      <c r="R83" s="40"/>
      <c r="S83" s="40"/>
      <c r="T83" s="40"/>
      <c r="U83" s="40"/>
      <c r="V83" s="40"/>
      <c r="W83" s="40"/>
      <c r="X83" s="40"/>
      <c r="Y83" s="40"/>
      <c r="Z83" s="40"/>
      <c r="AA83" s="40"/>
      <c r="AB83" s="40"/>
      <c r="AC83" s="40"/>
      <c r="AD83" s="40"/>
      <c r="AE83" s="40"/>
      <c r="AF83" s="40"/>
      <c r="AG83" s="40"/>
      <c r="AH83" s="40"/>
      <c r="AI83" s="40"/>
      <c r="AJ83" s="40"/>
      <c r="AK83" s="40"/>
      <c r="AL83" s="40"/>
      <c r="AM83" s="40"/>
      <c r="AN83" s="40"/>
    </row>
    <row r="84" spans="1:40" ht="15" customHeight="1" x14ac:dyDescent="0.25">
      <c r="A84" s="40"/>
      <c r="B84" s="40"/>
      <c r="C84" s="40"/>
      <c r="D84" s="40"/>
      <c r="E84" s="40"/>
      <c r="F84" s="40"/>
      <c r="G84" s="40"/>
      <c r="H84" s="40"/>
      <c r="I84" s="40"/>
      <c r="J84" s="40"/>
      <c r="K84" s="40"/>
      <c r="L84" s="40"/>
      <c r="M84" s="40"/>
      <c r="N84" s="40"/>
      <c r="O84" s="40"/>
      <c r="P84" s="40"/>
      <c r="Q84" s="40"/>
      <c r="R84" s="40"/>
      <c r="S84" s="40"/>
      <c r="T84" s="40"/>
      <c r="U84" s="40"/>
      <c r="V84" s="40"/>
      <c r="W84" s="40"/>
      <c r="X84" s="40"/>
      <c r="Y84" s="40"/>
      <c r="Z84" s="40"/>
      <c r="AA84" s="40"/>
      <c r="AB84" s="40"/>
      <c r="AC84" s="40"/>
      <c r="AD84" s="40"/>
      <c r="AE84" s="40"/>
      <c r="AF84" s="40"/>
      <c r="AG84" s="40"/>
      <c r="AH84" s="40"/>
      <c r="AI84" s="40"/>
      <c r="AJ84" s="40"/>
      <c r="AK84" s="40"/>
      <c r="AL84" s="40"/>
      <c r="AM84" s="40"/>
      <c r="AN84" s="40"/>
    </row>
    <row r="85" spans="1:40" ht="24.75" customHeight="1" x14ac:dyDescent="0.25">
      <c r="A85" s="40"/>
      <c r="B85" s="40"/>
      <c r="C85" s="40"/>
      <c r="D85" s="40"/>
      <c r="E85" s="40"/>
      <c r="F85" s="40"/>
      <c r="G85" s="40"/>
      <c r="H85" s="40"/>
      <c r="I85" s="192" t="s">
        <v>147</v>
      </c>
      <c r="J85" s="192"/>
      <c r="K85" s="104" t="s">
        <v>375</v>
      </c>
      <c r="L85" s="104" t="s">
        <v>381</v>
      </c>
      <c r="M85" s="104" t="s">
        <v>382</v>
      </c>
      <c r="N85" s="104">
        <v>2016</v>
      </c>
      <c r="O85" s="104" t="s">
        <v>487</v>
      </c>
      <c r="P85" s="40"/>
      <c r="Q85" s="40"/>
      <c r="R85" s="40"/>
      <c r="S85" s="40"/>
      <c r="T85" s="40"/>
      <c r="U85" s="40"/>
      <c r="V85" s="40"/>
      <c r="W85" s="40"/>
      <c r="X85" s="40"/>
      <c r="Y85" s="40"/>
      <c r="Z85" s="40"/>
      <c r="AA85" s="40"/>
      <c r="AB85" s="40"/>
      <c r="AC85" s="40"/>
      <c r="AD85" s="40"/>
      <c r="AE85" s="40"/>
      <c r="AF85" s="40"/>
      <c r="AG85" s="40"/>
      <c r="AH85" s="40"/>
      <c r="AI85" s="40"/>
      <c r="AJ85" s="40"/>
      <c r="AK85" s="40"/>
      <c r="AL85" s="40"/>
      <c r="AM85" s="40"/>
      <c r="AN85" s="40"/>
    </row>
    <row r="86" spans="1:40" ht="24.75" customHeight="1" x14ac:dyDescent="0.25">
      <c r="A86" s="40"/>
      <c r="B86" s="40"/>
      <c r="C86" s="40"/>
      <c r="D86" s="40"/>
      <c r="E86" s="40"/>
      <c r="F86" s="40"/>
      <c r="G86" s="40"/>
      <c r="H86" s="105">
        <v>1</v>
      </c>
      <c r="I86" s="191" t="s">
        <v>148</v>
      </c>
      <c r="J86" s="191"/>
      <c r="K86" s="106" t="s">
        <v>449</v>
      </c>
      <c r="L86" s="105">
        <v>36</v>
      </c>
      <c r="M86" s="105" t="s">
        <v>451</v>
      </c>
      <c r="N86" s="107">
        <v>96.52</v>
      </c>
      <c r="O86" s="107">
        <v>13.61</v>
      </c>
      <c r="P86" s="40"/>
      <c r="Q86" s="40"/>
      <c r="R86" s="40"/>
      <c r="S86" s="40"/>
      <c r="T86" s="40"/>
      <c r="U86" s="40"/>
      <c r="V86" s="40"/>
      <c r="W86" s="40"/>
      <c r="X86" s="40"/>
      <c r="Y86" s="40"/>
      <c r="Z86" s="40"/>
      <c r="AA86" s="40"/>
      <c r="AB86" s="40"/>
      <c r="AC86" s="40"/>
      <c r="AD86" s="40"/>
      <c r="AE86" s="40"/>
      <c r="AF86" s="40"/>
      <c r="AG86" s="40"/>
      <c r="AH86" s="40"/>
      <c r="AI86" s="40"/>
      <c r="AJ86" s="40"/>
      <c r="AK86" s="40"/>
      <c r="AL86" s="40"/>
      <c r="AM86" s="40"/>
      <c r="AN86" s="40"/>
    </row>
    <row r="87" spans="1:40" ht="24.75" customHeight="1" x14ac:dyDescent="0.25">
      <c r="A87" s="40"/>
      <c r="B87" s="40"/>
      <c r="C87" s="40"/>
      <c r="D87" s="40"/>
      <c r="E87" s="40"/>
      <c r="F87" s="40"/>
      <c r="G87" s="40"/>
      <c r="H87" s="105">
        <v>2</v>
      </c>
      <c r="I87" s="191" t="s">
        <v>148</v>
      </c>
      <c r="J87" s="191"/>
      <c r="K87" s="106" t="s">
        <v>449</v>
      </c>
      <c r="L87" s="105">
        <v>37</v>
      </c>
      <c r="M87" s="105" t="s">
        <v>452</v>
      </c>
      <c r="N87" s="107">
        <v>94.97</v>
      </c>
      <c r="O87" s="107">
        <v>12.06</v>
      </c>
      <c r="P87" s="40"/>
      <c r="Q87" s="40"/>
      <c r="R87" s="40"/>
      <c r="S87" s="40"/>
      <c r="T87" s="40"/>
      <c r="U87" s="40"/>
      <c r="V87" s="40"/>
      <c r="W87" s="40"/>
      <c r="X87" s="40"/>
      <c r="Y87" s="40"/>
      <c r="Z87" s="40"/>
      <c r="AA87" s="40"/>
      <c r="AB87" s="40"/>
      <c r="AC87" s="40"/>
      <c r="AD87" s="40"/>
      <c r="AE87" s="40"/>
      <c r="AF87" s="40"/>
      <c r="AG87" s="40"/>
      <c r="AH87" s="40"/>
      <c r="AI87" s="40"/>
      <c r="AJ87" s="40"/>
      <c r="AK87" s="40"/>
      <c r="AL87" s="40"/>
      <c r="AM87" s="40"/>
      <c r="AN87" s="40"/>
    </row>
    <row r="88" spans="1:40" ht="24.75" customHeight="1" x14ac:dyDescent="0.25">
      <c r="A88" s="40"/>
      <c r="B88" s="40"/>
      <c r="C88" s="40"/>
      <c r="D88" s="40"/>
      <c r="E88" s="40"/>
      <c r="F88" s="40"/>
      <c r="G88" s="40"/>
      <c r="H88" s="105">
        <v>3</v>
      </c>
      <c r="I88" s="191" t="s">
        <v>148</v>
      </c>
      <c r="J88" s="191"/>
      <c r="K88" s="106" t="s">
        <v>449</v>
      </c>
      <c r="L88" s="105">
        <v>38</v>
      </c>
      <c r="M88" s="105" t="s">
        <v>453</v>
      </c>
      <c r="N88" s="107">
        <v>93.83</v>
      </c>
      <c r="O88" s="107">
        <v>10.92</v>
      </c>
      <c r="P88" s="40"/>
      <c r="Q88" s="40"/>
      <c r="R88" s="40"/>
      <c r="S88" s="40"/>
      <c r="T88" s="40"/>
      <c r="U88" s="40"/>
      <c r="V88" s="40"/>
      <c r="W88" s="40"/>
      <c r="X88" s="40"/>
      <c r="Y88" s="40"/>
      <c r="Z88" s="40"/>
      <c r="AA88" s="40"/>
      <c r="AB88" s="40"/>
      <c r="AC88" s="40"/>
      <c r="AD88" s="40"/>
      <c r="AE88" s="40"/>
      <c r="AF88" s="40"/>
      <c r="AG88" s="40"/>
      <c r="AH88" s="40"/>
      <c r="AI88" s="40"/>
      <c r="AJ88" s="40"/>
      <c r="AK88" s="40"/>
      <c r="AL88" s="40"/>
      <c r="AM88" s="40"/>
      <c r="AN88" s="40"/>
    </row>
    <row r="89" spans="1:40" ht="24.75" customHeight="1" x14ac:dyDescent="0.25">
      <c r="A89" s="40"/>
      <c r="B89" s="40"/>
      <c r="C89" s="40"/>
      <c r="D89" s="40"/>
      <c r="E89" s="40"/>
      <c r="F89" s="40"/>
      <c r="G89" s="40"/>
      <c r="H89" s="105">
        <v>4</v>
      </c>
      <c r="I89" s="191" t="s">
        <v>488</v>
      </c>
      <c r="J89" s="191"/>
      <c r="K89" s="106" t="s">
        <v>472</v>
      </c>
      <c r="L89" s="105">
        <v>53</v>
      </c>
      <c r="M89" s="105" t="s">
        <v>473</v>
      </c>
      <c r="N89" s="107">
        <v>93.54</v>
      </c>
      <c r="O89" s="107">
        <v>10.63</v>
      </c>
      <c r="P89" s="40"/>
      <c r="Q89" s="40"/>
      <c r="R89" s="40"/>
      <c r="S89" s="40"/>
      <c r="T89" s="40"/>
      <c r="U89" s="40"/>
      <c r="V89" s="40"/>
      <c r="W89" s="40"/>
      <c r="X89" s="40"/>
      <c r="Y89" s="40"/>
      <c r="Z89" s="40"/>
      <c r="AA89" s="40"/>
      <c r="AB89" s="40"/>
      <c r="AC89" s="40"/>
      <c r="AD89" s="40"/>
      <c r="AE89" s="40"/>
      <c r="AF89" s="40"/>
      <c r="AG89" s="40"/>
      <c r="AH89" s="40"/>
      <c r="AI89" s="40"/>
      <c r="AJ89" s="40"/>
      <c r="AK89" s="40"/>
      <c r="AL89" s="40"/>
      <c r="AM89" s="40"/>
      <c r="AN89" s="40"/>
    </row>
    <row r="90" spans="1:40" ht="24.75" customHeight="1" x14ac:dyDescent="0.25">
      <c r="A90" s="40"/>
      <c r="B90" s="40"/>
      <c r="C90" s="40"/>
      <c r="D90" s="40"/>
      <c r="E90" s="40"/>
      <c r="F90" s="40"/>
      <c r="G90" s="40"/>
      <c r="H90" s="105">
        <v>5</v>
      </c>
      <c r="I90" s="191" t="s">
        <v>149</v>
      </c>
      <c r="J90" s="191"/>
      <c r="K90" s="106" t="s">
        <v>418</v>
      </c>
      <c r="L90" s="105">
        <v>14</v>
      </c>
      <c r="M90" s="105" t="s">
        <v>419</v>
      </c>
      <c r="N90" s="107">
        <v>92.33</v>
      </c>
      <c r="O90" s="107">
        <v>9.42</v>
      </c>
      <c r="P90" s="40"/>
      <c r="Q90" s="40"/>
      <c r="R90" s="40"/>
      <c r="S90" s="40"/>
      <c r="T90" s="40"/>
      <c r="U90" s="40"/>
      <c r="V90" s="40"/>
      <c r="W90" s="40"/>
      <c r="X90" s="40"/>
      <c r="Y90" s="40"/>
      <c r="Z90" s="40"/>
      <c r="AA90" s="40"/>
      <c r="AB90" s="40"/>
      <c r="AC90" s="40"/>
      <c r="AD90" s="40"/>
      <c r="AE90" s="40"/>
      <c r="AF90" s="40"/>
      <c r="AG90" s="40"/>
      <c r="AH90" s="40"/>
      <c r="AI90" s="40"/>
      <c r="AJ90" s="40"/>
      <c r="AK90" s="40"/>
      <c r="AL90" s="40"/>
      <c r="AM90" s="40"/>
      <c r="AN90" s="40"/>
    </row>
    <row r="91" spans="1:40" ht="24.75" customHeight="1" x14ac:dyDescent="0.25">
      <c r="A91" s="40"/>
      <c r="B91" s="40"/>
      <c r="C91" s="40"/>
      <c r="D91" s="40"/>
      <c r="E91" s="40"/>
      <c r="F91" s="40"/>
      <c r="G91" s="40"/>
      <c r="H91" s="105">
        <v>6</v>
      </c>
      <c r="I91" s="191" t="s">
        <v>148</v>
      </c>
      <c r="J91" s="191"/>
      <c r="K91" s="106" t="s">
        <v>443</v>
      </c>
      <c r="L91" s="105">
        <v>31</v>
      </c>
      <c r="M91" s="105" t="s">
        <v>445</v>
      </c>
      <c r="N91" s="107">
        <v>92.08</v>
      </c>
      <c r="O91" s="107">
        <v>9.17</v>
      </c>
      <c r="P91" s="40"/>
      <c r="Q91" s="40"/>
      <c r="R91" s="40"/>
      <c r="S91" s="40"/>
      <c r="T91" s="40"/>
      <c r="U91" s="40"/>
      <c r="V91" s="40"/>
      <c r="W91" s="40"/>
      <c r="X91" s="40"/>
      <c r="Y91" s="40"/>
      <c r="Z91" s="40"/>
      <c r="AA91" s="40"/>
      <c r="AB91" s="40"/>
      <c r="AC91" s="40"/>
      <c r="AD91" s="40"/>
      <c r="AE91" s="40"/>
      <c r="AF91" s="40"/>
      <c r="AG91" s="40"/>
      <c r="AH91" s="40"/>
      <c r="AI91" s="40"/>
      <c r="AJ91" s="40"/>
      <c r="AK91" s="40"/>
      <c r="AL91" s="40"/>
      <c r="AM91" s="40"/>
      <c r="AN91" s="40"/>
    </row>
    <row r="92" spans="1:40" ht="24.75" customHeight="1" x14ac:dyDescent="0.25">
      <c r="A92" s="40"/>
      <c r="B92" s="40"/>
      <c r="C92" s="40"/>
      <c r="D92" s="40"/>
      <c r="E92" s="40"/>
      <c r="F92" s="40"/>
      <c r="G92" s="40"/>
      <c r="H92" s="105">
        <v>7</v>
      </c>
      <c r="I92" s="191" t="s">
        <v>150</v>
      </c>
      <c r="J92" s="191"/>
      <c r="K92" s="106" t="s">
        <v>430</v>
      </c>
      <c r="L92" s="105">
        <v>21</v>
      </c>
      <c r="M92" s="105" t="s">
        <v>431</v>
      </c>
      <c r="N92" s="107">
        <v>91.17</v>
      </c>
      <c r="O92" s="107">
        <v>8.26</v>
      </c>
      <c r="P92" s="40"/>
      <c r="Q92" s="40"/>
      <c r="R92" s="40"/>
      <c r="S92" s="40"/>
      <c r="T92" s="40"/>
      <c r="U92" s="40"/>
      <c r="V92" s="40"/>
      <c r="W92" s="40"/>
      <c r="X92" s="40"/>
      <c r="Y92" s="40"/>
      <c r="Z92" s="40"/>
      <c r="AA92" s="40"/>
      <c r="AB92" s="40"/>
      <c r="AC92" s="40"/>
      <c r="AD92" s="40"/>
      <c r="AE92" s="40"/>
      <c r="AF92" s="40"/>
      <c r="AG92" s="40"/>
      <c r="AH92" s="40"/>
      <c r="AI92" s="40"/>
      <c r="AJ92" s="40"/>
      <c r="AK92" s="40"/>
      <c r="AL92" s="40"/>
      <c r="AM92" s="40"/>
      <c r="AN92" s="40"/>
    </row>
    <row r="93" spans="1:40" ht="24.75" customHeight="1" x14ac:dyDescent="0.25">
      <c r="A93" s="40"/>
      <c r="B93" s="40"/>
      <c r="C93" s="40"/>
      <c r="D93" s="40"/>
      <c r="E93" s="40"/>
      <c r="F93" s="40"/>
      <c r="G93" s="40"/>
      <c r="H93" s="105">
        <v>8</v>
      </c>
      <c r="I93" s="191" t="s">
        <v>159</v>
      </c>
      <c r="J93" s="191"/>
      <c r="K93" s="106" t="s">
        <v>21</v>
      </c>
      <c r="L93" s="105">
        <v>42</v>
      </c>
      <c r="M93" s="105" t="s">
        <v>459</v>
      </c>
      <c r="N93" s="107">
        <v>90.85</v>
      </c>
      <c r="O93" s="107">
        <v>7.94</v>
      </c>
      <c r="P93" s="40"/>
      <c r="Q93" s="40"/>
      <c r="R93" s="40"/>
      <c r="S93" s="40"/>
      <c r="T93" s="40"/>
      <c r="U93" s="40"/>
      <c r="V93" s="40"/>
      <c r="W93" s="40"/>
      <c r="X93" s="40"/>
      <c r="Y93" s="40"/>
      <c r="Z93" s="40"/>
      <c r="AA93" s="40"/>
      <c r="AB93" s="40"/>
      <c r="AC93" s="40"/>
      <c r="AD93" s="40"/>
      <c r="AE93" s="40"/>
      <c r="AF93" s="40"/>
      <c r="AG93" s="40"/>
      <c r="AH93" s="40"/>
      <c r="AI93" s="40"/>
      <c r="AJ93" s="40"/>
      <c r="AK93" s="40"/>
      <c r="AL93" s="40"/>
      <c r="AM93" s="40"/>
      <c r="AN93" s="40"/>
    </row>
    <row r="94" spans="1:40" ht="24.75" customHeight="1" x14ac:dyDescent="0.25">
      <c r="A94" s="40"/>
      <c r="B94" s="40"/>
      <c r="C94" s="40"/>
      <c r="D94" s="40"/>
      <c r="E94" s="40"/>
      <c r="F94" s="40"/>
      <c r="G94" s="40"/>
      <c r="H94" s="105">
        <v>9</v>
      </c>
      <c r="I94" s="191" t="s">
        <v>488</v>
      </c>
      <c r="J94" s="191"/>
      <c r="K94" s="106" t="s">
        <v>469</v>
      </c>
      <c r="L94" s="105">
        <v>51</v>
      </c>
      <c r="M94" s="105" t="s">
        <v>470</v>
      </c>
      <c r="N94" s="107">
        <v>90.49</v>
      </c>
      <c r="O94" s="107">
        <v>7.57</v>
      </c>
      <c r="P94" s="40"/>
      <c r="Q94" s="40"/>
      <c r="R94" s="40"/>
      <c r="S94" s="40"/>
      <c r="T94" s="40"/>
      <c r="U94" s="40"/>
      <c r="V94" s="40"/>
      <c r="W94" s="40"/>
      <c r="X94" s="40"/>
      <c r="Y94" s="40"/>
      <c r="Z94" s="40"/>
      <c r="AA94" s="40"/>
      <c r="AB94" s="40"/>
      <c r="AC94" s="40"/>
      <c r="AD94" s="40"/>
      <c r="AE94" s="40"/>
      <c r="AF94" s="40"/>
      <c r="AG94" s="40"/>
      <c r="AH94" s="40"/>
      <c r="AI94" s="40"/>
      <c r="AJ94" s="40"/>
      <c r="AK94" s="40"/>
      <c r="AL94" s="40"/>
      <c r="AM94" s="40"/>
      <c r="AN94" s="40"/>
    </row>
    <row r="95" spans="1:40" ht="24.75" customHeight="1" x14ac:dyDescent="0.25">
      <c r="A95" s="40"/>
      <c r="B95" s="40"/>
      <c r="C95" s="40"/>
      <c r="D95" s="40"/>
      <c r="E95" s="40"/>
      <c r="F95" s="40"/>
      <c r="G95" s="40"/>
      <c r="H95" s="105">
        <v>10</v>
      </c>
      <c r="I95" s="191" t="s">
        <v>488</v>
      </c>
      <c r="J95" s="191"/>
      <c r="K95" s="106" t="s">
        <v>23</v>
      </c>
      <c r="L95" s="105">
        <v>48</v>
      </c>
      <c r="M95" s="105" t="s">
        <v>466</v>
      </c>
      <c r="N95" s="107">
        <v>89.81</v>
      </c>
      <c r="O95" s="107">
        <v>6.9</v>
      </c>
      <c r="P95" s="40"/>
      <c r="Q95" s="40"/>
      <c r="R95" s="40"/>
      <c r="S95" s="40"/>
      <c r="T95" s="40"/>
      <c r="U95" s="40"/>
      <c r="V95" s="40"/>
      <c r="W95" s="40"/>
      <c r="X95" s="40"/>
      <c r="Y95" s="40"/>
      <c r="Z95" s="40"/>
      <c r="AA95" s="40"/>
      <c r="AB95" s="40"/>
      <c r="AC95" s="40"/>
      <c r="AD95" s="40"/>
      <c r="AE95" s="40"/>
      <c r="AF95" s="40"/>
      <c r="AG95" s="40"/>
      <c r="AH95" s="40"/>
      <c r="AI95" s="40"/>
      <c r="AJ95" s="40"/>
      <c r="AK95" s="40"/>
      <c r="AL95" s="40"/>
      <c r="AM95" s="40"/>
      <c r="AN95" s="40"/>
    </row>
    <row r="96" spans="1:40" ht="15" customHeight="1" x14ac:dyDescent="0.25">
      <c r="A96" s="40"/>
      <c r="B96" s="40"/>
      <c r="C96" s="40"/>
      <c r="D96" s="40"/>
      <c r="E96" s="40"/>
      <c r="F96" s="40"/>
      <c r="G96" s="40"/>
      <c r="H96" s="40"/>
      <c r="I96" s="40"/>
      <c r="J96" s="40"/>
      <c r="K96" s="40"/>
      <c r="L96" s="40"/>
      <c r="M96" s="40"/>
      <c r="N96" s="40"/>
      <c r="O96" s="40"/>
      <c r="P96" s="40"/>
      <c r="Q96" s="40"/>
      <c r="R96" s="40"/>
      <c r="S96" s="40"/>
      <c r="T96" s="40"/>
      <c r="U96" s="40"/>
      <c r="V96" s="40"/>
      <c r="W96" s="40"/>
      <c r="X96" s="40"/>
      <c r="Y96" s="40"/>
      <c r="Z96" s="40"/>
      <c r="AA96" s="40"/>
      <c r="AB96" s="40"/>
      <c r="AC96" s="40"/>
      <c r="AD96" s="40"/>
      <c r="AE96" s="40"/>
      <c r="AF96" s="40"/>
      <c r="AG96" s="40"/>
      <c r="AH96" s="40"/>
      <c r="AI96" s="40"/>
      <c r="AJ96" s="40"/>
      <c r="AK96" s="40"/>
      <c r="AL96" s="40"/>
      <c r="AM96" s="40"/>
      <c r="AN96" s="40"/>
    </row>
    <row r="97" spans="1:40" ht="24.75" customHeight="1" x14ac:dyDescent="0.25">
      <c r="A97" s="40"/>
      <c r="B97" s="40"/>
      <c r="C97" s="40"/>
      <c r="D97" s="40"/>
      <c r="E97" s="40"/>
      <c r="F97" s="40"/>
      <c r="G97" s="40"/>
      <c r="H97" s="40"/>
      <c r="I97" s="192" t="s">
        <v>147</v>
      </c>
      <c r="J97" s="192"/>
      <c r="K97" s="104" t="s">
        <v>375</v>
      </c>
      <c r="L97" s="104" t="s">
        <v>381</v>
      </c>
      <c r="M97" s="104" t="s">
        <v>382</v>
      </c>
      <c r="N97" s="104">
        <v>2016</v>
      </c>
      <c r="O97" s="104" t="s">
        <v>487</v>
      </c>
      <c r="P97" s="40"/>
      <c r="Q97" s="40"/>
      <c r="R97" s="40"/>
      <c r="S97" s="40"/>
      <c r="T97" s="40"/>
      <c r="U97" s="40"/>
      <c r="V97" s="40"/>
      <c r="W97" s="40"/>
      <c r="X97" s="40"/>
      <c r="Y97" s="40"/>
      <c r="Z97" s="40"/>
      <c r="AA97" s="40"/>
      <c r="AB97" s="40"/>
      <c r="AC97" s="40"/>
      <c r="AD97" s="40"/>
      <c r="AE97" s="40"/>
      <c r="AF97" s="40"/>
      <c r="AG97" s="40"/>
      <c r="AH97" s="40"/>
      <c r="AI97" s="40"/>
      <c r="AJ97" s="40"/>
      <c r="AK97" s="40"/>
      <c r="AL97" s="40"/>
      <c r="AM97" s="40"/>
      <c r="AN97" s="40"/>
    </row>
    <row r="98" spans="1:40" ht="24.75" customHeight="1" x14ac:dyDescent="0.25">
      <c r="A98" s="40"/>
      <c r="B98" s="40"/>
      <c r="C98" s="40"/>
      <c r="D98" s="40"/>
      <c r="E98" s="40"/>
      <c r="F98" s="40"/>
      <c r="G98" s="40"/>
      <c r="H98" s="105">
        <v>1</v>
      </c>
      <c r="I98" s="191" t="s">
        <v>148</v>
      </c>
      <c r="J98" s="191"/>
      <c r="K98" s="106" t="s">
        <v>440</v>
      </c>
      <c r="L98" s="105">
        <v>29</v>
      </c>
      <c r="M98" s="105" t="s">
        <v>442</v>
      </c>
      <c r="N98" s="107">
        <v>45.85</v>
      </c>
      <c r="O98" s="107">
        <v>-37.06</v>
      </c>
      <c r="P98" s="40"/>
      <c r="Q98" s="40"/>
      <c r="R98" s="40"/>
      <c r="S98" s="40"/>
      <c r="T98" s="40"/>
      <c r="U98" s="40"/>
      <c r="V98" s="40"/>
      <c r="W98" s="40"/>
      <c r="X98" s="40"/>
      <c r="Y98" s="40"/>
      <c r="Z98" s="40"/>
      <c r="AA98" s="40"/>
      <c r="AB98" s="40"/>
      <c r="AC98" s="40"/>
      <c r="AD98" s="40"/>
      <c r="AE98" s="40"/>
      <c r="AF98" s="40"/>
      <c r="AG98" s="40"/>
      <c r="AH98" s="40"/>
      <c r="AI98" s="40"/>
      <c r="AJ98" s="40"/>
      <c r="AK98" s="40"/>
      <c r="AL98" s="40"/>
      <c r="AM98" s="40"/>
      <c r="AN98" s="40"/>
    </row>
    <row r="99" spans="1:40" ht="24.75" customHeight="1" x14ac:dyDescent="0.25">
      <c r="A99" s="40"/>
      <c r="B99" s="40"/>
      <c r="C99" s="40"/>
      <c r="D99" s="40"/>
      <c r="E99" s="40"/>
      <c r="F99" s="40"/>
      <c r="G99" s="40"/>
      <c r="H99" s="105">
        <v>2</v>
      </c>
      <c r="I99" s="191" t="s">
        <v>148</v>
      </c>
      <c r="J99" s="191"/>
      <c r="K99" s="106" t="s">
        <v>18</v>
      </c>
      <c r="L99" s="105">
        <v>32</v>
      </c>
      <c r="M99" s="105" t="s">
        <v>446</v>
      </c>
      <c r="N99" s="107">
        <v>58.81</v>
      </c>
      <c r="O99" s="107">
        <v>-24.11</v>
      </c>
      <c r="P99" s="40"/>
      <c r="Q99" s="40"/>
      <c r="R99" s="40"/>
      <c r="S99" s="40"/>
      <c r="T99" s="40"/>
      <c r="U99" s="40"/>
      <c r="V99" s="40"/>
      <c r="W99" s="40"/>
      <c r="X99" s="40"/>
      <c r="Y99" s="40"/>
      <c r="Z99" s="40"/>
      <c r="AA99" s="40"/>
      <c r="AB99" s="40"/>
      <c r="AC99" s="40"/>
      <c r="AD99" s="40"/>
      <c r="AE99" s="40"/>
      <c r="AF99" s="40"/>
      <c r="AG99" s="40"/>
      <c r="AH99" s="40"/>
      <c r="AI99" s="40"/>
      <c r="AJ99" s="40"/>
      <c r="AK99" s="40"/>
      <c r="AL99" s="40"/>
      <c r="AM99" s="40"/>
      <c r="AN99" s="40"/>
    </row>
    <row r="100" spans="1:40" ht="24.75" customHeight="1" x14ac:dyDescent="0.25">
      <c r="A100" s="40"/>
      <c r="B100" s="40"/>
      <c r="C100" s="40"/>
      <c r="D100" s="40"/>
      <c r="E100" s="40"/>
      <c r="F100" s="40"/>
      <c r="G100" s="40"/>
      <c r="H100" s="105">
        <v>3</v>
      </c>
      <c r="I100" s="191" t="s">
        <v>148</v>
      </c>
      <c r="J100" s="191"/>
      <c r="K100" s="106" t="s">
        <v>440</v>
      </c>
      <c r="L100" s="105">
        <v>28</v>
      </c>
      <c r="M100" s="105" t="s">
        <v>441</v>
      </c>
      <c r="N100" s="107">
        <v>63.94</v>
      </c>
      <c r="O100" s="107">
        <v>-18.97</v>
      </c>
      <c r="P100" s="40"/>
      <c r="Q100" s="40"/>
      <c r="R100" s="40"/>
      <c r="S100" s="40"/>
      <c r="T100" s="40"/>
      <c r="U100" s="40"/>
      <c r="V100" s="40"/>
      <c r="W100" s="40"/>
      <c r="X100" s="40"/>
      <c r="Y100" s="40"/>
      <c r="Z100" s="40"/>
      <c r="AA100" s="40"/>
      <c r="AB100" s="40"/>
      <c r="AC100" s="40"/>
      <c r="AD100" s="40"/>
      <c r="AE100" s="40"/>
      <c r="AF100" s="40"/>
      <c r="AG100" s="40"/>
      <c r="AH100" s="40"/>
      <c r="AI100" s="40"/>
      <c r="AJ100" s="40"/>
      <c r="AK100" s="40"/>
      <c r="AL100" s="40"/>
      <c r="AM100" s="40"/>
      <c r="AN100" s="40"/>
    </row>
    <row r="101" spans="1:40" ht="24.75" customHeight="1" x14ac:dyDescent="0.25">
      <c r="A101" s="40"/>
      <c r="B101" s="40"/>
      <c r="C101" s="40"/>
      <c r="D101" s="40"/>
      <c r="E101" s="40"/>
      <c r="F101" s="40"/>
      <c r="G101" s="40"/>
      <c r="H101" s="105">
        <v>4</v>
      </c>
      <c r="I101" s="191" t="s">
        <v>150</v>
      </c>
      <c r="J101" s="191"/>
      <c r="K101" s="106" t="s">
        <v>430</v>
      </c>
      <c r="L101" s="105">
        <v>22</v>
      </c>
      <c r="M101" s="105" t="s">
        <v>432</v>
      </c>
      <c r="N101" s="107">
        <v>69.52</v>
      </c>
      <c r="O101" s="107">
        <v>-13.39</v>
      </c>
      <c r="P101" s="40"/>
      <c r="Q101" s="40"/>
      <c r="R101" s="40"/>
      <c r="S101" s="40"/>
      <c r="T101" s="40"/>
      <c r="U101" s="40"/>
      <c r="V101" s="40"/>
      <c r="W101" s="40"/>
      <c r="X101" s="40"/>
      <c r="Y101" s="40"/>
      <c r="Z101" s="40"/>
      <c r="AA101" s="40"/>
      <c r="AB101" s="40"/>
      <c r="AC101" s="40"/>
      <c r="AD101" s="40"/>
      <c r="AE101" s="40"/>
      <c r="AF101" s="40"/>
      <c r="AG101" s="40"/>
      <c r="AH101" s="40"/>
      <c r="AI101" s="40"/>
      <c r="AJ101" s="40"/>
      <c r="AK101" s="40"/>
      <c r="AL101" s="40"/>
      <c r="AM101" s="40"/>
      <c r="AN101" s="40"/>
    </row>
    <row r="102" spans="1:40" ht="24.75" customHeight="1" x14ac:dyDescent="0.25">
      <c r="A102" s="40"/>
      <c r="B102" s="40"/>
      <c r="C102" s="40"/>
      <c r="D102" s="40"/>
      <c r="E102" s="40"/>
      <c r="F102" s="40"/>
      <c r="G102" s="40"/>
      <c r="H102" s="105">
        <v>5</v>
      </c>
      <c r="I102" s="191" t="s">
        <v>148</v>
      </c>
      <c r="J102" s="191"/>
      <c r="K102" s="106" t="s">
        <v>18</v>
      </c>
      <c r="L102" s="105">
        <v>34</v>
      </c>
      <c r="M102" s="105" t="s">
        <v>448</v>
      </c>
      <c r="N102" s="107">
        <v>71.930000000000007</v>
      </c>
      <c r="O102" s="107">
        <v>-10.99</v>
      </c>
      <c r="P102" s="40"/>
      <c r="Q102" s="40"/>
      <c r="R102" s="40"/>
      <c r="S102" s="40"/>
      <c r="T102" s="40"/>
      <c r="U102" s="40"/>
      <c r="V102" s="40"/>
      <c r="W102" s="40"/>
      <c r="X102" s="40"/>
      <c r="Y102" s="40"/>
      <c r="Z102" s="40"/>
      <c r="AA102" s="40"/>
      <c r="AB102" s="40"/>
      <c r="AC102" s="40"/>
      <c r="AD102" s="40"/>
      <c r="AE102" s="40"/>
      <c r="AF102" s="40"/>
      <c r="AG102" s="40"/>
      <c r="AH102" s="40"/>
      <c r="AI102" s="40"/>
      <c r="AJ102" s="40"/>
      <c r="AK102" s="40"/>
      <c r="AL102" s="40"/>
      <c r="AM102" s="40"/>
      <c r="AN102" s="40"/>
    </row>
    <row r="103" spans="1:40" ht="24.75" customHeight="1" x14ac:dyDescent="0.25">
      <c r="A103" s="40"/>
      <c r="B103" s="40"/>
      <c r="C103" s="40"/>
      <c r="D103" s="40"/>
      <c r="E103" s="40"/>
      <c r="F103" s="40"/>
      <c r="G103" s="40"/>
      <c r="H103" s="105">
        <v>6</v>
      </c>
      <c r="I103" s="191" t="s">
        <v>148</v>
      </c>
      <c r="J103" s="191"/>
      <c r="K103" s="106" t="s">
        <v>443</v>
      </c>
      <c r="L103" s="105">
        <v>30</v>
      </c>
      <c r="M103" s="105" t="s">
        <v>444</v>
      </c>
      <c r="N103" s="107">
        <v>72.17</v>
      </c>
      <c r="O103" s="107">
        <v>-10.74</v>
      </c>
      <c r="P103" s="40"/>
      <c r="Q103" s="40"/>
      <c r="R103" s="40"/>
      <c r="S103" s="40"/>
      <c r="T103" s="40"/>
      <c r="U103" s="40"/>
      <c r="V103" s="40"/>
      <c r="W103" s="40"/>
      <c r="X103" s="40"/>
      <c r="Y103" s="40"/>
      <c r="Z103" s="40"/>
      <c r="AA103" s="40"/>
      <c r="AB103" s="40"/>
      <c r="AC103" s="40"/>
      <c r="AD103" s="40"/>
      <c r="AE103" s="40"/>
      <c r="AF103" s="40"/>
      <c r="AG103" s="40"/>
      <c r="AH103" s="40"/>
      <c r="AI103" s="40"/>
      <c r="AJ103" s="40"/>
      <c r="AK103" s="40"/>
      <c r="AL103" s="40"/>
      <c r="AM103" s="40"/>
      <c r="AN103" s="40"/>
    </row>
    <row r="104" spans="1:40" ht="24.75" customHeight="1" x14ac:dyDescent="0.25">
      <c r="A104" s="40"/>
      <c r="B104" s="40"/>
      <c r="C104" s="40"/>
      <c r="D104" s="40"/>
      <c r="E104" s="40"/>
      <c r="F104" s="40"/>
      <c r="G104" s="40"/>
      <c r="H104" s="105">
        <v>7</v>
      </c>
      <c r="I104" s="191" t="s">
        <v>148</v>
      </c>
      <c r="J104" s="191"/>
      <c r="K104" s="106" t="s">
        <v>18</v>
      </c>
      <c r="L104" s="105">
        <v>33</v>
      </c>
      <c r="M104" s="105" t="s">
        <v>447</v>
      </c>
      <c r="N104" s="107">
        <v>73.19</v>
      </c>
      <c r="O104" s="107">
        <v>-9.7200000000000006</v>
      </c>
      <c r="P104" s="40"/>
      <c r="Q104" s="40"/>
      <c r="R104" s="40"/>
      <c r="S104" s="40"/>
      <c r="T104" s="40"/>
      <c r="U104" s="40"/>
      <c r="V104" s="40"/>
      <c r="W104" s="40"/>
      <c r="X104" s="40"/>
      <c r="Y104" s="40"/>
      <c r="Z104" s="40"/>
      <c r="AA104" s="40"/>
      <c r="AB104" s="40"/>
      <c r="AC104" s="40"/>
      <c r="AD104" s="40"/>
      <c r="AE104" s="40"/>
      <c r="AF104" s="40"/>
      <c r="AG104" s="40"/>
      <c r="AH104" s="40"/>
      <c r="AI104" s="40"/>
      <c r="AJ104" s="40"/>
      <c r="AK104" s="40"/>
      <c r="AL104" s="40"/>
      <c r="AM104" s="40"/>
      <c r="AN104" s="40"/>
    </row>
    <row r="105" spans="1:40" ht="24.75" customHeight="1" x14ac:dyDescent="0.25">
      <c r="A105" s="40"/>
      <c r="B105" s="40"/>
      <c r="C105" s="40"/>
      <c r="D105" s="40"/>
      <c r="E105" s="40"/>
      <c r="F105" s="40"/>
      <c r="G105" s="40"/>
      <c r="H105" s="105">
        <v>8</v>
      </c>
      <c r="I105" s="191" t="s">
        <v>150</v>
      </c>
      <c r="J105" s="191"/>
      <c r="K105" s="106" t="s">
        <v>434</v>
      </c>
      <c r="L105" s="105">
        <v>25</v>
      </c>
      <c r="M105" s="105" t="s">
        <v>436</v>
      </c>
      <c r="N105" s="107">
        <v>75.88</v>
      </c>
      <c r="O105" s="107">
        <v>-7.03</v>
      </c>
      <c r="P105" s="40"/>
      <c r="Q105" s="40"/>
      <c r="R105" s="40"/>
      <c r="S105" s="40"/>
      <c r="T105" s="40"/>
      <c r="U105" s="40"/>
      <c r="V105" s="40"/>
      <c r="W105" s="40"/>
      <c r="X105" s="40"/>
      <c r="Y105" s="40"/>
      <c r="Z105" s="40"/>
      <c r="AA105" s="40"/>
      <c r="AB105" s="40"/>
      <c r="AC105" s="40"/>
      <c r="AD105" s="40"/>
      <c r="AE105" s="40"/>
      <c r="AF105" s="40"/>
      <c r="AG105" s="40"/>
      <c r="AH105" s="40"/>
      <c r="AI105" s="40"/>
      <c r="AJ105" s="40"/>
      <c r="AK105" s="40"/>
      <c r="AL105" s="40"/>
      <c r="AM105" s="40"/>
      <c r="AN105" s="40"/>
    </row>
    <row r="106" spans="1:40" ht="24.75" customHeight="1" x14ac:dyDescent="0.25">
      <c r="A106" s="40"/>
      <c r="B106" s="40"/>
      <c r="C106" s="40"/>
      <c r="D106" s="40"/>
      <c r="E106" s="40"/>
      <c r="F106" s="40"/>
      <c r="G106" s="40"/>
      <c r="H106" s="105">
        <v>9</v>
      </c>
      <c r="I106" s="191" t="s">
        <v>149</v>
      </c>
      <c r="J106" s="191"/>
      <c r="K106" s="106" t="s">
        <v>402</v>
      </c>
      <c r="L106" s="105">
        <v>7</v>
      </c>
      <c r="M106" s="105" t="s">
        <v>408</v>
      </c>
      <c r="N106" s="107">
        <v>76.25</v>
      </c>
      <c r="O106" s="107">
        <v>-6.66</v>
      </c>
      <c r="P106" s="40"/>
      <c r="Q106" s="40"/>
      <c r="R106" s="40"/>
      <c r="S106" s="40"/>
      <c r="T106" s="40"/>
      <c r="U106" s="40"/>
      <c r="V106" s="40"/>
      <c r="W106" s="40"/>
      <c r="X106" s="40"/>
      <c r="Y106" s="40"/>
      <c r="Z106" s="40"/>
      <c r="AA106" s="40"/>
      <c r="AB106" s="40"/>
      <c r="AC106" s="40"/>
      <c r="AD106" s="40"/>
      <c r="AE106" s="40"/>
      <c r="AF106" s="40"/>
      <c r="AG106" s="40"/>
      <c r="AH106" s="40"/>
      <c r="AI106" s="40"/>
      <c r="AJ106" s="40"/>
      <c r="AK106" s="40"/>
      <c r="AL106" s="40"/>
      <c r="AM106" s="40"/>
      <c r="AN106" s="40"/>
    </row>
    <row r="107" spans="1:40" ht="24.75" customHeight="1" x14ac:dyDescent="0.25">
      <c r="A107" s="40"/>
      <c r="B107" s="40"/>
      <c r="C107" s="40"/>
      <c r="D107" s="40"/>
      <c r="E107" s="40"/>
      <c r="F107" s="40"/>
      <c r="G107" s="40"/>
      <c r="H107" s="105">
        <v>10</v>
      </c>
      <c r="I107" s="191" t="s">
        <v>159</v>
      </c>
      <c r="J107" s="191"/>
      <c r="K107" s="106" t="s">
        <v>21</v>
      </c>
      <c r="L107" s="105">
        <v>43</v>
      </c>
      <c r="M107" s="105" t="s">
        <v>460</v>
      </c>
      <c r="N107" s="107">
        <v>77.12</v>
      </c>
      <c r="O107" s="107">
        <v>-5.79</v>
      </c>
      <c r="P107" s="40"/>
      <c r="Q107" s="40"/>
      <c r="R107" s="40"/>
      <c r="S107" s="40"/>
      <c r="T107" s="40"/>
      <c r="U107" s="40"/>
      <c r="V107" s="40"/>
      <c r="W107" s="40"/>
      <c r="X107" s="40"/>
      <c r="Y107" s="40"/>
      <c r="Z107" s="40"/>
      <c r="AA107" s="40"/>
      <c r="AB107" s="40"/>
      <c r="AC107" s="40"/>
      <c r="AD107" s="40"/>
      <c r="AE107" s="40"/>
      <c r="AF107" s="40"/>
      <c r="AG107" s="40"/>
      <c r="AH107" s="40"/>
      <c r="AI107" s="40"/>
      <c r="AJ107" s="40"/>
      <c r="AK107" s="40"/>
      <c r="AL107" s="40"/>
      <c r="AM107" s="40"/>
      <c r="AN107" s="40"/>
    </row>
  </sheetData>
  <mergeCells count="191">
    <mergeCell ref="J1:K1"/>
    <mergeCell ref="A2:A15"/>
    <mergeCell ref="B2:B5"/>
    <mergeCell ref="C2:C5"/>
    <mergeCell ref="D2:D5"/>
    <mergeCell ref="E2:E5"/>
    <mergeCell ref="F2:F5"/>
    <mergeCell ref="G2:G5"/>
    <mergeCell ref="H2:H5"/>
    <mergeCell ref="I2:I5"/>
    <mergeCell ref="J2:J5"/>
    <mergeCell ref="K2:K3"/>
    <mergeCell ref="K4:K5"/>
    <mergeCell ref="B6:B11"/>
    <mergeCell ref="C6:C11"/>
    <mergeCell ref="D6:D11"/>
    <mergeCell ref="E6:E11"/>
    <mergeCell ref="F6:F11"/>
    <mergeCell ref="G6:G11"/>
    <mergeCell ref="H6:H11"/>
    <mergeCell ref="J12:J15"/>
    <mergeCell ref="K12:K14"/>
    <mergeCell ref="A17:A29"/>
    <mergeCell ref="B17:B20"/>
    <mergeCell ref="C17:C20"/>
    <mergeCell ref="D17:D20"/>
    <mergeCell ref="E17:E20"/>
    <mergeCell ref="I6:I11"/>
    <mergeCell ref="J6:J11"/>
    <mergeCell ref="K6:K8"/>
    <mergeCell ref="K9:K10"/>
    <mergeCell ref="B12:B15"/>
    <mergeCell ref="C12:C15"/>
    <mergeCell ref="D12:D15"/>
    <mergeCell ref="E12:E15"/>
    <mergeCell ref="F12:F15"/>
    <mergeCell ref="G12:G15"/>
    <mergeCell ref="F17:F20"/>
    <mergeCell ref="G17:G20"/>
    <mergeCell ref="H17:H20"/>
    <mergeCell ref="I17:I20"/>
    <mergeCell ref="J17:J20"/>
    <mergeCell ref="K17:K18"/>
    <mergeCell ref="K19:K20"/>
    <mergeCell ref="H12:H15"/>
    <mergeCell ref="I12:I15"/>
    <mergeCell ref="J16:K16"/>
    <mergeCell ref="B23:B29"/>
    <mergeCell ref="C23:C29"/>
    <mergeCell ref="D23:D29"/>
    <mergeCell ref="E23:E29"/>
    <mergeCell ref="F23:F29"/>
    <mergeCell ref="G23:G29"/>
    <mergeCell ref="B21:B22"/>
    <mergeCell ref="C21:C22"/>
    <mergeCell ref="D21:D22"/>
    <mergeCell ref="E21:E22"/>
    <mergeCell ref="F21:F22"/>
    <mergeCell ref="G21:G22"/>
    <mergeCell ref="H23:H29"/>
    <mergeCell ref="I23:I29"/>
    <mergeCell ref="J23:J29"/>
    <mergeCell ref="K23:K25"/>
    <mergeCell ref="K26:K29"/>
    <mergeCell ref="J30:K30"/>
    <mergeCell ref="H21:H22"/>
    <mergeCell ref="I21:I22"/>
    <mergeCell ref="J21:J22"/>
    <mergeCell ref="K21:K22"/>
    <mergeCell ref="K31:K32"/>
    <mergeCell ref="K33:K34"/>
    <mergeCell ref="A31:A42"/>
    <mergeCell ref="B31:B34"/>
    <mergeCell ref="C31:C34"/>
    <mergeCell ref="D31:D34"/>
    <mergeCell ref="E31:E34"/>
    <mergeCell ref="F31:F34"/>
    <mergeCell ref="B35:B37"/>
    <mergeCell ref="C35:C37"/>
    <mergeCell ref="D35:D37"/>
    <mergeCell ref="E35:E37"/>
    <mergeCell ref="B38:B42"/>
    <mergeCell ref="C38:C42"/>
    <mergeCell ref="D38:D42"/>
    <mergeCell ref="E38:E42"/>
    <mergeCell ref="F38:F42"/>
    <mergeCell ref="G31:G34"/>
    <mergeCell ref="H31:H34"/>
    <mergeCell ref="I31:I34"/>
    <mergeCell ref="J31:J34"/>
    <mergeCell ref="G38:G42"/>
    <mergeCell ref="H38:H42"/>
    <mergeCell ref="I38:I42"/>
    <mergeCell ref="J38:J42"/>
    <mergeCell ref="K38:K41"/>
    <mergeCell ref="J43:K43"/>
    <mergeCell ref="F35:F37"/>
    <mergeCell ref="G35:G37"/>
    <mergeCell ref="H35:H37"/>
    <mergeCell ref="I35:I37"/>
    <mergeCell ref="J35:K37"/>
    <mergeCell ref="G44:G45"/>
    <mergeCell ref="H44:H45"/>
    <mergeCell ref="I44:I45"/>
    <mergeCell ref="J44:K45"/>
    <mergeCell ref="B46:B47"/>
    <mergeCell ref="C46:C47"/>
    <mergeCell ref="D46:D47"/>
    <mergeCell ref="E46:E47"/>
    <mergeCell ref="F46:F47"/>
    <mergeCell ref="G46:G47"/>
    <mergeCell ref="B44:B45"/>
    <mergeCell ref="C44:C45"/>
    <mergeCell ref="D44:D45"/>
    <mergeCell ref="E44:E45"/>
    <mergeCell ref="F44:F45"/>
    <mergeCell ref="H46:H47"/>
    <mergeCell ref="I46:I47"/>
    <mergeCell ref="J46:K47"/>
    <mergeCell ref="B48:B51"/>
    <mergeCell ref="C48:C51"/>
    <mergeCell ref="D48:D51"/>
    <mergeCell ref="E48:E51"/>
    <mergeCell ref="F48:F51"/>
    <mergeCell ref="G48:G51"/>
    <mergeCell ref="H48:H51"/>
    <mergeCell ref="I48:I51"/>
    <mergeCell ref="J48:K51"/>
    <mergeCell ref="J52:K52"/>
    <mergeCell ref="A53:A62"/>
    <mergeCell ref="B53:B55"/>
    <mergeCell ref="C53:C55"/>
    <mergeCell ref="D53:D55"/>
    <mergeCell ref="E53:E55"/>
    <mergeCell ref="F53:F55"/>
    <mergeCell ref="G53:G55"/>
    <mergeCell ref="A44:A51"/>
    <mergeCell ref="H53:H55"/>
    <mergeCell ref="I53:I55"/>
    <mergeCell ref="J53:K55"/>
    <mergeCell ref="B56:B59"/>
    <mergeCell ref="C56:C59"/>
    <mergeCell ref="D56:D59"/>
    <mergeCell ref="E56:E59"/>
    <mergeCell ref="F56:F59"/>
    <mergeCell ref="G56:G59"/>
    <mergeCell ref="H56:H59"/>
    <mergeCell ref="I56:I59"/>
    <mergeCell ref="J56:J59"/>
    <mergeCell ref="K56:K57"/>
    <mergeCell ref="K58:K59"/>
    <mergeCell ref="B60:B62"/>
    <mergeCell ref="C60:C62"/>
    <mergeCell ref="D60:D62"/>
    <mergeCell ref="E60:E62"/>
    <mergeCell ref="F60:F62"/>
    <mergeCell ref="G60:G62"/>
    <mergeCell ref="K78:K82"/>
    <mergeCell ref="L78:M78"/>
    <mergeCell ref="L79:M79"/>
    <mergeCell ref="L80:M80"/>
    <mergeCell ref="L81:M81"/>
    <mergeCell ref="L82:M82"/>
    <mergeCell ref="H60:H62"/>
    <mergeCell ref="I60:I62"/>
    <mergeCell ref="J60:K62"/>
    <mergeCell ref="J63:K63"/>
    <mergeCell ref="K64:K70"/>
    <mergeCell ref="K72:K75"/>
    <mergeCell ref="I91:J91"/>
    <mergeCell ref="I92:J92"/>
    <mergeCell ref="I93:J93"/>
    <mergeCell ref="I94:J94"/>
    <mergeCell ref="I95:J95"/>
    <mergeCell ref="I97:J97"/>
    <mergeCell ref="I85:J85"/>
    <mergeCell ref="I86:J86"/>
    <mergeCell ref="I87:J87"/>
    <mergeCell ref="I88:J88"/>
    <mergeCell ref="I89:J89"/>
    <mergeCell ref="I90:J90"/>
    <mergeCell ref="I104:J104"/>
    <mergeCell ref="I105:J105"/>
    <mergeCell ref="I106:J106"/>
    <mergeCell ref="I107:J107"/>
    <mergeCell ref="I98:J98"/>
    <mergeCell ref="I99:J99"/>
    <mergeCell ref="I100:J100"/>
    <mergeCell ref="I101:J101"/>
    <mergeCell ref="I102:J102"/>
    <mergeCell ref="I103:J103"/>
  </mergeCells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7"/>
  <dimension ref="B2:J23"/>
  <sheetViews>
    <sheetView showGridLines="0" topLeftCell="D13" workbookViewId="0">
      <selection activeCell="N19" sqref="N19"/>
    </sheetView>
  </sheetViews>
  <sheetFormatPr baseColWidth="10" defaultRowHeight="15" x14ac:dyDescent="0.25"/>
  <cols>
    <col min="2" max="2" width="15.85546875" bestFit="1" customWidth="1"/>
    <col min="3" max="3" width="104.5703125" bestFit="1" customWidth="1"/>
    <col min="4" max="4" width="17.140625" bestFit="1" customWidth="1"/>
    <col min="5" max="5" width="20.85546875" bestFit="1" customWidth="1"/>
    <col min="6" max="6" width="19.5703125" bestFit="1" customWidth="1"/>
    <col min="7" max="7" width="14.5703125" bestFit="1" customWidth="1"/>
    <col min="8" max="8" width="13.28515625" bestFit="1" customWidth="1"/>
    <col min="9" max="9" width="18.42578125" bestFit="1" customWidth="1"/>
    <col min="10" max="10" width="13" bestFit="1" customWidth="1"/>
  </cols>
  <sheetData>
    <row r="2" spans="2:10" ht="18.75" customHeight="1" x14ac:dyDescent="0.25">
      <c r="B2" s="282" t="s">
        <v>172</v>
      </c>
      <c r="C2" s="282"/>
      <c r="D2" s="282"/>
      <c r="E2" s="282"/>
      <c r="F2" s="282"/>
      <c r="G2" s="282"/>
      <c r="H2" s="282"/>
      <c r="I2" s="282"/>
      <c r="J2" s="282"/>
    </row>
    <row r="3" spans="2:10" ht="20.100000000000001" customHeight="1" x14ac:dyDescent="0.25">
      <c r="B3" s="28" t="s">
        <v>29</v>
      </c>
      <c r="C3" s="28" t="s">
        <v>173</v>
      </c>
      <c r="D3" s="28" t="s">
        <v>174</v>
      </c>
      <c r="E3" s="28" t="s">
        <v>175</v>
      </c>
      <c r="F3" s="28" t="s">
        <v>176</v>
      </c>
      <c r="G3" s="28" t="s">
        <v>177</v>
      </c>
      <c r="H3" s="28" t="s">
        <v>178</v>
      </c>
      <c r="I3" s="28" t="s">
        <v>179</v>
      </c>
      <c r="J3" s="28" t="s">
        <v>180</v>
      </c>
    </row>
    <row r="4" spans="2:10" x14ac:dyDescent="0.25">
      <c r="B4" s="27" t="s">
        <v>181</v>
      </c>
      <c r="C4" s="27" t="s">
        <v>161</v>
      </c>
      <c r="D4" s="27" t="s">
        <v>160</v>
      </c>
      <c r="E4" s="27" t="s">
        <v>182</v>
      </c>
      <c r="F4" s="27" t="s">
        <v>221</v>
      </c>
      <c r="G4" s="27" t="s">
        <v>183</v>
      </c>
      <c r="H4" s="27" t="s">
        <v>222</v>
      </c>
      <c r="I4" s="27">
        <v>1</v>
      </c>
      <c r="J4" s="29"/>
    </row>
    <row r="5" spans="2:10" x14ac:dyDescent="0.25">
      <c r="B5" s="27" t="s">
        <v>184</v>
      </c>
      <c r="C5" s="27" t="s">
        <v>161</v>
      </c>
      <c r="D5" s="27" t="s">
        <v>160</v>
      </c>
      <c r="E5" s="27" t="s">
        <v>182</v>
      </c>
      <c r="F5" s="27" t="s">
        <v>221</v>
      </c>
      <c r="G5" s="27"/>
      <c r="H5" s="27"/>
      <c r="I5" s="27">
        <v>1</v>
      </c>
      <c r="J5" s="29"/>
    </row>
    <row r="6" spans="2:10" x14ac:dyDescent="0.25">
      <c r="B6" s="27" t="s">
        <v>114</v>
      </c>
      <c r="C6" s="27" t="s">
        <v>27</v>
      </c>
      <c r="D6" s="27" t="s">
        <v>160</v>
      </c>
      <c r="E6" s="27" t="s">
        <v>192</v>
      </c>
      <c r="F6" s="27" t="s">
        <v>223</v>
      </c>
      <c r="G6" s="27" t="s">
        <v>193</v>
      </c>
      <c r="H6" s="27" t="s">
        <v>224</v>
      </c>
      <c r="I6" s="27">
        <v>1</v>
      </c>
      <c r="J6" s="29"/>
    </row>
    <row r="7" spans="2:10" x14ac:dyDescent="0.25">
      <c r="B7" s="27" t="s">
        <v>115</v>
      </c>
      <c r="C7" s="27" t="s">
        <v>27</v>
      </c>
      <c r="D7" s="27" t="s">
        <v>160</v>
      </c>
      <c r="E7" s="27" t="s">
        <v>192</v>
      </c>
      <c r="F7" s="27" t="s">
        <v>223</v>
      </c>
      <c r="G7" s="27"/>
      <c r="H7" s="27"/>
      <c r="I7" s="27">
        <v>1</v>
      </c>
      <c r="J7" s="29"/>
    </row>
    <row r="8" spans="2:10" x14ac:dyDescent="0.25">
      <c r="B8" s="27" t="s">
        <v>116</v>
      </c>
      <c r="C8" s="27" t="s">
        <v>28</v>
      </c>
      <c r="D8" s="27" t="s">
        <v>160</v>
      </c>
      <c r="E8" s="27" t="s">
        <v>194</v>
      </c>
      <c r="F8" s="27" t="s">
        <v>225</v>
      </c>
      <c r="G8" s="27" t="s">
        <v>195</v>
      </c>
      <c r="H8" s="27" t="s">
        <v>226</v>
      </c>
      <c r="I8" s="27">
        <v>1</v>
      </c>
      <c r="J8" s="29"/>
    </row>
    <row r="9" spans="2:10" x14ac:dyDescent="0.25">
      <c r="B9" s="27" t="s">
        <v>117</v>
      </c>
      <c r="C9" s="27" t="s">
        <v>28</v>
      </c>
      <c r="D9" s="27" t="s">
        <v>160</v>
      </c>
      <c r="E9" s="27" t="s">
        <v>194</v>
      </c>
      <c r="F9" s="27" t="s">
        <v>225</v>
      </c>
      <c r="G9" s="27"/>
      <c r="H9" s="27"/>
      <c r="I9" s="27">
        <v>1</v>
      </c>
      <c r="J9" s="29"/>
    </row>
    <row r="10" spans="2:10" x14ac:dyDescent="0.25">
      <c r="B10" s="27" t="s">
        <v>118</v>
      </c>
      <c r="C10" s="27" t="s">
        <v>130</v>
      </c>
      <c r="D10" s="27" t="s">
        <v>160</v>
      </c>
      <c r="E10" s="27" t="s">
        <v>196</v>
      </c>
      <c r="F10" s="27" t="s">
        <v>227</v>
      </c>
      <c r="G10" s="27" t="s">
        <v>197</v>
      </c>
      <c r="H10" s="27" t="s">
        <v>228</v>
      </c>
      <c r="I10" s="27">
        <v>1</v>
      </c>
      <c r="J10" s="29"/>
    </row>
    <row r="11" spans="2:10" x14ac:dyDescent="0.25">
      <c r="B11" s="27" t="s">
        <v>119</v>
      </c>
      <c r="C11" s="27" t="s">
        <v>130</v>
      </c>
      <c r="D11" s="27" t="s">
        <v>160</v>
      </c>
      <c r="E11" s="27" t="s">
        <v>196</v>
      </c>
      <c r="F11" s="27" t="s">
        <v>227</v>
      </c>
      <c r="G11" s="27"/>
      <c r="H11" s="27"/>
      <c r="I11" s="27">
        <v>1</v>
      </c>
      <c r="J11" s="29"/>
    </row>
    <row r="12" spans="2:10" x14ac:dyDescent="0.25">
      <c r="B12" s="27" t="s">
        <v>120</v>
      </c>
      <c r="C12" s="27" t="s">
        <v>210</v>
      </c>
      <c r="D12" s="27" t="s">
        <v>160</v>
      </c>
      <c r="E12" s="27" t="s">
        <v>229</v>
      </c>
      <c r="F12" s="27" t="s">
        <v>230</v>
      </c>
      <c r="G12" s="27" t="s">
        <v>231</v>
      </c>
      <c r="H12" s="27" t="s">
        <v>232</v>
      </c>
      <c r="I12" s="27">
        <v>2</v>
      </c>
      <c r="J12" s="29"/>
    </row>
    <row r="13" spans="2:10" x14ac:dyDescent="0.25">
      <c r="B13" s="27" t="s">
        <v>185</v>
      </c>
      <c r="C13" s="27" t="s">
        <v>210</v>
      </c>
      <c r="D13" s="27" t="s">
        <v>160</v>
      </c>
      <c r="E13" s="27" t="s">
        <v>229</v>
      </c>
      <c r="F13" s="27" t="s">
        <v>230</v>
      </c>
      <c r="G13" s="27"/>
      <c r="H13" s="27"/>
      <c r="I13" s="27">
        <v>1</v>
      </c>
      <c r="J13" s="29"/>
    </row>
    <row r="14" spans="2:10" x14ac:dyDescent="0.25">
      <c r="B14" s="27" t="s">
        <v>121</v>
      </c>
      <c r="C14" s="27" t="s">
        <v>131</v>
      </c>
      <c r="D14" s="27" t="s">
        <v>160</v>
      </c>
      <c r="E14" s="27" t="s">
        <v>233</v>
      </c>
      <c r="F14" s="27" t="s">
        <v>234</v>
      </c>
      <c r="G14" s="27" t="s">
        <v>235</v>
      </c>
      <c r="H14" s="27" t="s">
        <v>236</v>
      </c>
      <c r="I14" s="27">
        <v>1</v>
      </c>
      <c r="J14" s="29"/>
    </row>
    <row r="15" spans="2:10" x14ac:dyDescent="0.25">
      <c r="B15" s="27" t="s">
        <v>122</v>
      </c>
      <c r="C15" s="27" t="s">
        <v>131</v>
      </c>
      <c r="D15" s="27" t="s">
        <v>160</v>
      </c>
      <c r="E15" s="27" t="s">
        <v>233</v>
      </c>
      <c r="F15" s="27" t="s">
        <v>234</v>
      </c>
      <c r="G15" s="27"/>
      <c r="H15" s="27"/>
      <c r="I15" s="27">
        <v>1</v>
      </c>
      <c r="J15" s="29"/>
    </row>
    <row r="16" spans="2:10" x14ac:dyDescent="0.25">
      <c r="B16" s="27" t="s">
        <v>123</v>
      </c>
      <c r="C16" s="27" t="s">
        <v>211</v>
      </c>
      <c r="D16" s="27" t="s">
        <v>160</v>
      </c>
      <c r="E16" s="27" t="s">
        <v>186</v>
      </c>
      <c r="F16" s="27" t="s">
        <v>198</v>
      </c>
      <c r="G16" s="27" t="s">
        <v>187</v>
      </c>
      <c r="H16" s="27" t="s">
        <v>199</v>
      </c>
      <c r="I16" s="27">
        <v>3</v>
      </c>
      <c r="J16" s="29"/>
    </row>
    <row r="17" spans="2:10" x14ac:dyDescent="0.25">
      <c r="B17" s="27" t="s">
        <v>188</v>
      </c>
      <c r="C17" s="27" t="s">
        <v>211</v>
      </c>
      <c r="D17" s="27" t="s">
        <v>160</v>
      </c>
      <c r="E17" s="27" t="s">
        <v>186</v>
      </c>
      <c r="F17" s="27" t="s">
        <v>198</v>
      </c>
      <c r="G17" s="27"/>
      <c r="H17" s="27"/>
      <c r="I17" s="27">
        <v>1</v>
      </c>
      <c r="J17" s="29"/>
    </row>
    <row r="18" spans="2:10" x14ac:dyDescent="0.25">
      <c r="B18" s="27" t="s">
        <v>124</v>
      </c>
      <c r="C18" s="27" t="s">
        <v>132</v>
      </c>
      <c r="D18" s="27" t="s">
        <v>160</v>
      </c>
      <c r="E18" s="27" t="s">
        <v>237</v>
      </c>
      <c r="F18" s="27" t="s">
        <v>189</v>
      </c>
      <c r="G18" s="27" t="s">
        <v>238</v>
      </c>
      <c r="H18" s="27" t="s">
        <v>190</v>
      </c>
      <c r="I18" s="27">
        <v>1</v>
      </c>
      <c r="J18" s="29"/>
    </row>
    <row r="19" spans="2:10" x14ac:dyDescent="0.25">
      <c r="B19" s="27" t="s">
        <v>125</v>
      </c>
      <c r="C19" s="27" t="s">
        <v>132</v>
      </c>
      <c r="D19" s="27" t="s">
        <v>160</v>
      </c>
      <c r="E19" s="27" t="s">
        <v>237</v>
      </c>
      <c r="F19" s="27" t="s">
        <v>189</v>
      </c>
      <c r="G19" s="27"/>
      <c r="H19" s="27"/>
      <c r="I19" s="27">
        <v>1</v>
      </c>
      <c r="J19" s="29"/>
    </row>
    <row r="20" spans="2:10" x14ac:dyDescent="0.25">
      <c r="B20" s="27" t="s">
        <v>126</v>
      </c>
      <c r="C20" s="27" t="s">
        <v>113</v>
      </c>
      <c r="D20" s="27" t="s">
        <v>160</v>
      </c>
      <c r="E20" s="27" t="s">
        <v>200</v>
      </c>
      <c r="F20" s="27" t="s">
        <v>239</v>
      </c>
      <c r="G20" s="27" t="s">
        <v>201</v>
      </c>
      <c r="H20" s="27" t="s">
        <v>240</v>
      </c>
      <c r="I20" s="27">
        <v>4</v>
      </c>
      <c r="J20" s="29"/>
    </row>
    <row r="21" spans="2:10" x14ac:dyDescent="0.25">
      <c r="B21" s="27" t="s">
        <v>127</v>
      </c>
      <c r="C21" s="27" t="s">
        <v>113</v>
      </c>
      <c r="D21" s="27" t="s">
        <v>160</v>
      </c>
      <c r="E21" s="27" t="s">
        <v>200</v>
      </c>
      <c r="F21" s="27" t="s">
        <v>239</v>
      </c>
      <c r="G21" s="27"/>
      <c r="H21" s="27"/>
      <c r="I21" s="27">
        <v>1</v>
      </c>
      <c r="J21" s="29"/>
    </row>
    <row r="22" spans="2:10" x14ac:dyDescent="0.25">
      <c r="B22" s="27" t="s">
        <v>128</v>
      </c>
      <c r="C22" s="27" t="s">
        <v>133</v>
      </c>
      <c r="D22" s="27" t="s">
        <v>160</v>
      </c>
      <c r="E22" s="27" t="s">
        <v>241</v>
      </c>
      <c r="F22" s="27" t="s">
        <v>242</v>
      </c>
      <c r="G22" s="27" t="s">
        <v>243</v>
      </c>
      <c r="H22" s="27" t="s">
        <v>244</v>
      </c>
      <c r="I22" s="27">
        <v>1</v>
      </c>
      <c r="J22" s="29"/>
    </row>
    <row r="23" spans="2:10" x14ac:dyDescent="0.25">
      <c r="B23" s="27" t="s">
        <v>129</v>
      </c>
      <c r="C23" s="27" t="s">
        <v>133</v>
      </c>
      <c r="D23" s="27" t="s">
        <v>160</v>
      </c>
      <c r="E23" s="27" t="s">
        <v>241</v>
      </c>
      <c r="F23" s="27" t="s">
        <v>242</v>
      </c>
      <c r="G23" s="27"/>
      <c r="H23" s="27"/>
      <c r="I23" s="27">
        <v>1</v>
      </c>
      <c r="J23" s="29"/>
    </row>
  </sheetData>
  <mergeCells count="1">
    <mergeCell ref="B2:J2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23265" r:id="rId3" name="DropDowns_Demo1">
              <controlPr defaultSize="0" autoFill="0" autoPict="0">
                <anchor moveWithCells="1">
                  <from>
                    <xdr:col>8</xdr:col>
                    <xdr:colOff>0</xdr:colOff>
                    <xdr:row>3</xdr:row>
                    <xdr:rowOff>0</xdr:rowOff>
                  </from>
                  <to>
                    <xdr:col>9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266" r:id="rId4" name="CheckBox_Demo1">
              <controlPr defaultSize="0" autoFill="0" autoLine="0" autoPict="0">
                <anchor moveWithCells="1">
                  <from>
                    <xdr:col>9</xdr:col>
                    <xdr:colOff>342900</xdr:colOff>
                    <xdr:row>3</xdr:row>
                    <xdr:rowOff>0</xdr:rowOff>
                  </from>
                  <to>
                    <xdr:col>9</xdr:col>
                    <xdr:colOff>638175</xdr:colOff>
                    <xdr:row>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267" r:id="rId5" name="DropDowns_Demo_Bis1">
              <controlPr defaultSize="0" autoFill="0" autoPict="0">
                <anchor moveWithCells="1">
                  <from>
                    <xdr:col>8</xdr:col>
                    <xdr:colOff>0</xdr:colOff>
                    <xdr:row>4</xdr:row>
                    <xdr:rowOff>0</xdr:rowOff>
                  </from>
                  <to>
                    <xdr:col>9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268" r:id="rId6" name="CheckBox_Demo_Bis1">
              <controlPr defaultSize="0" autoFill="0" autoLine="0" autoPict="0">
                <anchor moveWithCells="1">
                  <from>
                    <xdr:col>9</xdr:col>
                    <xdr:colOff>342900</xdr:colOff>
                    <xdr:row>4</xdr:row>
                    <xdr:rowOff>0</xdr:rowOff>
                  </from>
                  <to>
                    <xdr:col>9</xdr:col>
                    <xdr:colOff>638175</xdr:colOff>
                    <xdr:row>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269" r:id="rId7" name="DropDowns_Demo2">
              <controlPr defaultSize="0" autoFill="0" autoPict="0">
                <anchor moveWithCells="1">
                  <from>
                    <xdr:col>8</xdr:col>
                    <xdr:colOff>0</xdr:colOff>
                    <xdr:row>5</xdr:row>
                    <xdr:rowOff>0</xdr:rowOff>
                  </from>
                  <to>
                    <xdr:col>9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270" r:id="rId8" name="CheckBox_Demo2">
              <controlPr defaultSize="0" autoFill="0" autoLine="0" autoPict="0">
                <anchor moveWithCells="1">
                  <from>
                    <xdr:col>9</xdr:col>
                    <xdr:colOff>342900</xdr:colOff>
                    <xdr:row>5</xdr:row>
                    <xdr:rowOff>0</xdr:rowOff>
                  </from>
                  <to>
                    <xdr:col>9</xdr:col>
                    <xdr:colOff>638175</xdr:colOff>
                    <xdr:row>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271" r:id="rId9" name="DropDowns_Demo_Bis2">
              <controlPr defaultSize="0" autoFill="0" autoPict="0">
                <anchor moveWithCells="1">
                  <from>
                    <xdr:col>8</xdr:col>
                    <xdr:colOff>0</xdr:colOff>
                    <xdr:row>6</xdr:row>
                    <xdr:rowOff>0</xdr:rowOff>
                  </from>
                  <to>
                    <xdr:col>9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272" r:id="rId10" name="CheckBox_Demo_Bis2">
              <controlPr defaultSize="0" autoFill="0" autoLine="0" autoPict="0">
                <anchor moveWithCells="1">
                  <from>
                    <xdr:col>9</xdr:col>
                    <xdr:colOff>342900</xdr:colOff>
                    <xdr:row>6</xdr:row>
                    <xdr:rowOff>0</xdr:rowOff>
                  </from>
                  <to>
                    <xdr:col>9</xdr:col>
                    <xdr:colOff>638175</xdr:colOff>
                    <xdr:row>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273" r:id="rId11" name="DropDowns_Demo3">
              <controlPr defaultSize="0" autoFill="0" autoPict="0">
                <anchor moveWithCells="1">
                  <from>
                    <xdr:col>8</xdr:col>
                    <xdr:colOff>0</xdr:colOff>
                    <xdr:row>7</xdr:row>
                    <xdr:rowOff>0</xdr:rowOff>
                  </from>
                  <to>
                    <xdr:col>9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274" r:id="rId12" name="CheckBox_Demo3">
              <controlPr defaultSize="0" autoFill="0" autoLine="0" autoPict="0">
                <anchor moveWithCells="1">
                  <from>
                    <xdr:col>9</xdr:col>
                    <xdr:colOff>342900</xdr:colOff>
                    <xdr:row>7</xdr:row>
                    <xdr:rowOff>0</xdr:rowOff>
                  </from>
                  <to>
                    <xdr:col>9</xdr:col>
                    <xdr:colOff>638175</xdr:colOff>
                    <xdr:row>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275" r:id="rId13" name="DropDowns_Demo_Bis3">
              <controlPr defaultSize="0" autoFill="0" autoPict="0">
                <anchor moveWithCells="1">
                  <from>
                    <xdr:col>8</xdr:col>
                    <xdr:colOff>0</xdr:colOff>
                    <xdr:row>8</xdr:row>
                    <xdr:rowOff>0</xdr:rowOff>
                  </from>
                  <to>
                    <xdr:col>9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276" r:id="rId14" name="CheckBox_Demo_Bis3">
              <controlPr defaultSize="0" autoFill="0" autoLine="0" autoPict="0">
                <anchor moveWithCells="1">
                  <from>
                    <xdr:col>9</xdr:col>
                    <xdr:colOff>342900</xdr:colOff>
                    <xdr:row>8</xdr:row>
                    <xdr:rowOff>0</xdr:rowOff>
                  </from>
                  <to>
                    <xdr:col>9</xdr:col>
                    <xdr:colOff>638175</xdr:colOff>
                    <xdr:row>9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277" r:id="rId15" name="DropDowns_Demo4">
              <controlPr defaultSize="0" autoFill="0" autoPict="0">
                <anchor moveWithCells="1">
                  <from>
                    <xdr:col>8</xdr:col>
                    <xdr:colOff>0</xdr:colOff>
                    <xdr:row>9</xdr:row>
                    <xdr:rowOff>0</xdr:rowOff>
                  </from>
                  <to>
                    <xdr:col>9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278" r:id="rId16" name="CheckBox_Demo4">
              <controlPr defaultSize="0" autoFill="0" autoLine="0" autoPict="0">
                <anchor moveWithCells="1">
                  <from>
                    <xdr:col>9</xdr:col>
                    <xdr:colOff>342900</xdr:colOff>
                    <xdr:row>9</xdr:row>
                    <xdr:rowOff>0</xdr:rowOff>
                  </from>
                  <to>
                    <xdr:col>9</xdr:col>
                    <xdr:colOff>638175</xdr:colOff>
                    <xdr:row>10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279" r:id="rId17" name="DropDowns_Demo_Bis4">
              <controlPr defaultSize="0" autoFill="0" autoPict="0">
                <anchor moveWithCells="1">
                  <from>
                    <xdr:col>8</xdr:col>
                    <xdr:colOff>0</xdr:colOff>
                    <xdr:row>10</xdr:row>
                    <xdr:rowOff>0</xdr:rowOff>
                  </from>
                  <to>
                    <xdr:col>9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280" r:id="rId18" name="CheckBox_Demo_Bis4">
              <controlPr defaultSize="0" autoFill="0" autoLine="0" autoPict="0">
                <anchor moveWithCells="1">
                  <from>
                    <xdr:col>9</xdr:col>
                    <xdr:colOff>342900</xdr:colOff>
                    <xdr:row>10</xdr:row>
                    <xdr:rowOff>0</xdr:rowOff>
                  </from>
                  <to>
                    <xdr:col>9</xdr:col>
                    <xdr:colOff>638175</xdr:colOff>
                    <xdr:row>11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281" r:id="rId19" name="DropDowns_Demo5">
              <controlPr defaultSize="0" autoFill="0" autoPict="0">
                <anchor moveWithCells="1">
                  <from>
                    <xdr:col>8</xdr:col>
                    <xdr:colOff>0</xdr:colOff>
                    <xdr:row>11</xdr:row>
                    <xdr:rowOff>0</xdr:rowOff>
                  </from>
                  <to>
                    <xdr:col>9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282" r:id="rId20" name="CheckBox_Demo5">
              <controlPr defaultSize="0" autoFill="0" autoLine="0" autoPict="0">
                <anchor moveWithCells="1">
                  <from>
                    <xdr:col>9</xdr:col>
                    <xdr:colOff>342900</xdr:colOff>
                    <xdr:row>11</xdr:row>
                    <xdr:rowOff>0</xdr:rowOff>
                  </from>
                  <to>
                    <xdr:col>9</xdr:col>
                    <xdr:colOff>638175</xdr:colOff>
                    <xdr:row>12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283" r:id="rId21" name="DropDowns_Demo_Bis5">
              <controlPr defaultSize="0" autoFill="0" autoPict="0">
                <anchor moveWithCells="1">
                  <from>
                    <xdr:col>8</xdr:col>
                    <xdr:colOff>0</xdr:colOff>
                    <xdr:row>12</xdr:row>
                    <xdr:rowOff>0</xdr:rowOff>
                  </from>
                  <to>
                    <xdr:col>9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284" r:id="rId22" name="CheckBox_Demo_Bis5">
              <controlPr defaultSize="0" autoFill="0" autoLine="0" autoPict="0">
                <anchor moveWithCells="1">
                  <from>
                    <xdr:col>9</xdr:col>
                    <xdr:colOff>342900</xdr:colOff>
                    <xdr:row>12</xdr:row>
                    <xdr:rowOff>0</xdr:rowOff>
                  </from>
                  <to>
                    <xdr:col>9</xdr:col>
                    <xdr:colOff>638175</xdr:colOff>
                    <xdr:row>13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285" r:id="rId23" name="DropDowns_Demo6">
              <controlPr defaultSize="0" autoFill="0" autoPict="0">
                <anchor moveWithCells="1">
                  <from>
                    <xdr:col>8</xdr:col>
                    <xdr:colOff>0</xdr:colOff>
                    <xdr:row>13</xdr:row>
                    <xdr:rowOff>0</xdr:rowOff>
                  </from>
                  <to>
                    <xdr:col>9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286" r:id="rId24" name="CheckBox_Demo6">
              <controlPr defaultSize="0" autoFill="0" autoLine="0" autoPict="0">
                <anchor moveWithCells="1">
                  <from>
                    <xdr:col>9</xdr:col>
                    <xdr:colOff>342900</xdr:colOff>
                    <xdr:row>13</xdr:row>
                    <xdr:rowOff>0</xdr:rowOff>
                  </from>
                  <to>
                    <xdr:col>9</xdr:col>
                    <xdr:colOff>638175</xdr:colOff>
                    <xdr:row>14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287" r:id="rId25" name="DropDowns_Demo_Bis6">
              <controlPr defaultSize="0" autoFill="0" autoPict="0">
                <anchor moveWithCells="1">
                  <from>
                    <xdr:col>8</xdr:col>
                    <xdr:colOff>0</xdr:colOff>
                    <xdr:row>14</xdr:row>
                    <xdr:rowOff>0</xdr:rowOff>
                  </from>
                  <to>
                    <xdr:col>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288" r:id="rId26" name="CheckBox_Demo_Bis6">
              <controlPr defaultSize="0" autoFill="0" autoLine="0" autoPict="0">
                <anchor moveWithCells="1">
                  <from>
                    <xdr:col>9</xdr:col>
                    <xdr:colOff>342900</xdr:colOff>
                    <xdr:row>14</xdr:row>
                    <xdr:rowOff>0</xdr:rowOff>
                  </from>
                  <to>
                    <xdr:col>9</xdr:col>
                    <xdr:colOff>638175</xdr:colOff>
                    <xdr:row>15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289" r:id="rId27" name="DropDowns_Demo7">
              <controlPr defaultSize="0" autoFill="0" autoPict="0">
                <anchor moveWithCells="1">
                  <from>
                    <xdr:col>8</xdr:col>
                    <xdr:colOff>0</xdr:colOff>
                    <xdr:row>15</xdr:row>
                    <xdr:rowOff>0</xdr:rowOff>
                  </from>
                  <to>
                    <xdr:col>9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290" r:id="rId28" name="CheckBox_Demo7">
              <controlPr defaultSize="0" autoFill="0" autoLine="0" autoPict="0">
                <anchor moveWithCells="1">
                  <from>
                    <xdr:col>9</xdr:col>
                    <xdr:colOff>342900</xdr:colOff>
                    <xdr:row>15</xdr:row>
                    <xdr:rowOff>0</xdr:rowOff>
                  </from>
                  <to>
                    <xdr:col>9</xdr:col>
                    <xdr:colOff>638175</xdr:colOff>
                    <xdr:row>16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291" r:id="rId29" name="DropDowns_Demo_Bis7">
              <controlPr defaultSize="0" autoFill="0" autoPict="0">
                <anchor moveWithCells="1">
                  <from>
                    <xdr:col>8</xdr:col>
                    <xdr:colOff>0</xdr:colOff>
                    <xdr:row>16</xdr:row>
                    <xdr:rowOff>0</xdr:rowOff>
                  </from>
                  <to>
                    <xdr:col>9</xdr:col>
                    <xdr:colOff>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292" r:id="rId30" name="CheckBox_Demo_Bis7">
              <controlPr defaultSize="0" autoFill="0" autoLine="0" autoPict="0">
                <anchor moveWithCells="1">
                  <from>
                    <xdr:col>9</xdr:col>
                    <xdr:colOff>342900</xdr:colOff>
                    <xdr:row>16</xdr:row>
                    <xdr:rowOff>0</xdr:rowOff>
                  </from>
                  <to>
                    <xdr:col>9</xdr:col>
                    <xdr:colOff>638175</xdr:colOff>
                    <xdr:row>17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293" r:id="rId31" name="DropDowns_Demo8">
              <controlPr defaultSize="0" autoFill="0" autoPict="0">
                <anchor moveWithCells="1">
                  <from>
                    <xdr:col>8</xdr:col>
                    <xdr:colOff>0</xdr:colOff>
                    <xdr:row>17</xdr:row>
                    <xdr:rowOff>0</xdr:rowOff>
                  </from>
                  <to>
                    <xdr:col>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294" r:id="rId32" name="CheckBox_Demo8">
              <controlPr defaultSize="0" autoFill="0" autoLine="0" autoPict="0">
                <anchor moveWithCells="1">
                  <from>
                    <xdr:col>9</xdr:col>
                    <xdr:colOff>342900</xdr:colOff>
                    <xdr:row>17</xdr:row>
                    <xdr:rowOff>0</xdr:rowOff>
                  </from>
                  <to>
                    <xdr:col>9</xdr:col>
                    <xdr:colOff>638175</xdr:colOff>
                    <xdr:row>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295" r:id="rId33" name="DropDowns_Demo_Bis8">
              <controlPr defaultSize="0" autoFill="0" autoPict="0">
                <anchor moveWithCells="1">
                  <from>
                    <xdr:col>8</xdr:col>
                    <xdr:colOff>0</xdr:colOff>
                    <xdr:row>18</xdr:row>
                    <xdr:rowOff>0</xdr:rowOff>
                  </from>
                  <to>
                    <xdr:col>9</xdr:col>
                    <xdr:colOff>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296" r:id="rId34" name="CheckBox_Demo_Bis8">
              <controlPr defaultSize="0" autoFill="0" autoLine="0" autoPict="0">
                <anchor moveWithCells="1">
                  <from>
                    <xdr:col>9</xdr:col>
                    <xdr:colOff>342900</xdr:colOff>
                    <xdr:row>18</xdr:row>
                    <xdr:rowOff>0</xdr:rowOff>
                  </from>
                  <to>
                    <xdr:col>9</xdr:col>
                    <xdr:colOff>638175</xdr:colOff>
                    <xdr:row>19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297" r:id="rId35" name="DropDowns_Demo9">
              <controlPr defaultSize="0" autoFill="0" autoPict="0">
                <anchor moveWithCells="1">
                  <from>
                    <xdr:col>8</xdr:col>
                    <xdr:colOff>0</xdr:colOff>
                    <xdr:row>19</xdr:row>
                    <xdr:rowOff>0</xdr:rowOff>
                  </from>
                  <to>
                    <xdr:col>9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298" r:id="rId36" name="CheckBox_Demo9">
              <controlPr defaultSize="0" autoFill="0" autoLine="0" autoPict="0">
                <anchor moveWithCells="1">
                  <from>
                    <xdr:col>9</xdr:col>
                    <xdr:colOff>342900</xdr:colOff>
                    <xdr:row>19</xdr:row>
                    <xdr:rowOff>0</xdr:rowOff>
                  </from>
                  <to>
                    <xdr:col>9</xdr:col>
                    <xdr:colOff>638175</xdr:colOff>
                    <xdr:row>20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299" r:id="rId37" name="DropDowns_Demo_Bis9">
              <controlPr defaultSize="0" autoFill="0" autoPict="0">
                <anchor moveWithCells="1">
                  <from>
                    <xdr:col>8</xdr:col>
                    <xdr:colOff>0</xdr:colOff>
                    <xdr:row>20</xdr:row>
                    <xdr:rowOff>0</xdr:rowOff>
                  </from>
                  <to>
                    <xdr:col>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300" r:id="rId38" name="CheckBox_Demo_Bis9">
              <controlPr defaultSize="0" autoFill="0" autoLine="0" autoPict="0">
                <anchor moveWithCells="1">
                  <from>
                    <xdr:col>9</xdr:col>
                    <xdr:colOff>342900</xdr:colOff>
                    <xdr:row>20</xdr:row>
                    <xdr:rowOff>0</xdr:rowOff>
                  </from>
                  <to>
                    <xdr:col>9</xdr:col>
                    <xdr:colOff>638175</xdr:colOff>
                    <xdr:row>21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301" r:id="rId39" name="DropDowns_Demo10">
              <controlPr defaultSize="0" autoFill="0" autoPict="0">
                <anchor moveWithCells="1">
                  <from>
                    <xdr:col>8</xdr:col>
                    <xdr:colOff>0</xdr:colOff>
                    <xdr:row>21</xdr:row>
                    <xdr:rowOff>0</xdr:rowOff>
                  </from>
                  <to>
                    <xdr:col>9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302" r:id="rId40" name="CheckBox_Demo10">
              <controlPr defaultSize="0" autoFill="0" autoLine="0" autoPict="0">
                <anchor moveWithCells="1">
                  <from>
                    <xdr:col>9</xdr:col>
                    <xdr:colOff>342900</xdr:colOff>
                    <xdr:row>21</xdr:row>
                    <xdr:rowOff>0</xdr:rowOff>
                  </from>
                  <to>
                    <xdr:col>9</xdr:col>
                    <xdr:colOff>638175</xdr:colOff>
                    <xdr:row>22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303" r:id="rId41" name="DropDowns_Demo_Bis10">
              <controlPr defaultSize="0" autoFill="0" autoPict="0">
                <anchor moveWithCells="1">
                  <from>
                    <xdr:col>8</xdr:col>
                    <xdr:colOff>0</xdr:colOff>
                    <xdr:row>22</xdr:row>
                    <xdr:rowOff>0</xdr:rowOff>
                  </from>
                  <to>
                    <xdr:col>9</xdr:col>
                    <xdr:colOff>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304" r:id="rId42" name="CheckBox_Demo_Bis10">
              <controlPr defaultSize="0" autoFill="0" autoLine="0" autoPict="0">
                <anchor moveWithCells="1">
                  <from>
                    <xdr:col>9</xdr:col>
                    <xdr:colOff>342900</xdr:colOff>
                    <xdr:row>22</xdr:row>
                    <xdr:rowOff>0</xdr:rowOff>
                  </from>
                  <to>
                    <xdr:col>9</xdr:col>
                    <xdr:colOff>638175</xdr:colOff>
                    <xdr:row>23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305" r:id="rId43" name="Button 41">
              <controlPr defaultSize="0" print="0" autoFill="0" autoPict="0" macro="[0]!Agregar_Grafico_Demografia_Unificado">
                <anchor moveWithCells="1" sizeWithCells="1">
                  <from>
                    <xdr:col>5</xdr:col>
                    <xdr:colOff>0</xdr:colOff>
                    <xdr:row>24</xdr:row>
                    <xdr:rowOff>0</xdr:rowOff>
                  </from>
                  <to>
                    <xdr:col>7</xdr:col>
                    <xdr:colOff>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306" r:id="rId44" name="Button 42">
              <controlPr defaultSize="0" print="0" autoFill="0" autoPict="0" macro="[0]!Generar_Graficos_Demografias">
                <anchor moveWithCells="1" sizeWithCells="1">
                  <from>
                    <xdr:col>8</xdr:col>
                    <xdr:colOff>0</xdr:colOff>
                    <xdr:row>24</xdr:row>
                    <xdr:rowOff>0</xdr:rowOff>
                  </from>
                  <to>
                    <xdr:col>10</xdr:col>
                    <xdr:colOff>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307" r:id="rId45" name="Button 43">
              <controlPr defaultSize="0" print="0" autoFill="0" autoPict="0" macro="[0]!Clear_Graficos">
                <anchor moveWithCells="1" sizeWithCells="1">
                  <from>
                    <xdr:col>8</xdr:col>
                    <xdr:colOff>0</xdr:colOff>
                    <xdr:row>27</xdr:row>
                    <xdr:rowOff>0</xdr:rowOff>
                  </from>
                  <to>
                    <xdr:col>10</xdr:col>
                    <xdr:colOff>0</xdr:colOff>
                    <xdr:row>29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0"/>
  <dimension ref="B2:H75"/>
  <sheetViews>
    <sheetView topLeftCell="B61" workbookViewId="0">
      <selection activeCell="G83" sqref="G83"/>
    </sheetView>
  </sheetViews>
  <sheetFormatPr baseColWidth="10" defaultRowHeight="15" x14ac:dyDescent="0.25"/>
  <cols>
    <col min="1" max="1" width="5.7109375" customWidth="1"/>
    <col min="2" max="2" width="22.140625" style="15" bestFit="1" customWidth="1"/>
    <col min="3" max="3" width="21.7109375" style="13" bestFit="1" customWidth="1"/>
    <col min="4" max="4" width="25.28515625" bestFit="1" customWidth="1"/>
    <col min="5" max="6" width="10.7109375" style="19" customWidth="1"/>
    <col min="7" max="7" width="15.5703125" bestFit="1" customWidth="1"/>
    <col min="8" max="8" width="13.42578125" bestFit="1" customWidth="1"/>
  </cols>
  <sheetData>
    <row r="2" spans="2:8" x14ac:dyDescent="0.25">
      <c r="B2" s="11" t="s">
        <v>30</v>
      </c>
      <c r="C2" s="32">
        <v>2</v>
      </c>
    </row>
    <row r="3" spans="2:8" x14ac:dyDescent="0.25">
      <c r="B3" s="11" t="s">
        <v>108</v>
      </c>
      <c r="C3" s="32">
        <v>2</v>
      </c>
    </row>
    <row r="4" spans="2:8" x14ac:dyDescent="0.25">
      <c r="C4" s="12"/>
    </row>
    <row r="5" spans="2:8" x14ac:dyDescent="0.25">
      <c r="B5" s="16" t="s">
        <v>29</v>
      </c>
      <c r="C5" s="283" t="s">
        <v>151</v>
      </c>
      <c r="D5" s="284"/>
      <c r="E5" s="25" t="s">
        <v>31</v>
      </c>
      <c r="F5" s="25" t="s">
        <v>32</v>
      </c>
      <c r="G5" s="25" t="s">
        <v>157</v>
      </c>
      <c r="H5" s="25" t="s">
        <v>158</v>
      </c>
    </row>
    <row r="6" spans="2:8" x14ac:dyDescent="0.25">
      <c r="B6" s="17" t="s">
        <v>134</v>
      </c>
      <c r="C6" s="22" t="s">
        <v>151</v>
      </c>
      <c r="D6" s="18"/>
      <c r="E6" s="33" t="s">
        <v>343</v>
      </c>
      <c r="F6" s="33" t="s">
        <v>135</v>
      </c>
      <c r="G6" s="33"/>
      <c r="H6" s="33"/>
    </row>
    <row r="7" spans="2:8" ht="15" customHeight="1" x14ac:dyDescent="0.25">
      <c r="B7" s="16" t="s">
        <v>29</v>
      </c>
      <c r="C7" s="289" t="s">
        <v>70</v>
      </c>
      <c r="D7" s="290"/>
      <c r="E7" s="20" t="s">
        <v>31</v>
      </c>
      <c r="F7" s="20" t="s">
        <v>32</v>
      </c>
      <c r="G7" s="20" t="s">
        <v>157</v>
      </c>
      <c r="H7" s="20" t="s">
        <v>158</v>
      </c>
    </row>
    <row r="8" spans="2:8" ht="30" x14ac:dyDescent="0.25">
      <c r="B8" s="17" t="s">
        <v>74</v>
      </c>
      <c r="C8" s="14" t="s">
        <v>71</v>
      </c>
      <c r="D8" s="18"/>
      <c r="E8" s="33" t="s">
        <v>344</v>
      </c>
      <c r="F8" s="33" t="s">
        <v>345</v>
      </c>
      <c r="G8" s="33"/>
      <c r="H8" s="33"/>
    </row>
    <row r="9" spans="2:8" ht="30" x14ac:dyDescent="0.25">
      <c r="B9" s="17" t="s">
        <v>88</v>
      </c>
      <c r="C9" s="14" t="s">
        <v>153</v>
      </c>
      <c r="D9" s="18"/>
      <c r="E9" s="33" t="s">
        <v>229</v>
      </c>
      <c r="F9" s="33" t="s">
        <v>346</v>
      </c>
      <c r="G9" s="33" t="s">
        <v>196</v>
      </c>
      <c r="H9" s="33" t="s">
        <v>347</v>
      </c>
    </row>
    <row r="10" spans="2:8" ht="30.75" customHeight="1" x14ac:dyDescent="0.25">
      <c r="B10" s="17" t="s">
        <v>75</v>
      </c>
      <c r="C10" s="14" t="s">
        <v>26</v>
      </c>
      <c r="D10" s="18"/>
      <c r="E10" s="33" t="s">
        <v>348</v>
      </c>
      <c r="F10" s="33" t="s">
        <v>349</v>
      </c>
      <c r="G10" s="33"/>
      <c r="H10" s="33"/>
    </row>
    <row r="11" spans="2:8" ht="45" x14ac:dyDescent="0.25">
      <c r="B11" s="17" t="s">
        <v>89</v>
      </c>
      <c r="C11" s="14" t="s">
        <v>154</v>
      </c>
      <c r="D11" s="18"/>
      <c r="E11" s="33" t="s">
        <v>350</v>
      </c>
      <c r="F11" s="33" t="s">
        <v>351</v>
      </c>
      <c r="G11" s="33" t="s">
        <v>196</v>
      </c>
      <c r="H11" s="33" t="s">
        <v>347</v>
      </c>
    </row>
    <row r="12" spans="2:8" x14ac:dyDescent="0.25">
      <c r="B12" s="24" t="s">
        <v>29</v>
      </c>
      <c r="C12" s="289" t="s">
        <v>26</v>
      </c>
      <c r="D12" s="290"/>
      <c r="E12" s="20" t="s">
        <v>31</v>
      </c>
      <c r="F12" s="20" t="s">
        <v>32</v>
      </c>
      <c r="G12" s="20" t="s">
        <v>157</v>
      </c>
      <c r="H12" s="20" t="s">
        <v>158</v>
      </c>
    </row>
    <row r="13" spans="2:8" x14ac:dyDescent="0.25">
      <c r="B13" s="285" t="s">
        <v>76</v>
      </c>
      <c r="C13" s="14" t="s">
        <v>147</v>
      </c>
      <c r="D13" s="10" t="s">
        <v>33</v>
      </c>
      <c r="E13" s="34" t="s">
        <v>352</v>
      </c>
      <c r="F13" s="34" t="s">
        <v>353</v>
      </c>
      <c r="G13" s="33"/>
      <c r="H13" s="33"/>
    </row>
    <row r="14" spans="2:8" x14ac:dyDescent="0.25">
      <c r="B14" s="286"/>
      <c r="C14" s="293" t="s">
        <v>33</v>
      </c>
      <c r="D14" s="10" t="s">
        <v>11</v>
      </c>
      <c r="E14" s="34" t="s">
        <v>34</v>
      </c>
      <c r="F14" s="34" t="s">
        <v>35</v>
      </c>
      <c r="G14" s="33"/>
      <c r="H14" s="33"/>
    </row>
    <row r="15" spans="2:8" x14ac:dyDescent="0.25">
      <c r="B15" s="286"/>
      <c r="C15" s="293"/>
      <c r="D15" s="10" t="s">
        <v>12</v>
      </c>
      <c r="E15" s="34" t="s">
        <v>36</v>
      </c>
      <c r="F15" s="34" t="s">
        <v>37</v>
      </c>
      <c r="G15" s="33"/>
      <c r="H15" s="33"/>
    </row>
    <row r="16" spans="2:8" x14ac:dyDescent="0.25">
      <c r="B16" s="287"/>
      <c r="C16" s="293"/>
      <c r="D16" s="10" t="s">
        <v>13</v>
      </c>
      <c r="E16" s="34" t="s">
        <v>38</v>
      </c>
      <c r="F16" s="34" t="s">
        <v>39</v>
      </c>
      <c r="G16" s="33"/>
      <c r="H16" s="33"/>
    </row>
    <row r="17" spans="2:8" x14ac:dyDescent="0.25">
      <c r="B17" s="285" t="s">
        <v>77</v>
      </c>
      <c r="C17" s="14" t="s">
        <v>147</v>
      </c>
      <c r="D17" s="10" t="s">
        <v>40</v>
      </c>
      <c r="E17" s="34" t="s">
        <v>354</v>
      </c>
      <c r="F17" s="34" t="s">
        <v>355</v>
      </c>
      <c r="G17" s="33"/>
      <c r="H17" s="33"/>
    </row>
    <row r="18" spans="2:8" x14ac:dyDescent="0.25">
      <c r="B18" s="286"/>
      <c r="C18" s="288" t="s">
        <v>40</v>
      </c>
      <c r="D18" s="10" t="s">
        <v>14</v>
      </c>
      <c r="E18" s="34" t="s">
        <v>41</v>
      </c>
      <c r="F18" s="34" t="s">
        <v>42</v>
      </c>
      <c r="G18" s="33"/>
      <c r="H18" s="33"/>
    </row>
    <row r="19" spans="2:8" x14ac:dyDescent="0.25">
      <c r="B19" s="286"/>
      <c r="C19" s="294"/>
      <c r="D19" s="18" t="s">
        <v>15</v>
      </c>
      <c r="E19" s="33" t="s">
        <v>43</v>
      </c>
      <c r="F19" s="33" t="s">
        <v>44</v>
      </c>
      <c r="G19" s="33"/>
      <c r="H19" s="33"/>
    </row>
    <row r="20" spans="2:8" x14ac:dyDescent="0.25">
      <c r="B20" s="287"/>
      <c r="C20" s="294"/>
      <c r="D20" s="10" t="s">
        <v>16</v>
      </c>
      <c r="E20" s="34" t="s">
        <v>45</v>
      </c>
      <c r="F20" s="34" t="s">
        <v>46</v>
      </c>
      <c r="G20" s="33"/>
      <c r="H20" s="33"/>
    </row>
    <row r="21" spans="2:8" x14ac:dyDescent="0.25">
      <c r="B21" s="285" t="s">
        <v>78</v>
      </c>
      <c r="C21" s="23" t="s">
        <v>147</v>
      </c>
      <c r="D21" s="10" t="s">
        <v>47</v>
      </c>
      <c r="E21" s="34" t="s">
        <v>356</v>
      </c>
      <c r="F21" s="34" t="s">
        <v>357</v>
      </c>
      <c r="G21" s="33"/>
      <c r="H21" s="33"/>
    </row>
    <row r="22" spans="2:8" x14ac:dyDescent="0.25">
      <c r="B22" s="286"/>
      <c r="C22" s="288" t="s">
        <v>47</v>
      </c>
      <c r="D22" s="10" t="s">
        <v>17</v>
      </c>
      <c r="E22" s="34" t="s">
        <v>48</v>
      </c>
      <c r="F22" s="34" t="s">
        <v>49</v>
      </c>
      <c r="G22" s="33"/>
      <c r="H22" s="33"/>
    </row>
    <row r="23" spans="2:8" x14ac:dyDescent="0.25">
      <c r="B23" s="286"/>
      <c r="C23" s="294"/>
      <c r="D23" s="18" t="s">
        <v>18</v>
      </c>
      <c r="E23" s="33" t="s">
        <v>50</v>
      </c>
      <c r="F23" s="33" t="s">
        <v>51</v>
      </c>
      <c r="G23" s="33"/>
      <c r="H23" s="33"/>
    </row>
    <row r="24" spans="2:8" x14ac:dyDescent="0.25">
      <c r="B24" s="287"/>
      <c r="C24" s="294"/>
      <c r="D24" s="10" t="s">
        <v>19</v>
      </c>
      <c r="E24" s="34" t="s">
        <v>52</v>
      </c>
      <c r="F24" s="34" t="s">
        <v>53</v>
      </c>
      <c r="G24" s="33"/>
      <c r="H24" s="33"/>
    </row>
    <row r="25" spans="2:8" ht="15" customHeight="1" x14ac:dyDescent="0.25">
      <c r="B25" s="285" t="s">
        <v>79</v>
      </c>
      <c r="C25" s="23" t="s">
        <v>147</v>
      </c>
      <c r="D25" s="10" t="s">
        <v>54</v>
      </c>
      <c r="E25" s="34" t="s">
        <v>358</v>
      </c>
      <c r="F25" s="34" t="s">
        <v>359</v>
      </c>
      <c r="G25" s="33"/>
      <c r="H25" s="33"/>
    </row>
    <row r="26" spans="2:8" x14ac:dyDescent="0.25">
      <c r="B26" s="286"/>
      <c r="C26" s="293" t="s">
        <v>54</v>
      </c>
      <c r="D26" s="18" t="s">
        <v>20</v>
      </c>
      <c r="E26" s="33" t="s">
        <v>55</v>
      </c>
      <c r="F26" s="33" t="s">
        <v>56</v>
      </c>
      <c r="G26" s="33"/>
      <c r="H26" s="33"/>
    </row>
    <row r="27" spans="2:8" x14ac:dyDescent="0.25">
      <c r="B27" s="286"/>
      <c r="C27" s="293"/>
      <c r="D27" s="18" t="s">
        <v>21</v>
      </c>
      <c r="E27" s="33" t="s">
        <v>57</v>
      </c>
      <c r="F27" s="33" t="s">
        <v>58</v>
      </c>
      <c r="G27" s="33"/>
      <c r="H27" s="33"/>
    </row>
    <row r="28" spans="2:8" x14ac:dyDescent="0.25">
      <c r="B28" s="287"/>
      <c r="C28" s="293"/>
      <c r="D28" s="18" t="s">
        <v>22</v>
      </c>
      <c r="E28" s="33" t="s">
        <v>59</v>
      </c>
      <c r="F28" s="33" t="s">
        <v>60</v>
      </c>
      <c r="G28" s="33"/>
      <c r="H28" s="33"/>
    </row>
    <row r="29" spans="2:8" x14ac:dyDescent="0.25">
      <c r="B29" s="285" t="s">
        <v>80</v>
      </c>
      <c r="C29" s="23" t="s">
        <v>147</v>
      </c>
      <c r="D29" s="10" t="s">
        <v>155</v>
      </c>
      <c r="E29" s="34" t="s">
        <v>360</v>
      </c>
      <c r="F29" s="34" t="s">
        <v>349</v>
      </c>
      <c r="G29" s="33"/>
      <c r="H29" s="33"/>
    </row>
    <row r="30" spans="2:8" x14ac:dyDescent="0.25">
      <c r="B30" s="286"/>
      <c r="C30" s="293" t="s">
        <v>155</v>
      </c>
      <c r="D30" s="18" t="s">
        <v>23</v>
      </c>
      <c r="E30" s="33" t="s">
        <v>61</v>
      </c>
      <c r="F30" s="33" t="s">
        <v>62</v>
      </c>
      <c r="G30" s="33"/>
      <c r="H30" s="33"/>
    </row>
    <row r="31" spans="2:8" x14ac:dyDescent="0.25">
      <c r="B31" s="286"/>
      <c r="C31" s="293"/>
      <c r="D31" s="10" t="s">
        <v>24</v>
      </c>
      <c r="E31" s="34" t="s">
        <v>63</v>
      </c>
      <c r="F31" s="34" t="s">
        <v>64</v>
      </c>
      <c r="G31" s="33"/>
      <c r="H31" s="33"/>
    </row>
    <row r="32" spans="2:8" x14ac:dyDescent="0.25">
      <c r="B32" s="287"/>
      <c r="C32" s="293"/>
      <c r="D32" s="18" t="s">
        <v>25</v>
      </c>
      <c r="E32" s="33" t="s">
        <v>65</v>
      </c>
      <c r="F32" s="33" t="s">
        <v>66</v>
      </c>
      <c r="G32" s="33"/>
      <c r="H32" s="33"/>
    </row>
    <row r="33" spans="2:8" x14ac:dyDescent="0.25">
      <c r="B33" s="24" t="s">
        <v>29</v>
      </c>
      <c r="C33" s="289" t="s">
        <v>72</v>
      </c>
      <c r="D33" s="290"/>
      <c r="E33" s="20" t="s">
        <v>31</v>
      </c>
      <c r="F33" s="20" t="s">
        <v>32</v>
      </c>
      <c r="G33" s="20" t="s">
        <v>157</v>
      </c>
      <c r="H33" s="20" t="s">
        <v>158</v>
      </c>
    </row>
    <row r="34" spans="2:8" x14ac:dyDescent="0.25">
      <c r="B34" s="17" t="s">
        <v>81</v>
      </c>
      <c r="C34" s="14" t="s">
        <v>33</v>
      </c>
      <c r="D34" s="18" t="s">
        <v>73</v>
      </c>
      <c r="E34" s="33" t="s">
        <v>361</v>
      </c>
      <c r="F34" s="33" t="s">
        <v>362</v>
      </c>
      <c r="G34" s="33"/>
      <c r="H34" s="33"/>
    </row>
    <row r="35" spans="2:8" x14ac:dyDescent="0.25">
      <c r="B35" s="17" t="s">
        <v>82</v>
      </c>
      <c r="C35" s="14" t="s">
        <v>40</v>
      </c>
      <c r="D35" s="18" t="s">
        <v>73</v>
      </c>
      <c r="E35" s="33" t="s">
        <v>363</v>
      </c>
      <c r="F35" s="33" t="s">
        <v>364</v>
      </c>
      <c r="G35" s="33"/>
      <c r="H35" s="33"/>
    </row>
    <row r="36" spans="2:8" x14ac:dyDescent="0.25">
      <c r="B36" s="17" t="s">
        <v>85</v>
      </c>
      <c r="C36" s="14" t="s">
        <v>47</v>
      </c>
      <c r="D36" s="18" t="s">
        <v>73</v>
      </c>
      <c r="E36" s="33" t="s">
        <v>365</v>
      </c>
      <c r="F36" s="33" t="s">
        <v>366</v>
      </c>
      <c r="G36" s="33"/>
      <c r="H36" s="33"/>
    </row>
    <row r="37" spans="2:8" x14ac:dyDescent="0.25">
      <c r="B37" s="17" t="s">
        <v>83</v>
      </c>
      <c r="C37" s="14" t="s">
        <v>54</v>
      </c>
      <c r="D37" s="18" t="s">
        <v>73</v>
      </c>
      <c r="E37" s="33" t="s">
        <v>367</v>
      </c>
      <c r="F37" s="33" t="s">
        <v>368</v>
      </c>
      <c r="G37" s="33"/>
      <c r="H37" s="33"/>
    </row>
    <row r="38" spans="2:8" x14ac:dyDescent="0.25">
      <c r="B38" s="17" t="s">
        <v>84</v>
      </c>
      <c r="C38" s="14" t="s">
        <v>155</v>
      </c>
      <c r="D38" s="18" t="s">
        <v>73</v>
      </c>
      <c r="E38" s="33" t="s">
        <v>369</v>
      </c>
      <c r="F38" s="33" t="s">
        <v>370</v>
      </c>
      <c r="G38" s="33"/>
      <c r="H38" s="33"/>
    </row>
    <row r="39" spans="2:8" x14ac:dyDescent="0.25">
      <c r="B39" s="24" t="s">
        <v>29</v>
      </c>
      <c r="C39" s="289" t="s">
        <v>152</v>
      </c>
      <c r="D39" s="290"/>
      <c r="E39" s="20" t="s">
        <v>31</v>
      </c>
      <c r="F39" s="20" t="s">
        <v>32</v>
      </c>
      <c r="G39" s="20" t="s">
        <v>157</v>
      </c>
      <c r="H39" s="20" t="s">
        <v>158</v>
      </c>
    </row>
    <row r="40" spans="2:8" x14ac:dyDescent="0.25">
      <c r="B40" s="285" t="s">
        <v>107</v>
      </c>
      <c r="C40" s="288" t="s">
        <v>152</v>
      </c>
      <c r="D40" s="10" t="s">
        <v>11</v>
      </c>
      <c r="E40" s="34" t="s">
        <v>92</v>
      </c>
      <c r="F40" s="33"/>
      <c r="G40" s="34" t="s">
        <v>34</v>
      </c>
      <c r="H40" s="33"/>
    </row>
    <row r="41" spans="2:8" x14ac:dyDescent="0.25">
      <c r="B41" s="286"/>
      <c r="C41" s="286"/>
      <c r="D41" s="10" t="s">
        <v>12</v>
      </c>
      <c r="E41" s="34" t="s">
        <v>93</v>
      </c>
      <c r="F41" s="33"/>
      <c r="G41" s="34" t="s">
        <v>36</v>
      </c>
      <c r="H41" s="33"/>
    </row>
    <row r="42" spans="2:8" x14ac:dyDescent="0.25">
      <c r="B42" s="286"/>
      <c r="C42" s="286"/>
      <c r="D42" s="10" t="s">
        <v>13</v>
      </c>
      <c r="E42" s="34" t="s">
        <v>94</v>
      </c>
      <c r="F42" s="33"/>
      <c r="G42" s="34" t="s">
        <v>38</v>
      </c>
      <c r="H42" s="33"/>
    </row>
    <row r="43" spans="2:8" x14ac:dyDescent="0.25">
      <c r="B43" s="286"/>
      <c r="C43" s="286"/>
      <c r="D43" s="10" t="s">
        <v>14</v>
      </c>
      <c r="E43" s="34" t="s">
        <v>95</v>
      </c>
      <c r="F43" s="33"/>
      <c r="G43" s="34" t="s">
        <v>41</v>
      </c>
      <c r="H43" s="33"/>
    </row>
    <row r="44" spans="2:8" x14ac:dyDescent="0.25">
      <c r="B44" s="286"/>
      <c r="C44" s="286"/>
      <c r="D44" s="18" t="s">
        <v>15</v>
      </c>
      <c r="E44" s="33" t="s">
        <v>96</v>
      </c>
      <c r="F44" s="33"/>
      <c r="G44" s="33" t="s">
        <v>43</v>
      </c>
      <c r="H44" s="33"/>
    </row>
    <row r="45" spans="2:8" x14ac:dyDescent="0.25">
      <c r="B45" s="286"/>
      <c r="C45" s="286"/>
      <c r="D45" s="10" t="s">
        <v>16</v>
      </c>
      <c r="E45" s="34" t="s">
        <v>97</v>
      </c>
      <c r="F45" s="33"/>
      <c r="G45" s="34" t="s">
        <v>45</v>
      </c>
      <c r="H45" s="33"/>
    </row>
    <row r="46" spans="2:8" x14ac:dyDescent="0.25">
      <c r="B46" s="286"/>
      <c r="C46" s="286"/>
      <c r="D46" s="10" t="s">
        <v>17</v>
      </c>
      <c r="E46" s="34" t="s">
        <v>98</v>
      </c>
      <c r="F46" s="33"/>
      <c r="G46" s="34" t="s">
        <v>48</v>
      </c>
      <c r="H46" s="33"/>
    </row>
    <row r="47" spans="2:8" x14ac:dyDescent="0.25">
      <c r="B47" s="286"/>
      <c r="C47" s="286"/>
      <c r="D47" s="18" t="s">
        <v>18</v>
      </c>
      <c r="E47" s="33" t="s">
        <v>99</v>
      </c>
      <c r="F47" s="33"/>
      <c r="G47" s="33" t="s">
        <v>50</v>
      </c>
      <c r="H47" s="33"/>
    </row>
    <row r="48" spans="2:8" x14ac:dyDescent="0.25">
      <c r="B48" s="286"/>
      <c r="C48" s="286"/>
      <c r="D48" s="10" t="s">
        <v>19</v>
      </c>
      <c r="E48" s="34" t="s">
        <v>100</v>
      </c>
      <c r="F48" s="33"/>
      <c r="G48" s="34" t="s">
        <v>52</v>
      </c>
      <c r="H48" s="33"/>
    </row>
    <row r="49" spans="2:8" x14ac:dyDescent="0.25">
      <c r="B49" s="286"/>
      <c r="C49" s="286"/>
      <c r="D49" s="18" t="s">
        <v>20</v>
      </c>
      <c r="E49" s="33" t="s">
        <v>101</v>
      </c>
      <c r="F49" s="33"/>
      <c r="G49" s="33" t="s">
        <v>55</v>
      </c>
      <c r="H49" s="33"/>
    </row>
    <row r="50" spans="2:8" x14ac:dyDescent="0.25">
      <c r="B50" s="286"/>
      <c r="C50" s="286"/>
      <c r="D50" s="18" t="s">
        <v>21</v>
      </c>
      <c r="E50" s="33" t="s">
        <v>102</v>
      </c>
      <c r="F50" s="33"/>
      <c r="G50" s="33" t="s">
        <v>57</v>
      </c>
      <c r="H50" s="33"/>
    </row>
    <row r="51" spans="2:8" x14ac:dyDescent="0.25">
      <c r="B51" s="286"/>
      <c r="C51" s="286"/>
      <c r="D51" s="18" t="s">
        <v>22</v>
      </c>
      <c r="E51" s="33" t="s">
        <v>103</v>
      </c>
      <c r="F51" s="33"/>
      <c r="G51" s="33" t="s">
        <v>59</v>
      </c>
      <c r="H51" s="33"/>
    </row>
    <row r="52" spans="2:8" x14ac:dyDescent="0.25">
      <c r="B52" s="286"/>
      <c r="C52" s="286"/>
      <c r="D52" s="18" t="s">
        <v>23</v>
      </c>
      <c r="E52" s="33" t="s">
        <v>104</v>
      </c>
      <c r="F52" s="33"/>
      <c r="G52" s="33" t="s">
        <v>61</v>
      </c>
      <c r="H52" s="33"/>
    </row>
    <row r="53" spans="2:8" x14ac:dyDescent="0.25">
      <c r="B53" s="286"/>
      <c r="C53" s="286"/>
      <c r="D53" s="10" t="s">
        <v>24</v>
      </c>
      <c r="E53" s="34" t="s">
        <v>105</v>
      </c>
      <c r="F53" s="33"/>
      <c r="G53" s="34" t="s">
        <v>63</v>
      </c>
      <c r="H53" s="33"/>
    </row>
    <row r="54" spans="2:8" x14ac:dyDescent="0.25">
      <c r="B54" s="287"/>
      <c r="C54" s="287"/>
      <c r="D54" s="18" t="s">
        <v>25</v>
      </c>
      <c r="E54" s="33" t="s">
        <v>106</v>
      </c>
      <c r="F54" s="33"/>
      <c r="G54" s="33" t="s">
        <v>65</v>
      </c>
      <c r="H54" s="33"/>
    </row>
    <row r="55" spans="2:8" x14ac:dyDescent="0.25">
      <c r="B55" s="285" t="s">
        <v>90</v>
      </c>
      <c r="C55" s="288" t="s">
        <v>152</v>
      </c>
      <c r="D55" s="10" t="s">
        <v>109</v>
      </c>
      <c r="E55" s="34" t="s">
        <v>110</v>
      </c>
      <c r="F55" s="34" t="s">
        <v>111</v>
      </c>
      <c r="G55" s="33"/>
      <c r="H55" s="33"/>
    </row>
    <row r="56" spans="2:8" ht="15" customHeight="1" x14ac:dyDescent="0.25">
      <c r="B56" s="286"/>
      <c r="C56" s="286"/>
      <c r="D56" s="10" t="s">
        <v>11</v>
      </c>
      <c r="E56" s="34" t="s">
        <v>34</v>
      </c>
      <c r="F56" s="34" t="s">
        <v>35</v>
      </c>
      <c r="G56" s="33"/>
      <c r="H56" s="33"/>
    </row>
    <row r="57" spans="2:8" x14ac:dyDescent="0.25">
      <c r="B57" s="286"/>
      <c r="C57" s="286"/>
      <c r="D57" s="10" t="s">
        <v>12</v>
      </c>
      <c r="E57" s="34" t="s">
        <v>36</v>
      </c>
      <c r="F57" s="34" t="s">
        <v>37</v>
      </c>
      <c r="G57" s="33"/>
      <c r="H57" s="33"/>
    </row>
    <row r="58" spans="2:8" x14ac:dyDescent="0.25">
      <c r="B58" s="286"/>
      <c r="C58" s="286"/>
      <c r="D58" s="10" t="s">
        <v>13</v>
      </c>
      <c r="E58" s="34" t="s">
        <v>38</v>
      </c>
      <c r="F58" s="34" t="s">
        <v>39</v>
      </c>
      <c r="G58" s="33"/>
      <c r="H58" s="33"/>
    </row>
    <row r="59" spans="2:8" x14ac:dyDescent="0.25">
      <c r="B59" s="286"/>
      <c r="C59" s="286"/>
      <c r="D59" s="10" t="s">
        <v>14</v>
      </c>
      <c r="E59" s="34" t="s">
        <v>41</v>
      </c>
      <c r="F59" s="34" t="s">
        <v>42</v>
      </c>
      <c r="G59" s="33"/>
      <c r="H59" s="33"/>
    </row>
    <row r="60" spans="2:8" x14ac:dyDescent="0.25">
      <c r="B60" s="286"/>
      <c r="C60" s="286"/>
      <c r="D60" s="18" t="s">
        <v>15</v>
      </c>
      <c r="E60" s="33" t="s">
        <v>43</v>
      </c>
      <c r="F60" s="33" t="s">
        <v>44</v>
      </c>
      <c r="G60" s="33"/>
      <c r="H60" s="33"/>
    </row>
    <row r="61" spans="2:8" x14ac:dyDescent="0.25">
      <c r="B61" s="286"/>
      <c r="C61" s="286"/>
      <c r="D61" s="10" t="s">
        <v>16</v>
      </c>
      <c r="E61" s="34" t="s">
        <v>45</v>
      </c>
      <c r="F61" s="34" t="s">
        <v>46</v>
      </c>
      <c r="G61" s="33"/>
      <c r="H61" s="33"/>
    </row>
    <row r="62" spans="2:8" x14ac:dyDescent="0.25">
      <c r="B62" s="286"/>
      <c r="C62" s="286"/>
      <c r="D62" s="10" t="s">
        <v>17</v>
      </c>
      <c r="E62" s="34" t="s">
        <v>48</v>
      </c>
      <c r="F62" s="34" t="s">
        <v>49</v>
      </c>
      <c r="G62" s="33"/>
      <c r="H62" s="33"/>
    </row>
    <row r="63" spans="2:8" x14ac:dyDescent="0.25">
      <c r="B63" s="286"/>
      <c r="C63" s="286"/>
      <c r="D63" s="18" t="s">
        <v>18</v>
      </c>
      <c r="E63" s="33" t="s">
        <v>50</v>
      </c>
      <c r="F63" s="33" t="s">
        <v>51</v>
      </c>
      <c r="G63" s="33"/>
      <c r="H63" s="33"/>
    </row>
    <row r="64" spans="2:8" x14ac:dyDescent="0.25">
      <c r="B64" s="286"/>
      <c r="C64" s="286"/>
      <c r="D64" s="10" t="s">
        <v>19</v>
      </c>
      <c r="E64" s="34" t="s">
        <v>52</v>
      </c>
      <c r="F64" s="34" t="s">
        <v>53</v>
      </c>
      <c r="G64" s="33"/>
      <c r="H64" s="33"/>
    </row>
    <row r="65" spans="2:8" x14ac:dyDescent="0.25">
      <c r="B65" s="286"/>
      <c r="C65" s="286"/>
      <c r="D65" s="18" t="s">
        <v>20</v>
      </c>
      <c r="E65" s="33" t="s">
        <v>55</v>
      </c>
      <c r="F65" s="33" t="s">
        <v>56</v>
      </c>
      <c r="G65" s="33"/>
      <c r="H65" s="33"/>
    </row>
    <row r="66" spans="2:8" ht="15" customHeight="1" x14ac:dyDescent="0.25">
      <c r="B66" s="286"/>
      <c r="C66" s="286"/>
      <c r="D66" s="18" t="s">
        <v>21</v>
      </c>
      <c r="E66" s="33" t="s">
        <v>57</v>
      </c>
      <c r="F66" s="33" t="s">
        <v>58</v>
      </c>
      <c r="G66" s="33"/>
      <c r="H66" s="33"/>
    </row>
    <row r="67" spans="2:8" x14ac:dyDescent="0.25">
      <c r="B67" s="286"/>
      <c r="C67" s="286"/>
      <c r="D67" s="18" t="s">
        <v>22</v>
      </c>
      <c r="E67" s="33" t="s">
        <v>59</v>
      </c>
      <c r="F67" s="33" t="s">
        <v>60</v>
      </c>
      <c r="G67" s="33"/>
      <c r="H67" s="33"/>
    </row>
    <row r="68" spans="2:8" x14ac:dyDescent="0.25">
      <c r="B68" s="286"/>
      <c r="C68" s="286"/>
      <c r="D68" s="18" t="s">
        <v>23</v>
      </c>
      <c r="E68" s="33" t="s">
        <v>61</v>
      </c>
      <c r="F68" s="33" t="s">
        <v>62</v>
      </c>
      <c r="G68" s="33"/>
      <c r="H68" s="33"/>
    </row>
    <row r="69" spans="2:8" x14ac:dyDescent="0.25">
      <c r="B69" s="286"/>
      <c r="C69" s="286"/>
      <c r="D69" s="10" t="s">
        <v>24</v>
      </c>
      <c r="E69" s="34" t="s">
        <v>63</v>
      </c>
      <c r="F69" s="34" t="s">
        <v>64</v>
      </c>
      <c r="G69" s="33"/>
      <c r="H69" s="33"/>
    </row>
    <row r="70" spans="2:8" x14ac:dyDescent="0.25">
      <c r="B70" s="287"/>
      <c r="C70" s="287"/>
      <c r="D70" s="18" t="s">
        <v>25</v>
      </c>
      <c r="E70" s="33" t="s">
        <v>65</v>
      </c>
      <c r="F70" s="33" t="s">
        <v>66</v>
      </c>
      <c r="G70" s="33"/>
      <c r="H70" s="33"/>
    </row>
    <row r="71" spans="2:8" ht="15" customHeight="1" x14ac:dyDescent="0.25">
      <c r="B71" s="24" t="s">
        <v>29</v>
      </c>
      <c r="C71" s="289" t="s">
        <v>67</v>
      </c>
      <c r="D71" s="291"/>
      <c r="E71" s="20" t="s">
        <v>31</v>
      </c>
      <c r="F71" s="20" t="s">
        <v>32</v>
      </c>
      <c r="G71" s="20" t="s">
        <v>157</v>
      </c>
      <c r="H71" s="20" t="s">
        <v>158</v>
      </c>
    </row>
    <row r="72" spans="2:8" x14ac:dyDescent="0.25">
      <c r="B72" s="17" t="s">
        <v>91</v>
      </c>
      <c r="C72" s="21" t="s">
        <v>156</v>
      </c>
      <c r="D72" s="18" t="s">
        <v>73</v>
      </c>
      <c r="E72" s="33" t="s">
        <v>497</v>
      </c>
      <c r="F72" s="33" t="s">
        <v>371</v>
      </c>
      <c r="G72" s="33"/>
      <c r="H72" s="33"/>
    </row>
    <row r="73" spans="2:8" ht="15" customHeight="1" x14ac:dyDescent="0.25">
      <c r="B73" s="16" t="s">
        <v>29</v>
      </c>
      <c r="C73" s="283" t="s">
        <v>10</v>
      </c>
      <c r="D73" s="292"/>
      <c r="E73" s="20" t="s">
        <v>31</v>
      </c>
      <c r="F73" s="20" t="s">
        <v>32</v>
      </c>
      <c r="G73" s="20" t="s">
        <v>157</v>
      </c>
      <c r="H73" s="20" t="s">
        <v>158</v>
      </c>
    </row>
    <row r="74" spans="2:8" x14ac:dyDescent="0.25">
      <c r="B74" s="17" t="s">
        <v>86</v>
      </c>
      <c r="C74" s="21" t="s">
        <v>68</v>
      </c>
      <c r="D74" s="18" t="s">
        <v>73</v>
      </c>
      <c r="E74" s="33" t="s">
        <v>495</v>
      </c>
      <c r="F74" s="33" t="s">
        <v>372</v>
      </c>
      <c r="G74" s="33"/>
      <c r="H74" s="33"/>
    </row>
    <row r="75" spans="2:8" ht="30" x14ac:dyDescent="0.25">
      <c r="B75" s="17" t="s">
        <v>87</v>
      </c>
      <c r="C75" s="21" t="s">
        <v>69</v>
      </c>
      <c r="D75" s="18" t="s">
        <v>73</v>
      </c>
      <c r="E75" s="33" t="s">
        <v>496</v>
      </c>
      <c r="F75" s="33" t="s">
        <v>373</v>
      </c>
      <c r="G75" s="33"/>
      <c r="H75" s="33"/>
    </row>
  </sheetData>
  <sheetProtection algorithmName="SHA-512" hashValue="hDQ7zPTt37VToOtRvPBKhusa93SWq5DAU2So1aQT1SVcu+gqSnvR+ySXVCiNwLKBrLgW+K3rmQ38l3/d6Szzog==" saltValue="/1ZztpCACROvt5I/QSCCHg==" spinCount="100000" sheet="1" objects="1" scenarios="1"/>
  <mergeCells count="21">
    <mergeCell ref="C71:D71"/>
    <mergeCell ref="C73:D73"/>
    <mergeCell ref="C14:C16"/>
    <mergeCell ref="C18:C20"/>
    <mergeCell ref="C22:C24"/>
    <mergeCell ref="C26:C28"/>
    <mergeCell ref="C30:C32"/>
    <mergeCell ref="C33:D33"/>
    <mergeCell ref="C39:D39"/>
    <mergeCell ref="C55:C70"/>
    <mergeCell ref="C5:D5"/>
    <mergeCell ref="B40:B54"/>
    <mergeCell ref="C40:C54"/>
    <mergeCell ref="B55:B70"/>
    <mergeCell ref="C7:D7"/>
    <mergeCell ref="C12:D12"/>
    <mergeCell ref="B13:B16"/>
    <mergeCell ref="B17:B20"/>
    <mergeCell ref="B21:B24"/>
    <mergeCell ref="B25:B28"/>
    <mergeCell ref="B29:B32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38598" r:id="rId3" name="Button 6">
              <controlPr defaultSize="0" print="0" autoFill="0" autoPict="0" macro="[0]!Generar_Graficos_Indicadores">
                <anchor moveWithCells="1" sizeWithCells="1">
                  <from>
                    <xdr:col>6</xdr:col>
                    <xdr:colOff>0</xdr:colOff>
                    <xdr:row>75</xdr:row>
                    <xdr:rowOff>180975</xdr:rowOff>
                  </from>
                  <to>
                    <xdr:col>8</xdr:col>
                    <xdr:colOff>0</xdr:colOff>
                    <xdr:row>77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8599" r:id="rId4" name="Button 7">
              <controlPr defaultSize="0" print="0" autoFill="0" autoPict="0" macro="[0]!Clear_Graficos_Indicadores">
                <anchor moveWithCells="1" sizeWithCells="1">
                  <from>
                    <xdr:col>6</xdr:col>
                    <xdr:colOff>9525</xdr:colOff>
                    <xdr:row>79</xdr:row>
                    <xdr:rowOff>9525</xdr:rowOff>
                  </from>
                  <to>
                    <xdr:col>8</xdr:col>
                    <xdr:colOff>0</xdr:colOff>
                    <xdr:row>81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5"/>
  <dimension ref="B2:J112"/>
  <sheetViews>
    <sheetView tabSelected="1" topLeftCell="E98" workbookViewId="0">
      <selection activeCell="J113" sqref="J113"/>
    </sheetView>
  </sheetViews>
  <sheetFormatPr baseColWidth="10" defaultRowHeight="15" x14ac:dyDescent="0.25"/>
  <cols>
    <col min="1" max="1" width="11.42578125" style="43"/>
    <col min="2" max="2" width="11.42578125" style="45" bestFit="1" customWidth="1"/>
    <col min="3" max="3" width="23" style="45" bestFit="1" customWidth="1"/>
    <col min="4" max="4" width="118.42578125" style="45" bestFit="1" customWidth="1"/>
    <col min="5" max="5" width="14.28515625" style="45" bestFit="1" customWidth="1"/>
    <col min="6" max="6" width="22.85546875" style="45" bestFit="1" customWidth="1"/>
    <col min="7" max="7" width="20.5703125" style="45" bestFit="1" customWidth="1"/>
    <col min="8" max="8" width="21.7109375" style="45" bestFit="1" customWidth="1"/>
    <col min="9" max="9" width="6.140625" style="45" bestFit="1" customWidth="1"/>
    <col min="10" max="10" width="8.42578125" style="45" bestFit="1" customWidth="1"/>
    <col min="11" max="16384" width="11.42578125" style="43"/>
  </cols>
  <sheetData>
    <row r="2" spans="2:10" x14ac:dyDescent="0.25">
      <c r="B2" s="295" t="s">
        <v>245</v>
      </c>
      <c r="C2" s="296"/>
      <c r="D2" s="296"/>
      <c r="E2" s="297"/>
      <c r="F2" s="297"/>
    </row>
    <row r="3" spans="2:10" ht="20.100000000000001" customHeight="1" x14ac:dyDescent="0.25">
      <c r="B3" s="65" t="s">
        <v>264</v>
      </c>
      <c r="C3" s="65" t="s">
        <v>252</v>
      </c>
      <c r="D3" s="65" t="s">
        <v>246</v>
      </c>
      <c r="E3" s="65" t="s">
        <v>247</v>
      </c>
      <c r="F3" s="65" t="s">
        <v>248</v>
      </c>
    </row>
    <row r="4" spans="2:10" x14ac:dyDescent="0.25">
      <c r="B4" s="44">
        <v>1</v>
      </c>
      <c r="C4" s="44" t="s">
        <v>253</v>
      </c>
      <c r="D4" s="44" t="s">
        <v>263</v>
      </c>
      <c r="E4" s="44">
        <v>1</v>
      </c>
      <c r="F4" s="44">
        <v>17</v>
      </c>
    </row>
    <row r="5" spans="2:10" x14ac:dyDescent="0.25">
      <c r="B5" s="44">
        <v>2</v>
      </c>
      <c r="C5" s="44" t="s">
        <v>1</v>
      </c>
      <c r="D5" s="44" t="s">
        <v>249</v>
      </c>
      <c r="E5" s="44">
        <v>18</v>
      </c>
      <c r="F5" s="44"/>
    </row>
    <row r="6" spans="2:10" s="47" customFormat="1" x14ac:dyDescent="0.25">
      <c r="B6" s="64">
        <v>3</v>
      </c>
      <c r="C6" s="64" t="s">
        <v>0</v>
      </c>
      <c r="D6" s="64" t="s">
        <v>257</v>
      </c>
      <c r="E6" s="64">
        <v>19</v>
      </c>
      <c r="F6" s="64"/>
      <c r="G6" s="46"/>
      <c r="H6" s="46"/>
      <c r="I6" s="46"/>
      <c r="J6" s="46"/>
    </row>
    <row r="7" spans="2:10" s="47" customFormat="1" x14ac:dyDescent="0.25">
      <c r="B7" s="64">
        <v>4</v>
      </c>
      <c r="C7" s="64" t="s">
        <v>0</v>
      </c>
      <c r="D7" s="64" t="s">
        <v>265</v>
      </c>
      <c r="E7" s="64">
        <v>19</v>
      </c>
      <c r="F7" s="64"/>
      <c r="G7" s="46"/>
      <c r="H7" s="46"/>
      <c r="I7" s="46"/>
      <c r="J7" s="46"/>
    </row>
    <row r="8" spans="2:10" s="47" customFormat="1" x14ac:dyDescent="0.25">
      <c r="B8" s="64">
        <v>5</v>
      </c>
      <c r="C8" s="64" t="s">
        <v>253</v>
      </c>
      <c r="D8" s="64" t="s">
        <v>250</v>
      </c>
      <c r="E8" s="64">
        <v>20</v>
      </c>
      <c r="F8" s="64"/>
      <c r="G8" s="46"/>
      <c r="H8" s="46"/>
      <c r="I8" s="46"/>
      <c r="J8" s="46"/>
    </row>
    <row r="9" spans="2:10" s="47" customFormat="1" x14ac:dyDescent="0.25">
      <c r="B9" s="64">
        <v>6</v>
      </c>
      <c r="C9" s="64" t="s">
        <v>1</v>
      </c>
      <c r="D9" s="64" t="s">
        <v>254</v>
      </c>
      <c r="E9" s="64">
        <v>21</v>
      </c>
      <c r="F9" s="64">
        <v>24</v>
      </c>
      <c r="G9" s="46"/>
      <c r="H9" s="46"/>
      <c r="I9" s="46"/>
      <c r="J9" s="46"/>
    </row>
    <row r="10" spans="2:10" s="47" customFormat="1" x14ac:dyDescent="0.25">
      <c r="B10" s="64">
        <v>7</v>
      </c>
      <c r="C10" s="64" t="s">
        <v>253</v>
      </c>
      <c r="D10" s="64" t="s">
        <v>251</v>
      </c>
      <c r="E10" s="64">
        <v>25</v>
      </c>
      <c r="F10" s="64">
        <v>27</v>
      </c>
      <c r="G10" s="46"/>
      <c r="H10" s="46"/>
      <c r="I10" s="46"/>
      <c r="J10" s="46"/>
    </row>
    <row r="11" spans="2:10" s="47" customFormat="1" x14ac:dyDescent="0.25">
      <c r="B11" s="64">
        <v>8</v>
      </c>
      <c r="C11" s="64" t="s">
        <v>1</v>
      </c>
      <c r="D11" s="64" t="s">
        <v>258</v>
      </c>
      <c r="E11" s="64">
        <v>28</v>
      </c>
      <c r="F11" s="64">
        <v>37</v>
      </c>
      <c r="G11" s="46"/>
      <c r="H11" s="46"/>
      <c r="I11" s="46"/>
      <c r="J11" s="46"/>
    </row>
    <row r="12" spans="2:10" s="47" customFormat="1" x14ac:dyDescent="0.25">
      <c r="B12" s="64">
        <v>9</v>
      </c>
      <c r="C12" s="64" t="s">
        <v>1</v>
      </c>
      <c r="D12" s="64" t="s">
        <v>259</v>
      </c>
      <c r="E12" s="64">
        <v>38</v>
      </c>
      <c r="F12" s="64">
        <v>39</v>
      </c>
      <c r="G12" s="46"/>
      <c r="H12" s="46"/>
      <c r="I12" s="46"/>
      <c r="J12" s="46"/>
    </row>
    <row r="13" spans="2:10" s="47" customFormat="1" x14ac:dyDescent="0.25">
      <c r="B13" s="64">
        <v>10</v>
      </c>
      <c r="C13" s="64" t="s">
        <v>1</v>
      </c>
      <c r="D13" s="64" t="s">
        <v>270</v>
      </c>
      <c r="E13" s="64"/>
      <c r="F13" s="64"/>
      <c r="G13" s="46"/>
      <c r="H13" s="46"/>
      <c r="I13" s="46"/>
      <c r="J13" s="46"/>
    </row>
    <row r="14" spans="2:10" s="47" customFormat="1" x14ac:dyDescent="0.25">
      <c r="B14" s="64">
        <v>11</v>
      </c>
      <c r="C14" s="64" t="s">
        <v>253</v>
      </c>
      <c r="D14" s="64" t="s">
        <v>191</v>
      </c>
      <c r="E14" s="64">
        <v>40</v>
      </c>
      <c r="F14" s="64"/>
      <c r="G14" s="46"/>
      <c r="H14" s="46"/>
      <c r="I14" s="46"/>
      <c r="J14" s="46"/>
    </row>
    <row r="15" spans="2:10" s="47" customFormat="1" x14ac:dyDescent="0.25">
      <c r="B15" s="64">
        <v>12</v>
      </c>
      <c r="C15" s="64" t="s">
        <v>1</v>
      </c>
      <c r="D15" s="64" t="s">
        <v>255</v>
      </c>
      <c r="E15" s="64">
        <v>41</v>
      </c>
      <c r="F15" s="64">
        <v>42</v>
      </c>
      <c r="G15" s="46"/>
      <c r="H15" s="46"/>
      <c r="I15" s="46"/>
      <c r="J15" s="46"/>
    </row>
    <row r="16" spans="2:10" s="47" customFormat="1" x14ac:dyDescent="0.25">
      <c r="B16" s="64">
        <v>13</v>
      </c>
      <c r="C16" s="64" t="s">
        <v>253</v>
      </c>
      <c r="D16" s="64" t="s">
        <v>260</v>
      </c>
      <c r="E16" s="64">
        <v>43</v>
      </c>
      <c r="F16" s="64"/>
      <c r="G16" s="46"/>
      <c r="H16" s="46"/>
      <c r="I16" s="46"/>
      <c r="J16" s="46"/>
    </row>
    <row r="17" spans="2:10" s="47" customFormat="1" x14ac:dyDescent="0.25">
      <c r="B17" s="64">
        <v>14</v>
      </c>
      <c r="C17" s="64" t="s">
        <v>0</v>
      </c>
      <c r="D17" s="64" t="s">
        <v>261</v>
      </c>
      <c r="E17" s="64">
        <v>44</v>
      </c>
      <c r="F17" s="64"/>
      <c r="G17" s="46"/>
      <c r="H17" s="46"/>
      <c r="I17" s="46"/>
      <c r="J17" s="46"/>
    </row>
    <row r="18" spans="2:10" s="47" customFormat="1" x14ac:dyDescent="0.25">
      <c r="B18" s="64">
        <v>15</v>
      </c>
      <c r="C18" s="64" t="s">
        <v>253</v>
      </c>
      <c r="D18" s="64" t="s">
        <v>262</v>
      </c>
      <c r="E18" s="64">
        <v>50</v>
      </c>
      <c r="F18" s="64">
        <v>56</v>
      </c>
      <c r="G18" s="46"/>
      <c r="H18" s="46"/>
      <c r="I18" s="46"/>
      <c r="J18" s="46"/>
    </row>
    <row r="19" spans="2:10" s="47" customFormat="1" x14ac:dyDescent="0.25">
      <c r="B19" s="64">
        <v>16</v>
      </c>
      <c r="C19" s="64" t="s">
        <v>253</v>
      </c>
      <c r="D19" s="64" t="s">
        <v>256</v>
      </c>
      <c r="E19" s="64">
        <v>57</v>
      </c>
      <c r="F19" s="64">
        <v>60</v>
      </c>
      <c r="G19" s="46"/>
      <c r="H19" s="46"/>
      <c r="I19" s="46"/>
      <c r="J19" s="46"/>
    </row>
    <row r="20" spans="2:10" s="47" customFormat="1" x14ac:dyDescent="0.25">
      <c r="B20" s="46"/>
      <c r="C20" s="46"/>
      <c r="D20" s="46"/>
      <c r="E20" s="46"/>
      <c r="F20" s="46"/>
      <c r="G20" s="46"/>
      <c r="H20" s="46"/>
      <c r="I20" s="46"/>
      <c r="J20" s="46"/>
    </row>
    <row r="21" spans="2:10" s="47" customFormat="1" x14ac:dyDescent="0.25">
      <c r="B21" s="46"/>
      <c r="C21" s="46"/>
      <c r="D21" s="46"/>
      <c r="E21" s="46"/>
      <c r="F21" s="46"/>
      <c r="G21" s="46"/>
      <c r="H21" s="46"/>
      <c r="I21" s="46"/>
      <c r="J21" s="46"/>
    </row>
    <row r="22" spans="2:10" s="47" customFormat="1" x14ac:dyDescent="0.25">
      <c r="B22" s="46"/>
      <c r="C22" s="46"/>
      <c r="D22" s="46"/>
      <c r="E22" s="46"/>
      <c r="F22" s="46"/>
      <c r="G22" s="46"/>
      <c r="H22" s="46"/>
      <c r="I22" s="46"/>
      <c r="J22" s="46"/>
    </row>
    <row r="23" spans="2:10" s="47" customFormat="1" x14ac:dyDescent="0.25">
      <c r="B23" s="46"/>
      <c r="C23" s="46"/>
      <c r="D23" s="46"/>
      <c r="E23" s="46"/>
      <c r="F23" s="46"/>
      <c r="G23" s="46"/>
      <c r="H23" s="46"/>
      <c r="I23" s="46"/>
      <c r="J23" s="46"/>
    </row>
    <row r="24" spans="2:10" s="47" customFormat="1" x14ac:dyDescent="0.25">
      <c r="B24" s="46"/>
      <c r="C24" s="46"/>
      <c r="D24" s="46"/>
      <c r="E24" s="46"/>
      <c r="F24" s="46"/>
      <c r="G24" s="46"/>
      <c r="H24" s="46"/>
      <c r="I24" s="46"/>
      <c r="J24" s="46"/>
    </row>
    <row r="25" spans="2:10" s="47" customFormat="1" x14ac:dyDescent="0.25">
      <c r="B25" s="46"/>
      <c r="C25" s="46"/>
      <c r="D25" s="46"/>
      <c r="E25" s="46"/>
      <c r="F25" s="46"/>
      <c r="G25" s="46"/>
      <c r="H25" s="46"/>
      <c r="I25" s="46"/>
      <c r="J25" s="46"/>
    </row>
    <row r="27" spans="2:10" ht="18.75" customHeight="1" x14ac:dyDescent="0.25">
      <c r="B27" s="298" t="s">
        <v>271</v>
      </c>
      <c r="C27" s="299"/>
      <c r="D27" s="299"/>
      <c r="E27" s="299"/>
      <c r="F27" s="299"/>
      <c r="G27" s="299"/>
      <c r="H27" s="299"/>
      <c r="I27" s="299"/>
      <c r="J27" s="299"/>
    </row>
    <row r="28" spans="2:10" ht="18.75" x14ac:dyDescent="0.25">
      <c r="B28" s="66" t="s">
        <v>272</v>
      </c>
      <c r="C28" s="66" t="s">
        <v>273</v>
      </c>
      <c r="D28" s="66" t="s">
        <v>274</v>
      </c>
      <c r="E28" s="66" t="s">
        <v>275</v>
      </c>
      <c r="F28" s="66" t="s">
        <v>276</v>
      </c>
      <c r="G28" s="66" t="s">
        <v>277</v>
      </c>
      <c r="H28" s="66" t="s">
        <v>278</v>
      </c>
      <c r="I28" s="66" t="s">
        <v>279</v>
      </c>
      <c r="J28" s="66" t="s">
        <v>280</v>
      </c>
    </row>
    <row r="29" spans="2:10" x14ac:dyDescent="0.25">
      <c r="B29" s="44">
        <v>1</v>
      </c>
      <c r="C29" s="44">
        <v>1</v>
      </c>
      <c r="D29" s="44"/>
      <c r="E29" s="44" t="s">
        <v>253</v>
      </c>
      <c r="F29" s="44"/>
      <c r="G29" s="44"/>
      <c r="H29" s="44"/>
      <c r="I29" s="44"/>
      <c r="J29" s="44"/>
    </row>
    <row r="30" spans="2:10" x14ac:dyDescent="0.25">
      <c r="B30" s="44">
        <v>2</v>
      </c>
      <c r="C30" s="44">
        <v>2</v>
      </c>
      <c r="D30" s="44"/>
      <c r="E30" s="44" t="s">
        <v>253</v>
      </c>
      <c r="F30" s="44"/>
      <c r="G30" s="44"/>
      <c r="H30" s="44"/>
      <c r="I30" s="44"/>
      <c r="J30" s="44"/>
    </row>
    <row r="31" spans="2:10" x14ac:dyDescent="0.25">
      <c r="B31" s="44">
        <v>3</v>
      </c>
      <c r="C31" s="44">
        <v>3</v>
      </c>
      <c r="D31" s="44"/>
      <c r="E31" s="44" t="s">
        <v>253</v>
      </c>
      <c r="F31" s="44"/>
      <c r="G31" s="44"/>
      <c r="H31" s="44"/>
      <c r="I31" s="44"/>
      <c r="J31" s="44"/>
    </row>
    <row r="32" spans="2:10" x14ac:dyDescent="0.25">
      <c r="B32" s="44">
        <v>4</v>
      </c>
      <c r="C32" s="44">
        <v>4</v>
      </c>
      <c r="D32" s="44"/>
      <c r="E32" s="44" t="s">
        <v>253</v>
      </c>
      <c r="F32" s="44"/>
      <c r="G32" s="44"/>
      <c r="H32" s="44"/>
      <c r="I32" s="44"/>
      <c r="J32" s="44"/>
    </row>
    <row r="33" spans="2:10" x14ac:dyDescent="0.25">
      <c r="B33" s="44">
        <v>5</v>
      </c>
      <c r="C33" s="44">
        <v>5</v>
      </c>
      <c r="D33" s="44"/>
      <c r="E33" s="44" t="s">
        <v>253</v>
      </c>
      <c r="F33" s="44"/>
      <c r="G33" s="44"/>
      <c r="H33" s="44"/>
      <c r="I33" s="44"/>
      <c r="J33" s="44"/>
    </row>
    <row r="34" spans="2:10" x14ac:dyDescent="0.25">
      <c r="B34" s="44">
        <v>6</v>
      </c>
      <c r="C34" s="44">
        <v>6</v>
      </c>
      <c r="D34" s="44"/>
      <c r="E34" s="44" t="s">
        <v>253</v>
      </c>
      <c r="F34" s="44"/>
      <c r="G34" s="44"/>
      <c r="H34" s="44"/>
      <c r="I34" s="44"/>
      <c r="J34" s="44"/>
    </row>
    <row r="35" spans="2:10" x14ac:dyDescent="0.25">
      <c r="B35" s="44">
        <v>7</v>
      </c>
      <c r="C35" s="44">
        <v>7</v>
      </c>
      <c r="D35" s="44"/>
      <c r="E35" s="44" t="s">
        <v>253</v>
      </c>
      <c r="F35" s="44"/>
      <c r="G35" s="44"/>
      <c r="H35" s="44"/>
      <c r="I35" s="44"/>
      <c r="J35" s="44"/>
    </row>
    <row r="36" spans="2:10" x14ac:dyDescent="0.25">
      <c r="B36" s="44">
        <v>8</v>
      </c>
      <c r="C36" s="44">
        <v>8</v>
      </c>
      <c r="D36" s="44"/>
      <c r="E36" s="44" t="s">
        <v>253</v>
      </c>
      <c r="F36" s="44"/>
      <c r="G36" s="44"/>
      <c r="H36" s="44"/>
      <c r="I36" s="44"/>
      <c r="J36" s="44"/>
    </row>
    <row r="37" spans="2:10" x14ac:dyDescent="0.25">
      <c r="B37" s="44">
        <v>9</v>
      </c>
      <c r="C37" s="44">
        <v>9</v>
      </c>
      <c r="D37" s="44"/>
      <c r="E37" s="44" t="s">
        <v>253</v>
      </c>
      <c r="F37" s="44"/>
      <c r="G37" s="44"/>
      <c r="H37" s="44"/>
      <c r="I37" s="44"/>
      <c r="J37" s="44"/>
    </row>
    <row r="38" spans="2:10" x14ac:dyDescent="0.25">
      <c r="B38" s="44">
        <v>10</v>
      </c>
      <c r="C38" s="44">
        <v>10</v>
      </c>
      <c r="D38" s="44"/>
      <c r="E38" s="44" t="s">
        <v>253</v>
      </c>
      <c r="F38" s="44"/>
      <c r="G38" s="44"/>
      <c r="H38" s="44"/>
      <c r="I38" s="44"/>
      <c r="J38" s="44"/>
    </row>
    <row r="39" spans="2:10" x14ac:dyDescent="0.25">
      <c r="B39" s="44">
        <v>11</v>
      </c>
      <c r="C39" s="44">
        <v>11</v>
      </c>
      <c r="D39" s="44"/>
      <c r="E39" s="44" t="s">
        <v>253</v>
      </c>
      <c r="F39" s="44"/>
      <c r="G39" s="44"/>
      <c r="H39" s="44"/>
      <c r="I39" s="44"/>
      <c r="J39" s="44"/>
    </row>
    <row r="40" spans="2:10" x14ac:dyDescent="0.25">
      <c r="B40" s="44">
        <v>12</v>
      </c>
      <c r="C40" s="44">
        <v>12</v>
      </c>
      <c r="D40" s="44"/>
      <c r="E40" s="44" t="s">
        <v>253</v>
      </c>
      <c r="F40" s="44"/>
      <c r="G40" s="44"/>
      <c r="H40" s="44"/>
      <c r="I40" s="44"/>
      <c r="J40" s="44"/>
    </row>
    <row r="41" spans="2:10" x14ac:dyDescent="0.25">
      <c r="B41" s="44">
        <v>13</v>
      </c>
      <c r="C41" s="44">
        <v>13</v>
      </c>
      <c r="D41" s="44"/>
      <c r="E41" s="44" t="s">
        <v>253</v>
      </c>
      <c r="F41" s="44"/>
      <c r="G41" s="44"/>
      <c r="H41" s="44"/>
      <c r="I41" s="44"/>
      <c r="J41" s="44"/>
    </row>
    <row r="42" spans="2:10" x14ac:dyDescent="0.25">
      <c r="B42" s="44">
        <v>14</v>
      </c>
      <c r="C42" s="44">
        <v>14</v>
      </c>
      <c r="D42" s="44"/>
      <c r="E42" s="44" t="s">
        <v>253</v>
      </c>
      <c r="F42" s="44"/>
      <c r="G42" s="44"/>
      <c r="H42" s="44"/>
      <c r="I42" s="44"/>
      <c r="J42" s="44"/>
    </row>
    <row r="43" spans="2:10" x14ac:dyDescent="0.25">
      <c r="B43" s="44">
        <v>15</v>
      </c>
      <c r="C43" s="44">
        <v>15</v>
      </c>
      <c r="D43" s="44"/>
      <c r="E43" s="44" t="s">
        <v>253</v>
      </c>
      <c r="F43" s="44"/>
      <c r="G43" s="44"/>
      <c r="H43" s="44"/>
      <c r="I43" s="44"/>
      <c r="J43" s="44"/>
    </row>
    <row r="44" spans="2:10" x14ac:dyDescent="0.25">
      <c r="B44" s="44">
        <v>16</v>
      </c>
      <c r="C44" s="44">
        <v>16</v>
      </c>
      <c r="D44" s="44"/>
      <c r="E44" s="44" t="s">
        <v>253</v>
      </c>
      <c r="F44" s="44"/>
      <c r="G44" s="44"/>
      <c r="H44" s="44"/>
      <c r="I44" s="44"/>
      <c r="J44" s="44"/>
    </row>
    <row r="45" spans="2:10" x14ac:dyDescent="0.25">
      <c r="B45" s="44">
        <v>17</v>
      </c>
      <c r="C45" s="44">
        <v>17</v>
      </c>
      <c r="D45" s="44"/>
      <c r="E45" s="44" t="s">
        <v>253</v>
      </c>
      <c r="F45" s="44"/>
      <c r="G45" s="44"/>
      <c r="H45" s="44"/>
      <c r="I45" s="44"/>
      <c r="J45" s="44"/>
    </row>
    <row r="46" spans="2:10" x14ac:dyDescent="0.25">
      <c r="B46" s="44">
        <v>18</v>
      </c>
      <c r="C46" s="44">
        <v>18</v>
      </c>
      <c r="D46" s="44" t="s">
        <v>151</v>
      </c>
      <c r="E46" s="44" t="s">
        <v>1</v>
      </c>
      <c r="F46" s="44" t="s">
        <v>134</v>
      </c>
      <c r="G46" s="44">
        <v>250</v>
      </c>
      <c r="H46" s="44">
        <v>50</v>
      </c>
      <c r="I46" s="44">
        <v>220</v>
      </c>
      <c r="J46" s="44">
        <v>850</v>
      </c>
    </row>
    <row r="47" spans="2:10" x14ac:dyDescent="0.25">
      <c r="B47" s="44">
        <v>19</v>
      </c>
      <c r="C47" s="44">
        <v>19</v>
      </c>
      <c r="D47" s="44" t="s">
        <v>27</v>
      </c>
      <c r="E47" s="44" t="s">
        <v>0</v>
      </c>
      <c r="F47" s="44" t="s">
        <v>114</v>
      </c>
      <c r="G47" s="44">
        <v>95</v>
      </c>
      <c r="H47" s="44"/>
      <c r="I47" s="44"/>
      <c r="J47" s="44"/>
    </row>
    <row r="48" spans="2:10" x14ac:dyDescent="0.25">
      <c r="B48" s="44">
        <v>20</v>
      </c>
      <c r="C48" s="44">
        <v>19</v>
      </c>
      <c r="D48" s="44" t="s">
        <v>28</v>
      </c>
      <c r="E48" s="44" t="s">
        <v>0</v>
      </c>
      <c r="F48" s="44" t="s">
        <v>116</v>
      </c>
      <c r="G48" s="44">
        <v>95</v>
      </c>
      <c r="H48" s="44"/>
      <c r="I48" s="44"/>
      <c r="J48" s="44"/>
    </row>
    <row r="49" spans="2:10" x14ac:dyDescent="0.25">
      <c r="B49" s="44">
        <v>21</v>
      </c>
      <c r="C49" s="44">
        <v>19</v>
      </c>
      <c r="D49" s="44" t="s">
        <v>130</v>
      </c>
      <c r="E49" s="44" t="s">
        <v>0</v>
      </c>
      <c r="F49" s="44" t="s">
        <v>118</v>
      </c>
      <c r="G49" s="44">
        <v>95</v>
      </c>
      <c r="H49" s="44"/>
      <c r="I49" s="44"/>
      <c r="J49" s="44"/>
    </row>
    <row r="50" spans="2:10" x14ac:dyDescent="0.25">
      <c r="B50" s="44">
        <v>22</v>
      </c>
      <c r="C50" s="44">
        <v>19</v>
      </c>
      <c r="D50" s="44" t="s">
        <v>210</v>
      </c>
      <c r="E50" s="44" t="s">
        <v>0</v>
      </c>
      <c r="F50" s="44" t="s">
        <v>120</v>
      </c>
      <c r="G50" s="44">
        <v>95</v>
      </c>
      <c r="H50" s="44"/>
      <c r="I50" s="44"/>
      <c r="J50" s="44"/>
    </row>
    <row r="51" spans="2:10" x14ac:dyDescent="0.25">
      <c r="B51" s="44">
        <v>23</v>
      </c>
      <c r="C51" s="44">
        <v>19</v>
      </c>
      <c r="D51" s="44" t="s">
        <v>131</v>
      </c>
      <c r="E51" s="44" t="s">
        <v>0</v>
      </c>
      <c r="F51" s="44" t="s">
        <v>121</v>
      </c>
      <c r="G51" s="44">
        <v>95</v>
      </c>
      <c r="H51" s="44"/>
      <c r="I51" s="44"/>
      <c r="J51" s="44"/>
    </row>
    <row r="52" spans="2:10" x14ac:dyDescent="0.25">
      <c r="B52" s="44">
        <v>24</v>
      </c>
      <c r="C52" s="44">
        <v>19</v>
      </c>
      <c r="D52" s="44" t="s">
        <v>211</v>
      </c>
      <c r="E52" s="44" t="s">
        <v>0</v>
      </c>
      <c r="F52" s="44" t="s">
        <v>123</v>
      </c>
      <c r="G52" s="44">
        <v>95</v>
      </c>
      <c r="H52" s="44">
        <v>250</v>
      </c>
      <c r="I52" s="44"/>
      <c r="J52" s="44"/>
    </row>
    <row r="53" spans="2:10" x14ac:dyDescent="0.25">
      <c r="B53" s="44">
        <v>25</v>
      </c>
      <c r="C53" s="44">
        <v>19</v>
      </c>
      <c r="D53" s="44" t="s">
        <v>132</v>
      </c>
      <c r="E53" s="44" t="s">
        <v>0</v>
      </c>
      <c r="F53" s="44" t="s">
        <v>124</v>
      </c>
      <c r="G53" s="44">
        <v>95</v>
      </c>
      <c r="H53" s="44"/>
      <c r="I53" s="44"/>
      <c r="J53" s="44"/>
    </row>
    <row r="54" spans="2:10" x14ac:dyDescent="0.25">
      <c r="B54" s="44">
        <v>26</v>
      </c>
      <c r="C54" s="44">
        <v>19</v>
      </c>
      <c r="D54" s="44" t="s">
        <v>113</v>
      </c>
      <c r="E54" s="44" t="s">
        <v>0</v>
      </c>
      <c r="F54" s="44" t="s">
        <v>126</v>
      </c>
      <c r="G54" s="44">
        <v>95</v>
      </c>
      <c r="H54" s="44"/>
      <c r="I54" s="44"/>
      <c r="J54" s="44"/>
    </row>
    <row r="55" spans="2:10" x14ac:dyDescent="0.25">
      <c r="B55" s="44">
        <v>27</v>
      </c>
      <c r="C55" s="44">
        <v>19</v>
      </c>
      <c r="D55" s="44" t="s">
        <v>133</v>
      </c>
      <c r="E55" s="44" t="s">
        <v>0</v>
      </c>
      <c r="F55" s="44" t="s">
        <v>128</v>
      </c>
      <c r="G55" s="44">
        <v>95</v>
      </c>
      <c r="H55" s="44"/>
      <c r="I55" s="44"/>
      <c r="J55" s="44"/>
    </row>
    <row r="56" spans="2:10" x14ac:dyDescent="0.25">
      <c r="B56" s="44">
        <v>28</v>
      </c>
      <c r="C56" s="44">
        <v>20</v>
      </c>
      <c r="D56" s="44"/>
      <c r="E56" s="44" t="s">
        <v>253</v>
      </c>
      <c r="F56" s="44"/>
      <c r="G56" s="44"/>
      <c r="H56" s="44"/>
      <c r="I56" s="44"/>
      <c r="J56" s="44"/>
    </row>
    <row r="57" spans="2:10" x14ac:dyDescent="0.25">
      <c r="B57" s="44">
        <v>29</v>
      </c>
      <c r="C57" s="44">
        <v>21</v>
      </c>
      <c r="D57" s="44"/>
      <c r="E57" s="44" t="s">
        <v>1</v>
      </c>
      <c r="F57" s="44" t="s">
        <v>74</v>
      </c>
      <c r="G57" s="44">
        <v>95</v>
      </c>
      <c r="H57" s="44">
        <v>129</v>
      </c>
      <c r="I57" s="44"/>
      <c r="J57" s="44"/>
    </row>
    <row r="58" spans="2:10" x14ac:dyDescent="0.25">
      <c r="B58" s="44">
        <v>30</v>
      </c>
      <c r="C58" s="44">
        <v>22</v>
      </c>
      <c r="D58" s="44"/>
      <c r="E58" s="44" t="s">
        <v>1</v>
      </c>
      <c r="F58" s="44" t="s">
        <v>88</v>
      </c>
      <c r="G58" s="44">
        <v>220</v>
      </c>
      <c r="H58" s="44"/>
      <c r="I58" s="44"/>
      <c r="J58" s="44"/>
    </row>
    <row r="59" spans="2:10" x14ac:dyDescent="0.25">
      <c r="B59" s="44">
        <v>31</v>
      </c>
      <c r="C59" s="44">
        <v>23</v>
      </c>
      <c r="D59" s="44"/>
      <c r="E59" s="44" t="s">
        <v>1</v>
      </c>
      <c r="F59" s="44" t="s">
        <v>75</v>
      </c>
      <c r="G59" s="44">
        <v>125</v>
      </c>
      <c r="H59" s="44">
        <v>144</v>
      </c>
      <c r="I59" s="44">
        <v>360</v>
      </c>
      <c r="J59" s="44">
        <v>614</v>
      </c>
    </row>
    <row r="60" spans="2:10" x14ac:dyDescent="0.25">
      <c r="B60" s="44">
        <v>32</v>
      </c>
      <c r="C60" s="44">
        <v>24</v>
      </c>
      <c r="D60" s="44"/>
      <c r="E60" s="44" t="s">
        <v>1</v>
      </c>
      <c r="F60" s="44" t="s">
        <v>89</v>
      </c>
      <c r="G60" s="44">
        <v>180</v>
      </c>
      <c r="H60" s="44"/>
      <c r="I60" s="44"/>
      <c r="J60" s="44"/>
    </row>
    <row r="61" spans="2:10" x14ac:dyDescent="0.25">
      <c r="B61" s="44">
        <v>33</v>
      </c>
      <c r="C61" s="44">
        <v>25</v>
      </c>
      <c r="D61" s="44"/>
      <c r="E61" s="44" t="s">
        <v>253</v>
      </c>
      <c r="F61" s="44"/>
      <c r="G61" s="44"/>
      <c r="H61" s="44"/>
      <c r="I61" s="44"/>
      <c r="J61" s="44"/>
    </row>
    <row r="62" spans="2:10" x14ac:dyDescent="0.25">
      <c r="B62" s="44">
        <v>34</v>
      </c>
      <c r="C62" s="44">
        <v>26</v>
      </c>
      <c r="D62" s="44"/>
      <c r="E62" s="44" t="s">
        <v>253</v>
      </c>
      <c r="F62" s="44"/>
      <c r="G62" s="44"/>
      <c r="H62" s="44"/>
      <c r="I62" s="44"/>
      <c r="J62" s="44"/>
    </row>
    <row r="63" spans="2:10" x14ac:dyDescent="0.25">
      <c r="B63" s="44">
        <v>35</v>
      </c>
      <c r="C63" s="44">
        <v>27</v>
      </c>
      <c r="D63" s="44"/>
      <c r="E63" s="44" t="s">
        <v>253</v>
      </c>
      <c r="F63" s="44"/>
      <c r="G63" s="44"/>
      <c r="H63" s="44"/>
      <c r="I63" s="44"/>
      <c r="J63" s="44"/>
    </row>
    <row r="64" spans="2:10" x14ac:dyDescent="0.25">
      <c r="B64" s="44">
        <v>36</v>
      </c>
      <c r="C64" s="44">
        <v>28</v>
      </c>
      <c r="D64" s="44"/>
      <c r="E64" s="44" t="s">
        <v>1</v>
      </c>
      <c r="F64" s="44" t="s">
        <v>76</v>
      </c>
      <c r="G64" s="44">
        <v>200</v>
      </c>
      <c r="H64" s="44">
        <v>35</v>
      </c>
      <c r="I64" s="44"/>
      <c r="J64" s="44"/>
    </row>
    <row r="65" spans="2:10" x14ac:dyDescent="0.25">
      <c r="B65" s="44">
        <v>37</v>
      </c>
      <c r="C65" s="44">
        <v>29</v>
      </c>
      <c r="D65" s="44"/>
      <c r="E65" s="44" t="s">
        <v>1</v>
      </c>
      <c r="F65" s="44" t="s">
        <v>81</v>
      </c>
      <c r="G65" s="44">
        <v>90</v>
      </c>
      <c r="H65" s="44">
        <v>1</v>
      </c>
      <c r="I65" s="44"/>
      <c r="J65" s="44">
        <v>955</v>
      </c>
    </row>
    <row r="66" spans="2:10" x14ac:dyDescent="0.25">
      <c r="B66" s="44">
        <v>38</v>
      </c>
      <c r="C66" s="44">
        <v>30</v>
      </c>
      <c r="D66" s="44"/>
      <c r="E66" s="44" t="s">
        <v>1</v>
      </c>
      <c r="F66" s="44" t="s">
        <v>77</v>
      </c>
      <c r="G66" s="44">
        <v>200</v>
      </c>
      <c r="H66" s="44">
        <v>35</v>
      </c>
      <c r="I66" s="44"/>
      <c r="J66" s="44"/>
    </row>
    <row r="67" spans="2:10" x14ac:dyDescent="0.25">
      <c r="B67" s="44">
        <v>39</v>
      </c>
      <c r="C67" s="44">
        <v>31</v>
      </c>
      <c r="D67" s="44"/>
      <c r="E67" s="44" t="s">
        <v>1</v>
      </c>
      <c r="F67" s="44" t="s">
        <v>82</v>
      </c>
      <c r="G67" s="44">
        <v>90</v>
      </c>
      <c r="H67" s="44">
        <v>1</v>
      </c>
      <c r="I67" s="44"/>
      <c r="J67" s="44">
        <v>955</v>
      </c>
    </row>
    <row r="68" spans="2:10" x14ac:dyDescent="0.25">
      <c r="B68" s="44">
        <v>40</v>
      </c>
      <c r="C68" s="44">
        <v>32</v>
      </c>
      <c r="D68" s="44"/>
      <c r="E68" s="44" t="s">
        <v>1</v>
      </c>
      <c r="F68" s="44" t="s">
        <v>78</v>
      </c>
      <c r="G68" s="44">
        <v>200</v>
      </c>
      <c r="H68" s="44">
        <v>35</v>
      </c>
      <c r="I68" s="44"/>
      <c r="J68" s="44"/>
    </row>
    <row r="69" spans="2:10" x14ac:dyDescent="0.25">
      <c r="B69" s="44">
        <v>41</v>
      </c>
      <c r="C69" s="44">
        <v>33</v>
      </c>
      <c r="D69" s="44"/>
      <c r="E69" s="44" t="s">
        <v>1</v>
      </c>
      <c r="F69" s="44" t="s">
        <v>85</v>
      </c>
      <c r="G69" s="44">
        <v>90</v>
      </c>
      <c r="H69" s="44">
        <v>1</v>
      </c>
      <c r="I69" s="44"/>
      <c r="J69" s="44">
        <v>955</v>
      </c>
    </row>
    <row r="70" spans="2:10" x14ac:dyDescent="0.25">
      <c r="B70" s="44">
        <v>42</v>
      </c>
      <c r="C70" s="44">
        <v>34</v>
      </c>
      <c r="D70" s="44"/>
      <c r="E70" s="44" t="s">
        <v>1</v>
      </c>
      <c r="F70" s="44" t="s">
        <v>79</v>
      </c>
      <c r="G70" s="44">
        <v>200</v>
      </c>
      <c r="H70" s="44">
        <v>35</v>
      </c>
      <c r="I70" s="44"/>
      <c r="J70" s="44"/>
    </row>
    <row r="71" spans="2:10" x14ac:dyDescent="0.25">
      <c r="B71" s="44">
        <v>43</v>
      </c>
      <c r="C71" s="44">
        <v>35</v>
      </c>
      <c r="D71" s="44"/>
      <c r="E71" s="44" t="s">
        <v>1</v>
      </c>
      <c r="F71" s="44" t="s">
        <v>83</v>
      </c>
      <c r="G71" s="44">
        <v>90</v>
      </c>
      <c r="H71" s="44">
        <v>1</v>
      </c>
      <c r="I71" s="44"/>
      <c r="J71" s="44">
        <v>955</v>
      </c>
    </row>
    <row r="72" spans="2:10" x14ac:dyDescent="0.25">
      <c r="B72" s="44">
        <v>44</v>
      </c>
      <c r="C72" s="44">
        <v>36</v>
      </c>
      <c r="D72" s="44"/>
      <c r="E72" s="44" t="s">
        <v>1</v>
      </c>
      <c r="F72" s="44" t="s">
        <v>80</v>
      </c>
      <c r="G72" s="44">
        <v>200</v>
      </c>
      <c r="H72" s="44">
        <v>35</v>
      </c>
      <c r="I72" s="44"/>
      <c r="J72" s="44"/>
    </row>
    <row r="73" spans="2:10" x14ac:dyDescent="0.25">
      <c r="B73" s="44">
        <v>45</v>
      </c>
      <c r="C73" s="44">
        <v>37</v>
      </c>
      <c r="D73" s="44"/>
      <c r="E73" s="44" t="s">
        <v>1</v>
      </c>
      <c r="F73" s="44" t="s">
        <v>84</v>
      </c>
      <c r="G73" s="44">
        <v>90</v>
      </c>
      <c r="H73" s="44">
        <v>1</v>
      </c>
      <c r="I73" s="44"/>
      <c r="J73" s="44">
        <v>955</v>
      </c>
    </row>
    <row r="74" spans="2:10" x14ac:dyDescent="0.25">
      <c r="B74" s="44">
        <v>46</v>
      </c>
      <c r="C74" s="44">
        <v>38</v>
      </c>
      <c r="D74" s="44"/>
      <c r="E74" s="44" t="s">
        <v>1</v>
      </c>
      <c r="F74" s="44" t="s">
        <v>107</v>
      </c>
      <c r="G74" s="44">
        <v>100</v>
      </c>
      <c r="H74" s="44">
        <v>1</v>
      </c>
      <c r="I74" s="44"/>
      <c r="J74" s="44"/>
    </row>
    <row r="75" spans="2:10" x14ac:dyDescent="0.25">
      <c r="B75" s="44">
        <v>47</v>
      </c>
      <c r="C75" s="44">
        <v>39</v>
      </c>
      <c r="D75" s="44"/>
      <c r="E75" s="44" t="s">
        <v>1</v>
      </c>
      <c r="F75" s="44" t="s">
        <v>90</v>
      </c>
      <c r="G75" s="44">
        <v>118</v>
      </c>
      <c r="H75" s="44">
        <v>1</v>
      </c>
      <c r="I75" s="44">
        <v>368</v>
      </c>
      <c r="J75" s="44">
        <v>847</v>
      </c>
    </row>
    <row r="76" spans="2:10" x14ac:dyDescent="0.25">
      <c r="B76" s="44">
        <v>48</v>
      </c>
      <c r="C76" s="44">
        <v>40</v>
      </c>
      <c r="D76" s="44"/>
      <c r="E76" s="44" t="s">
        <v>253</v>
      </c>
      <c r="F76" s="44"/>
      <c r="G76" s="44"/>
      <c r="H76" s="44"/>
      <c r="I76" s="44"/>
      <c r="J76" s="44"/>
    </row>
    <row r="77" spans="2:10" x14ac:dyDescent="0.25">
      <c r="B77" s="44">
        <v>49</v>
      </c>
      <c r="C77" s="44">
        <v>41</v>
      </c>
      <c r="D77" s="44"/>
      <c r="E77" s="44" t="s">
        <v>1</v>
      </c>
      <c r="F77" s="44" t="s">
        <v>86</v>
      </c>
      <c r="G77" s="44">
        <v>120</v>
      </c>
      <c r="H77" s="44">
        <v>25</v>
      </c>
      <c r="I77" s="44"/>
      <c r="J77" s="44">
        <v>772</v>
      </c>
    </row>
    <row r="78" spans="2:10" x14ac:dyDescent="0.25">
      <c r="B78" s="44">
        <v>50</v>
      </c>
      <c r="C78" s="44">
        <v>42</v>
      </c>
      <c r="D78" s="44"/>
      <c r="E78" s="44" t="s">
        <v>1</v>
      </c>
      <c r="F78" s="44" t="s">
        <v>87</v>
      </c>
      <c r="G78" s="44">
        <v>120</v>
      </c>
      <c r="H78" s="44">
        <v>25</v>
      </c>
      <c r="I78" s="44"/>
      <c r="J78" s="44">
        <v>772</v>
      </c>
    </row>
    <row r="79" spans="2:10" x14ac:dyDescent="0.25">
      <c r="B79" s="44">
        <v>51</v>
      </c>
      <c r="C79" s="44">
        <v>43</v>
      </c>
      <c r="D79" s="44"/>
      <c r="E79" s="44" t="s">
        <v>253</v>
      </c>
      <c r="F79" s="44"/>
      <c r="G79" s="44"/>
      <c r="H79" s="44"/>
      <c r="I79" s="44"/>
      <c r="J79" s="44"/>
    </row>
    <row r="80" spans="2:10" x14ac:dyDescent="0.25">
      <c r="B80" s="44">
        <v>52</v>
      </c>
      <c r="C80" s="44">
        <v>44</v>
      </c>
      <c r="D80" s="44" t="s">
        <v>333</v>
      </c>
      <c r="E80" s="44" t="s">
        <v>0</v>
      </c>
      <c r="F80" s="44" t="s">
        <v>115</v>
      </c>
      <c r="G80" s="44">
        <v>145</v>
      </c>
      <c r="H80" s="44">
        <v>220</v>
      </c>
      <c r="I80" s="44"/>
      <c r="J80" s="44"/>
    </row>
    <row r="81" spans="2:10" x14ac:dyDescent="0.25">
      <c r="B81" s="44">
        <v>52</v>
      </c>
      <c r="C81" s="44">
        <v>44</v>
      </c>
      <c r="D81" s="44" t="s">
        <v>333</v>
      </c>
      <c r="E81" s="44" t="s">
        <v>0</v>
      </c>
      <c r="F81" s="44" t="s">
        <v>138</v>
      </c>
      <c r="G81" s="44">
        <v>335</v>
      </c>
      <c r="H81" s="44">
        <v>48</v>
      </c>
      <c r="I81" s="44"/>
      <c r="J81" s="44"/>
    </row>
    <row r="82" spans="2:10" x14ac:dyDescent="0.25">
      <c r="B82" s="44">
        <v>53</v>
      </c>
      <c r="C82" s="44">
        <v>44</v>
      </c>
      <c r="D82" s="44" t="s">
        <v>334</v>
      </c>
      <c r="E82" s="44" t="s">
        <v>0</v>
      </c>
      <c r="F82" s="44" t="s">
        <v>117</v>
      </c>
      <c r="G82" s="44">
        <v>145</v>
      </c>
      <c r="H82" s="44">
        <v>220</v>
      </c>
      <c r="I82" s="44"/>
      <c r="J82" s="44"/>
    </row>
    <row r="83" spans="2:10" x14ac:dyDescent="0.25">
      <c r="B83" s="44">
        <v>53</v>
      </c>
      <c r="C83" s="44">
        <v>44</v>
      </c>
      <c r="D83" s="44" t="s">
        <v>334</v>
      </c>
      <c r="E83" s="44" t="s">
        <v>0</v>
      </c>
      <c r="F83" s="44" t="s">
        <v>137</v>
      </c>
      <c r="G83" s="44">
        <v>335</v>
      </c>
      <c r="H83" s="44">
        <v>48</v>
      </c>
      <c r="I83" s="44"/>
      <c r="J83" s="44"/>
    </row>
    <row r="84" spans="2:10" x14ac:dyDescent="0.25">
      <c r="B84" s="44">
        <v>54</v>
      </c>
      <c r="C84" s="44">
        <v>44</v>
      </c>
      <c r="D84" s="44" t="s">
        <v>335</v>
      </c>
      <c r="E84" s="44" t="s">
        <v>0</v>
      </c>
      <c r="F84" s="44" t="s">
        <v>119</v>
      </c>
      <c r="G84" s="44">
        <v>145</v>
      </c>
      <c r="H84" s="44">
        <v>220</v>
      </c>
      <c r="I84" s="44"/>
      <c r="J84" s="44"/>
    </row>
    <row r="85" spans="2:10" x14ac:dyDescent="0.25">
      <c r="B85" s="44">
        <v>54</v>
      </c>
      <c r="C85" s="44">
        <v>44</v>
      </c>
      <c r="D85" s="44" t="s">
        <v>335</v>
      </c>
      <c r="E85" s="44" t="s">
        <v>0</v>
      </c>
      <c r="F85" s="44" t="s">
        <v>136</v>
      </c>
      <c r="G85" s="44">
        <v>335</v>
      </c>
      <c r="H85" s="44">
        <v>48</v>
      </c>
      <c r="I85" s="44"/>
      <c r="J85" s="44"/>
    </row>
    <row r="86" spans="2:10" x14ac:dyDescent="0.25">
      <c r="B86" s="44">
        <v>55</v>
      </c>
      <c r="C86" s="44">
        <v>44</v>
      </c>
      <c r="D86" s="44" t="s">
        <v>336</v>
      </c>
      <c r="E86" s="44" t="s">
        <v>0</v>
      </c>
      <c r="F86" s="44" t="s">
        <v>143</v>
      </c>
      <c r="G86" s="44">
        <v>145</v>
      </c>
      <c r="H86" s="44">
        <v>220</v>
      </c>
      <c r="I86" s="44"/>
      <c r="J86" s="44"/>
    </row>
    <row r="87" spans="2:10" x14ac:dyDescent="0.25">
      <c r="B87" s="44">
        <v>55</v>
      </c>
      <c r="C87" s="44">
        <v>44</v>
      </c>
      <c r="D87" s="44" t="s">
        <v>336</v>
      </c>
      <c r="E87" s="44" t="s">
        <v>0</v>
      </c>
      <c r="F87" s="44" t="s">
        <v>266</v>
      </c>
      <c r="G87" s="44">
        <v>335</v>
      </c>
      <c r="H87" s="44">
        <v>48</v>
      </c>
      <c r="I87" s="44"/>
      <c r="J87" s="44"/>
    </row>
    <row r="88" spans="2:10" x14ac:dyDescent="0.25">
      <c r="B88" s="44">
        <v>56</v>
      </c>
      <c r="C88" s="44">
        <v>44</v>
      </c>
      <c r="D88" s="44" t="s">
        <v>336</v>
      </c>
      <c r="E88" s="44" t="s">
        <v>0</v>
      </c>
      <c r="F88" s="44" t="s">
        <v>144</v>
      </c>
      <c r="G88" s="44">
        <v>145</v>
      </c>
      <c r="H88" s="44">
        <v>220</v>
      </c>
      <c r="I88" s="44"/>
      <c r="J88" s="44"/>
    </row>
    <row r="89" spans="2:10" x14ac:dyDescent="0.25">
      <c r="B89" s="44">
        <v>56</v>
      </c>
      <c r="C89" s="44">
        <v>44</v>
      </c>
      <c r="D89" s="44" t="s">
        <v>336</v>
      </c>
      <c r="E89" s="44" t="s">
        <v>0</v>
      </c>
      <c r="F89" s="44" t="s">
        <v>267</v>
      </c>
      <c r="G89" s="44">
        <v>335</v>
      </c>
      <c r="H89" s="44">
        <v>48</v>
      </c>
      <c r="I89" s="44"/>
      <c r="J89" s="44"/>
    </row>
    <row r="90" spans="2:10" x14ac:dyDescent="0.25">
      <c r="B90" s="44">
        <v>57</v>
      </c>
      <c r="C90" s="44">
        <v>44</v>
      </c>
      <c r="D90" s="44" t="s">
        <v>337</v>
      </c>
      <c r="E90" s="44" t="s">
        <v>0</v>
      </c>
      <c r="F90" s="44" t="s">
        <v>122</v>
      </c>
      <c r="G90" s="44">
        <v>145</v>
      </c>
      <c r="H90" s="44">
        <v>220</v>
      </c>
      <c r="I90" s="44"/>
      <c r="J90" s="44"/>
    </row>
    <row r="91" spans="2:10" x14ac:dyDescent="0.25">
      <c r="B91" s="44">
        <v>57</v>
      </c>
      <c r="C91" s="44">
        <v>44</v>
      </c>
      <c r="D91" s="44" t="s">
        <v>337</v>
      </c>
      <c r="E91" s="44" t="s">
        <v>0</v>
      </c>
      <c r="F91" s="44" t="s">
        <v>139</v>
      </c>
      <c r="G91" s="44">
        <v>335</v>
      </c>
      <c r="H91" s="44">
        <v>48</v>
      </c>
      <c r="I91" s="44"/>
      <c r="J91" s="44"/>
    </row>
    <row r="92" spans="2:10" x14ac:dyDescent="0.25">
      <c r="B92" s="44">
        <v>58</v>
      </c>
      <c r="C92" s="44">
        <v>44</v>
      </c>
      <c r="D92" s="44" t="s">
        <v>338</v>
      </c>
      <c r="E92" s="44" t="s">
        <v>0</v>
      </c>
      <c r="F92" s="44" t="s">
        <v>145</v>
      </c>
      <c r="G92" s="44">
        <v>145</v>
      </c>
      <c r="H92" s="44">
        <v>220</v>
      </c>
      <c r="I92" s="44"/>
      <c r="J92" s="44"/>
    </row>
    <row r="93" spans="2:10" x14ac:dyDescent="0.25">
      <c r="B93" s="44">
        <v>58</v>
      </c>
      <c r="C93" s="44">
        <v>44</v>
      </c>
      <c r="D93" s="44" t="s">
        <v>338</v>
      </c>
      <c r="E93" s="44" t="s">
        <v>0</v>
      </c>
      <c r="F93" s="44" t="s">
        <v>268</v>
      </c>
      <c r="G93" s="44">
        <v>335</v>
      </c>
      <c r="H93" s="44">
        <v>48</v>
      </c>
      <c r="I93" s="44"/>
      <c r="J93" s="44"/>
    </row>
    <row r="94" spans="2:10" x14ac:dyDescent="0.25">
      <c r="B94" s="44">
        <v>59</v>
      </c>
      <c r="C94" s="44">
        <v>44</v>
      </c>
      <c r="D94" s="44" t="s">
        <v>338</v>
      </c>
      <c r="E94" s="44" t="s">
        <v>0</v>
      </c>
      <c r="F94" s="44" t="s">
        <v>146</v>
      </c>
      <c r="G94" s="44">
        <v>145</v>
      </c>
      <c r="H94" s="44">
        <v>220</v>
      </c>
      <c r="I94" s="44"/>
      <c r="J94" s="44"/>
    </row>
    <row r="95" spans="2:10" x14ac:dyDescent="0.25">
      <c r="B95" s="44">
        <v>59</v>
      </c>
      <c r="C95" s="44">
        <v>44</v>
      </c>
      <c r="D95" s="44" t="s">
        <v>338</v>
      </c>
      <c r="E95" s="44" t="s">
        <v>0</v>
      </c>
      <c r="F95" s="44" t="s">
        <v>269</v>
      </c>
      <c r="G95" s="44">
        <v>335</v>
      </c>
      <c r="H95" s="44">
        <v>48</v>
      </c>
      <c r="I95" s="44"/>
      <c r="J95" s="44"/>
    </row>
    <row r="96" spans="2:10" x14ac:dyDescent="0.25">
      <c r="B96" s="44">
        <v>60</v>
      </c>
      <c r="C96" s="44">
        <v>44</v>
      </c>
      <c r="D96" s="44" t="s">
        <v>339</v>
      </c>
      <c r="E96" s="44" t="s">
        <v>0</v>
      </c>
      <c r="F96" s="44" t="s">
        <v>125</v>
      </c>
      <c r="G96" s="44">
        <v>145</v>
      </c>
      <c r="H96" s="44">
        <v>220</v>
      </c>
      <c r="I96" s="44"/>
      <c r="J96" s="44"/>
    </row>
    <row r="97" spans="2:10" x14ac:dyDescent="0.25">
      <c r="B97" s="44">
        <v>60</v>
      </c>
      <c r="C97" s="44">
        <v>44</v>
      </c>
      <c r="D97" s="44" t="s">
        <v>339</v>
      </c>
      <c r="E97" s="44" t="s">
        <v>0</v>
      </c>
      <c r="F97" s="44" t="s">
        <v>140</v>
      </c>
      <c r="G97" s="44">
        <v>335</v>
      </c>
      <c r="H97" s="44">
        <v>48</v>
      </c>
      <c r="I97" s="44"/>
      <c r="J97" s="44"/>
    </row>
    <row r="98" spans="2:10" x14ac:dyDescent="0.25">
      <c r="B98" s="44">
        <v>61</v>
      </c>
      <c r="C98" s="44">
        <v>44</v>
      </c>
      <c r="D98" s="44" t="s">
        <v>340</v>
      </c>
      <c r="E98" s="44" t="s">
        <v>0</v>
      </c>
      <c r="F98" s="44" t="s">
        <v>127</v>
      </c>
      <c r="G98" s="44">
        <v>145</v>
      </c>
      <c r="H98" s="44">
        <v>220</v>
      </c>
      <c r="I98" s="44"/>
      <c r="J98" s="44"/>
    </row>
    <row r="99" spans="2:10" x14ac:dyDescent="0.25">
      <c r="B99" s="44">
        <v>61</v>
      </c>
      <c r="C99" s="44">
        <v>44</v>
      </c>
      <c r="D99" s="44" t="s">
        <v>340</v>
      </c>
      <c r="E99" s="44" t="s">
        <v>0</v>
      </c>
      <c r="F99" s="44" t="s">
        <v>141</v>
      </c>
      <c r="G99" s="44">
        <v>335</v>
      </c>
      <c r="H99" s="44">
        <v>48</v>
      </c>
      <c r="I99" s="44"/>
      <c r="J99" s="44"/>
    </row>
    <row r="100" spans="2:10" x14ac:dyDescent="0.25">
      <c r="B100" s="44">
        <v>62</v>
      </c>
      <c r="C100" s="44">
        <v>44</v>
      </c>
      <c r="D100" s="44" t="s">
        <v>341</v>
      </c>
      <c r="E100" s="44" t="s">
        <v>0</v>
      </c>
      <c r="F100" s="44" t="s">
        <v>129</v>
      </c>
      <c r="G100" s="44">
        <v>145</v>
      </c>
      <c r="H100" s="44">
        <v>220</v>
      </c>
      <c r="I100" s="44"/>
      <c r="J100" s="44"/>
    </row>
    <row r="101" spans="2:10" x14ac:dyDescent="0.25">
      <c r="B101" s="44">
        <v>62</v>
      </c>
      <c r="C101" s="44">
        <v>44</v>
      </c>
      <c r="D101" s="44" t="s">
        <v>341</v>
      </c>
      <c r="E101" s="44" t="s">
        <v>0</v>
      </c>
      <c r="F101" s="44" t="s">
        <v>142</v>
      </c>
      <c r="G101" s="44">
        <v>335</v>
      </c>
      <c r="H101" s="44">
        <v>48</v>
      </c>
      <c r="I101" s="44"/>
      <c r="J101" s="44"/>
    </row>
    <row r="102" spans="2:10" x14ac:dyDescent="0.25">
      <c r="B102" s="44">
        <v>63</v>
      </c>
      <c r="C102" s="44">
        <v>50</v>
      </c>
      <c r="D102" s="44"/>
      <c r="E102" s="44" t="s">
        <v>253</v>
      </c>
      <c r="F102" s="44"/>
      <c r="G102" s="44"/>
      <c r="H102" s="44"/>
      <c r="I102" s="44"/>
      <c r="J102" s="44"/>
    </row>
    <row r="103" spans="2:10" x14ac:dyDescent="0.25">
      <c r="B103" s="44">
        <v>64</v>
      </c>
      <c r="C103" s="44">
        <v>51</v>
      </c>
      <c r="D103" s="44"/>
      <c r="E103" s="44" t="s">
        <v>253</v>
      </c>
      <c r="F103" s="44"/>
      <c r="G103" s="44"/>
      <c r="H103" s="44"/>
      <c r="I103" s="44"/>
      <c r="J103" s="44"/>
    </row>
    <row r="104" spans="2:10" x14ac:dyDescent="0.25">
      <c r="B104" s="44">
        <v>65</v>
      </c>
      <c r="C104" s="44">
        <v>52</v>
      </c>
      <c r="D104" s="44"/>
      <c r="E104" s="44" t="s">
        <v>253</v>
      </c>
      <c r="F104" s="44"/>
      <c r="G104" s="44"/>
      <c r="H104" s="44"/>
      <c r="I104" s="44"/>
      <c r="J104" s="44"/>
    </row>
    <row r="105" spans="2:10" x14ac:dyDescent="0.25">
      <c r="B105" s="44">
        <v>66</v>
      </c>
      <c r="C105" s="44">
        <v>53</v>
      </c>
      <c r="D105" s="44"/>
      <c r="E105" s="44" t="s">
        <v>253</v>
      </c>
      <c r="F105" s="44"/>
      <c r="G105" s="44"/>
      <c r="H105" s="44"/>
      <c r="I105" s="44"/>
      <c r="J105" s="44"/>
    </row>
    <row r="106" spans="2:10" x14ac:dyDescent="0.25">
      <c r="B106" s="44">
        <v>67</v>
      </c>
      <c r="C106" s="44">
        <v>54</v>
      </c>
      <c r="D106" s="44"/>
      <c r="E106" s="44" t="s">
        <v>253</v>
      </c>
      <c r="F106" s="44"/>
      <c r="G106" s="44"/>
      <c r="H106" s="44"/>
      <c r="I106" s="44"/>
      <c r="J106" s="44"/>
    </row>
    <row r="107" spans="2:10" x14ac:dyDescent="0.25">
      <c r="B107" s="44">
        <v>68</v>
      </c>
      <c r="C107" s="44">
        <v>55</v>
      </c>
      <c r="D107" s="44"/>
      <c r="E107" s="44" t="s">
        <v>253</v>
      </c>
      <c r="F107" s="44"/>
      <c r="G107" s="44"/>
      <c r="H107" s="44"/>
      <c r="I107" s="44"/>
      <c r="J107" s="44"/>
    </row>
    <row r="108" spans="2:10" x14ac:dyDescent="0.25">
      <c r="B108" s="44">
        <v>69</v>
      </c>
      <c r="C108" s="44">
        <v>56</v>
      </c>
      <c r="D108" s="44"/>
      <c r="E108" s="44" t="s">
        <v>253</v>
      </c>
      <c r="F108" s="44"/>
      <c r="G108" s="44"/>
      <c r="H108" s="44"/>
      <c r="I108" s="44"/>
      <c r="J108" s="44"/>
    </row>
    <row r="109" spans="2:10" x14ac:dyDescent="0.25">
      <c r="B109" s="44">
        <v>70</v>
      </c>
      <c r="C109" s="44">
        <v>57</v>
      </c>
      <c r="D109" s="44"/>
      <c r="E109" s="44" t="s">
        <v>253</v>
      </c>
      <c r="F109" s="44"/>
      <c r="G109" s="44"/>
      <c r="H109" s="44"/>
      <c r="I109" s="44"/>
      <c r="J109" s="44"/>
    </row>
    <row r="110" spans="2:10" x14ac:dyDescent="0.25">
      <c r="B110" s="44">
        <v>71</v>
      </c>
      <c r="C110" s="44">
        <v>58</v>
      </c>
      <c r="D110" s="44"/>
      <c r="E110" s="44" t="s">
        <v>253</v>
      </c>
      <c r="F110" s="44"/>
      <c r="G110" s="44"/>
      <c r="H110" s="44"/>
      <c r="I110" s="44"/>
      <c r="J110" s="44"/>
    </row>
    <row r="111" spans="2:10" x14ac:dyDescent="0.25">
      <c r="B111" s="44">
        <v>72</v>
      </c>
      <c r="C111" s="44">
        <v>59</v>
      </c>
      <c r="D111" s="44"/>
      <c r="E111" s="44" t="s">
        <v>253</v>
      </c>
      <c r="F111" s="44"/>
      <c r="G111" s="44"/>
      <c r="H111" s="44"/>
      <c r="I111" s="44"/>
      <c r="J111" s="44"/>
    </row>
    <row r="112" spans="2:10" x14ac:dyDescent="0.25">
      <c r="B112" s="44">
        <v>73</v>
      </c>
      <c r="C112" s="44">
        <v>60</v>
      </c>
      <c r="D112" s="44"/>
      <c r="E112" s="44" t="s">
        <v>253</v>
      </c>
      <c r="F112" s="44"/>
      <c r="G112" s="44"/>
      <c r="H112" s="44"/>
      <c r="I112" s="44"/>
      <c r="J112" s="44"/>
    </row>
  </sheetData>
  <sheetProtection formatCells="0" formatColumns="0" formatRows="0" insertRows="0" deleteRows="0"/>
  <sortState ref="B4:F19">
    <sortCondition ref="B4"/>
  </sortState>
  <mergeCells count="2">
    <mergeCell ref="B2:F2"/>
    <mergeCell ref="B27:J27"/>
  </mergeCells>
  <pageMargins left="0.7" right="0.7" top="0.75" bottom="0.75" header="0.3" footer="0.3"/>
  <pageSetup paperSize="0" orientation="portrait" horizontalDpi="0" verticalDpi="0" copies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67272" r:id="rId3" name="Button 8">
              <controlPr defaultSize="0" print="0" autoFill="0" autoPict="0" macro="[0]!GenerarCuadroDeMandoPPT">
                <anchor moveWithCells="1" sizeWithCells="1">
                  <from>
                    <xdr:col>4</xdr:col>
                    <xdr:colOff>0</xdr:colOff>
                    <xdr:row>20</xdr:row>
                    <xdr:rowOff>0</xdr:rowOff>
                  </from>
                  <to>
                    <xdr:col>6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273" r:id="rId4" name="Button 9">
              <controlPr defaultSize="0" print="0" autoFill="0" autoPict="0" macro="[0]!ClearCuadroDeMandoPPT">
                <anchor moveWithCells="1" sizeWithCells="1">
                  <from>
                    <xdr:col>4</xdr:col>
                    <xdr:colOff>0</xdr:colOff>
                    <xdr:row>23</xdr:row>
                    <xdr:rowOff>0</xdr:rowOff>
                  </from>
                  <to>
                    <xdr:col>6</xdr:col>
                    <xdr:colOff>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334" r:id="rId5" name="Button 70">
              <controlPr defaultSize="0" print="0" autoFill="0" autoPict="0" macro="[0]!Generar_PPT">
                <anchor moveWithCells="1" sizeWithCells="1">
                  <from>
                    <xdr:col>7</xdr:col>
                    <xdr:colOff>0</xdr:colOff>
                    <xdr:row>113</xdr:row>
                    <xdr:rowOff>0</xdr:rowOff>
                  </from>
                  <to>
                    <xdr:col>10</xdr:col>
                    <xdr:colOff>0</xdr:colOff>
                    <xdr:row>115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9"/>
  <dimension ref="A1:J817"/>
  <sheetViews>
    <sheetView showGridLines="0" workbookViewId="0">
      <selection activeCell="C805" sqref="C805:G810"/>
    </sheetView>
  </sheetViews>
  <sheetFormatPr baseColWidth="10" defaultRowHeight="15" x14ac:dyDescent="0.25"/>
  <cols>
    <col min="1" max="1" width="22.7109375" bestFit="1" customWidth="1"/>
    <col min="3" max="3" width="35.7109375" customWidth="1"/>
    <col min="4" max="10" width="18.28515625" customWidth="1"/>
  </cols>
  <sheetData>
    <row r="1" spans="1:1" x14ac:dyDescent="0.25">
      <c r="A1" t="s">
        <v>114</v>
      </c>
    </row>
    <row r="61" spans="1:1" x14ac:dyDescent="0.25">
      <c r="A61" t="s">
        <v>115</v>
      </c>
    </row>
    <row r="75" spans="1:8" ht="59.1" customHeight="1" x14ac:dyDescent="0.25">
      <c r="A75" t="s">
        <v>138</v>
      </c>
      <c r="D75" s="156" t="s">
        <v>281</v>
      </c>
      <c r="E75" s="156" t="s">
        <v>282</v>
      </c>
      <c r="F75" s="156" t="s">
        <v>283</v>
      </c>
      <c r="G75" s="156" t="s">
        <v>284</v>
      </c>
      <c r="H75" s="156" t="s">
        <v>285</v>
      </c>
    </row>
    <row r="76" spans="1:8" ht="21.95" customHeight="1" x14ac:dyDescent="0.25">
      <c r="C76" s="144" t="s">
        <v>149</v>
      </c>
      <c r="D76" s="145">
        <v>90.45</v>
      </c>
      <c r="E76" s="145">
        <v>86.08</v>
      </c>
      <c r="F76" s="145">
        <v>84.35</v>
      </c>
      <c r="G76" s="145">
        <v>87.74</v>
      </c>
      <c r="H76" s="145">
        <v>90.43</v>
      </c>
    </row>
    <row r="77" spans="1:8" ht="21.95" customHeight="1" x14ac:dyDescent="0.25">
      <c r="C77" s="147" t="s">
        <v>150</v>
      </c>
      <c r="D77" s="145">
        <v>84.9</v>
      </c>
      <c r="E77" s="145">
        <v>80.59</v>
      </c>
      <c r="F77" s="145">
        <v>81</v>
      </c>
      <c r="G77" s="145">
        <v>84.36</v>
      </c>
      <c r="H77" s="145">
        <v>87.34</v>
      </c>
    </row>
    <row r="78" spans="1:8" ht="21.95" customHeight="1" x14ac:dyDescent="0.25">
      <c r="C78" s="148" t="s">
        <v>148</v>
      </c>
      <c r="D78" s="145">
        <v>85.2</v>
      </c>
      <c r="E78" s="145">
        <v>77.400000000000006</v>
      </c>
      <c r="F78" s="145">
        <v>75.959999999999994</v>
      </c>
      <c r="G78" s="145">
        <v>79.81</v>
      </c>
      <c r="H78" s="145">
        <v>83.12</v>
      </c>
    </row>
    <row r="79" spans="1:8" ht="21.95" customHeight="1" x14ac:dyDescent="0.25">
      <c r="C79" s="149" t="s">
        <v>159</v>
      </c>
      <c r="D79" s="145">
        <v>83.54</v>
      </c>
      <c r="E79" s="145">
        <v>81.03</v>
      </c>
      <c r="F79" s="145">
        <v>83.26</v>
      </c>
      <c r="G79" s="145">
        <v>88.56</v>
      </c>
      <c r="H79" s="145">
        <v>91.07</v>
      </c>
    </row>
    <row r="80" spans="1:8" ht="21.95" customHeight="1" x14ac:dyDescent="0.25">
      <c r="C80" s="150" t="s">
        <v>498</v>
      </c>
      <c r="D80" s="146">
        <v>90.58</v>
      </c>
      <c r="E80" s="146">
        <v>85.89</v>
      </c>
      <c r="F80" s="146">
        <v>85.08</v>
      </c>
      <c r="G80" s="146">
        <v>88.42</v>
      </c>
      <c r="H80" s="146">
        <v>90.24</v>
      </c>
    </row>
    <row r="81" spans="1:8" x14ac:dyDescent="0.25">
      <c r="C81" t="s">
        <v>499</v>
      </c>
      <c r="D81" s="151">
        <v>87.13</v>
      </c>
      <c r="E81" s="151">
        <v>82.26</v>
      </c>
      <c r="F81" s="151">
        <v>81.83</v>
      </c>
      <c r="G81" s="151">
        <v>85.57</v>
      </c>
      <c r="H81" s="151">
        <v>88.33</v>
      </c>
    </row>
    <row r="82" spans="1:8" x14ac:dyDescent="0.25">
      <c r="C82" t="s">
        <v>500</v>
      </c>
      <c r="D82" s="152">
        <v>292</v>
      </c>
      <c r="E82" s="152">
        <v>1996</v>
      </c>
      <c r="F82" s="152">
        <v>1426</v>
      </c>
      <c r="G82" s="152">
        <v>736</v>
      </c>
      <c r="H82" s="152">
        <v>248</v>
      </c>
    </row>
    <row r="83" spans="1:8" x14ac:dyDescent="0.25">
      <c r="C83" t="s">
        <v>501</v>
      </c>
      <c r="D83" s="153">
        <v>82.41</v>
      </c>
      <c r="E83" s="153">
        <v>77.44</v>
      </c>
      <c r="F83" s="153">
        <v>78.069999999999993</v>
      </c>
      <c r="G83" s="153">
        <v>82.57</v>
      </c>
      <c r="H83" s="153">
        <v>86.36</v>
      </c>
    </row>
    <row r="84" spans="1:8" x14ac:dyDescent="0.25">
      <c r="C84" t="s">
        <v>502</v>
      </c>
      <c r="D84" s="154">
        <v>249</v>
      </c>
      <c r="E84" s="154">
        <v>1965</v>
      </c>
      <c r="F84" s="154">
        <v>1426</v>
      </c>
      <c r="G84" s="154">
        <v>733</v>
      </c>
      <c r="H84" s="154">
        <v>256</v>
      </c>
    </row>
    <row r="85" spans="1:8" x14ac:dyDescent="0.25">
      <c r="C85" t="s">
        <v>147</v>
      </c>
      <c r="D85" s="155" t="s">
        <v>281</v>
      </c>
      <c r="E85" s="155" t="s">
        <v>282</v>
      </c>
      <c r="F85" s="155" t="s">
        <v>283</v>
      </c>
      <c r="G85" s="155" t="s">
        <v>284</v>
      </c>
      <c r="H85" s="155" t="s">
        <v>285</v>
      </c>
    </row>
    <row r="86" spans="1:8" x14ac:dyDescent="0.25">
      <c r="C86" t="s">
        <v>503</v>
      </c>
      <c r="D86" s="151">
        <v>82.91</v>
      </c>
      <c r="E86" s="151">
        <v>82.91</v>
      </c>
      <c r="F86" s="151">
        <v>82.91</v>
      </c>
      <c r="G86" s="151">
        <v>82.91</v>
      </c>
      <c r="H86" s="151">
        <v>82.91</v>
      </c>
    </row>
    <row r="87" spans="1:8" x14ac:dyDescent="0.25">
      <c r="C87" t="s">
        <v>504</v>
      </c>
      <c r="D87" s="157">
        <v>87.33</v>
      </c>
      <c r="E87" s="157">
        <v>82.4</v>
      </c>
      <c r="F87" s="157">
        <v>83.7</v>
      </c>
      <c r="G87" s="157">
        <v>87.89</v>
      </c>
      <c r="H87" s="157">
        <v>93.55</v>
      </c>
    </row>
    <row r="92" spans="1:8" x14ac:dyDescent="0.25">
      <c r="A92" t="s">
        <v>116</v>
      </c>
    </row>
    <row r="152" spans="1:1" x14ac:dyDescent="0.25">
      <c r="A152" t="s">
        <v>117</v>
      </c>
    </row>
    <row r="166" spans="1:5" ht="59.1" customHeight="1" x14ac:dyDescent="0.25">
      <c r="A166" t="s">
        <v>137</v>
      </c>
      <c r="D166" s="156" t="s">
        <v>286</v>
      </c>
      <c r="E166" s="156" t="s">
        <v>287</v>
      </c>
    </row>
    <row r="167" spans="1:5" ht="21.95" customHeight="1" x14ac:dyDescent="0.25">
      <c r="C167" s="144" t="s">
        <v>149</v>
      </c>
      <c r="D167" s="145">
        <v>86.53</v>
      </c>
      <c r="E167" s="145">
        <v>86.24</v>
      </c>
    </row>
    <row r="168" spans="1:5" ht="21.95" customHeight="1" x14ac:dyDescent="0.25">
      <c r="C168" s="147" t="s">
        <v>150</v>
      </c>
      <c r="D168" s="145">
        <v>82.52</v>
      </c>
      <c r="E168" s="145">
        <v>81.34</v>
      </c>
    </row>
    <row r="169" spans="1:5" ht="21.95" customHeight="1" x14ac:dyDescent="0.25">
      <c r="C169" s="148" t="s">
        <v>148</v>
      </c>
      <c r="D169" s="145">
        <v>78.27</v>
      </c>
      <c r="E169" s="145">
        <v>78.02</v>
      </c>
    </row>
    <row r="170" spans="1:5" ht="21.95" customHeight="1" x14ac:dyDescent="0.25">
      <c r="C170" s="149" t="s">
        <v>159</v>
      </c>
      <c r="D170" s="145">
        <v>83.68</v>
      </c>
      <c r="E170" s="145">
        <v>83.52</v>
      </c>
    </row>
    <row r="171" spans="1:5" ht="21.95" customHeight="1" x14ac:dyDescent="0.25">
      <c r="C171" s="150" t="s">
        <v>498</v>
      </c>
      <c r="D171" s="146">
        <v>86.39</v>
      </c>
      <c r="E171" s="146">
        <v>86.83</v>
      </c>
    </row>
    <row r="172" spans="1:5" x14ac:dyDescent="0.25">
      <c r="C172" t="s">
        <v>499</v>
      </c>
      <c r="D172" s="151">
        <v>83.48</v>
      </c>
      <c r="E172" s="151">
        <v>83.12</v>
      </c>
    </row>
    <row r="173" spans="1:5" x14ac:dyDescent="0.25">
      <c r="C173" t="s">
        <v>500</v>
      </c>
      <c r="D173" s="152">
        <v>2476</v>
      </c>
      <c r="E173" s="152">
        <v>2191</v>
      </c>
    </row>
    <row r="174" spans="1:5" x14ac:dyDescent="0.25">
      <c r="C174" t="s">
        <v>501</v>
      </c>
      <c r="D174" s="153">
        <v>79.62</v>
      </c>
      <c r="E174" s="153">
        <v>78.790000000000006</v>
      </c>
    </row>
    <row r="175" spans="1:5" x14ac:dyDescent="0.25">
      <c r="C175" t="s">
        <v>502</v>
      </c>
      <c r="D175" s="154">
        <v>2382</v>
      </c>
      <c r="E175" s="154">
        <v>2218</v>
      </c>
    </row>
    <row r="176" spans="1:5" x14ac:dyDescent="0.25">
      <c r="C176" t="s">
        <v>147</v>
      </c>
      <c r="D176" s="155" t="s">
        <v>286</v>
      </c>
      <c r="E176" s="155" t="s">
        <v>287</v>
      </c>
    </row>
    <row r="177" spans="1:5" x14ac:dyDescent="0.25">
      <c r="C177" t="s">
        <v>503</v>
      </c>
      <c r="D177" s="151">
        <v>82.91</v>
      </c>
      <c r="E177" s="151">
        <v>82.91</v>
      </c>
    </row>
    <row r="178" spans="1:5" x14ac:dyDescent="0.25">
      <c r="C178" t="s">
        <v>504</v>
      </c>
      <c r="D178" s="157">
        <v>85.32</v>
      </c>
      <c r="E178" s="157">
        <v>83.78</v>
      </c>
    </row>
    <row r="183" spans="1:5" x14ac:dyDescent="0.25">
      <c r="A183" t="s">
        <v>118</v>
      </c>
    </row>
    <row r="243" spans="1:1" x14ac:dyDescent="0.25">
      <c r="A243" t="s">
        <v>119</v>
      </c>
    </row>
    <row r="257" spans="1:8" ht="59.1" customHeight="1" x14ac:dyDescent="0.25">
      <c r="A257" t="s">
        <v>136</v>
      </c>
      <c r="D257" s="156" t="s">
        <v>288</v>
      </c>
      <c r="E257" s="156" t="s">
        <v>289</v>
      </c>
      <c r="F257" s="156" t="s">
        <v>290</v>
      </c>
      <c r="G257" s="156" t="s">
        <v>291</v>
      </c>
      <c r="H257" s="156" t="s">
        <v>292</v>
      </c>
    </row>
    <row r="258" spans="1:8" ht="21.95" customHeight="1" x14ac:dyDescent="0.25">
      <c r="C258" s="144" t="s">
        <v>149</v>
      </c>
      <c r="D258" s="145">
        <v>76.19</v>
      </c>
      <c r="E258" s="145">
        <v>87.14</v>
      </c>
      <c r="F258" s="145">
        <v>86.86</v>
      </c>
      <c r="G258" s="145">
        <v>85.18</v>
      </c>
      <c r="H258" s="145">
        <v>87.05</v>
      </c>
    </row>
    <row r="259" spans="1:8" ht="21.95" customHeight="1" x14ac:dyDescent="0.25">
      <c r="C259" s="147" t="s">
        <v>150</v>
      </c>
      <c r="D259" s="145">
        <v>78.209999999999994</v>
      </c>
      <c r="E259" s="145">
        <v>80.63</v>
      </c>
      <c r="F259" s="145">
        <v>81.92</v>
      </c>
      <c r="G259" s="145">
        <v>81.260000000000005</v>
      </c>
      <c r="H259" s="145">
        <v>85.26</v>
      </c>
    </row>
    <row r="260" spans="1:8" ht="21.95" customHeight="1" x14ac:dyDescent="0.25">
      <c r="C260" s="148" t="s">
        <v>148</v>
      </c>
      <c r="D260" s="145">
        <v>80.489999999999995</v>
      </c>
      <c r="E260" s="145">
        <v>78.47</v>
      </c>
      <c r="F260" s="145">
        <v>78.739999999999995</v>
      </c>
      <c r="G260" s="145">
        <v>76.790000000000006</v>
      </c>
      <c r="H260" s="145">
        <v>79.03</v>
      </c>
    </row>
    <row r="261" spans="1:8" ht="21.95" customHeight="1" x14ac:dyDescent="0.25">
      <c r="C261" s="149" t="s">
        <v>159</v>
      </c>
      <c r="D261" s="145">
        <v>84.38</v>
      </c>
      <c r="E261" s="145">
        <v>84.66</v>
      </c>
      <c r="F261" s="145">
        <v>83.78</v>
      </c>
      <c r="G261" s="145">
        <v>82.02</v>
      </c>
      <c r="H261" s="145">
        <v>86.82</v>
      </c>
    </row>
    <row r="262" spans="1:8" ht="21.95" customHeight="1" x14ac:dyDescent="0.25">
      <c r="C262" s="150" t="s">
        <v>498</v>
      </c>
      <c r="D262" s="146">
        <v>78.33</v>
      </c>
      <c r="E262" s="146">
        <v>85.6</v>
      </c>
      <c r="F262" s="146">
        <v>86.75</v>
      </c>
      <c r="G262" s="146">
        <v>85.69</v>
      </c>
      <c r="H262" s="146">
        <v>89.35</v>
      </c>
    </row>
    <row r="263" spans="1:8" x14ac:dyDescent="0.25">
      <c r="C263" t="s">
        <v>499</v>
      </c>
      <c r="D263" s="151">
        <v>79.010000000000005</v>
      </c>
      <c r="E263" s="151">
        <v>83.26</v>
      </c>
      <c r="F263" s="151">
        <v>83.59</v>
      </c>
      <c r="G263" s="151">
        <v>82.17</v>
      </c>
      <c r="H263" s="151">
        <v>85.4</v>
      </c>
    </row>
    <row r="264" spans="1:8" x14ac:dyDescent="0.25">
      <c r="C264" t="s">
        <v>500</v>
      </c>
      <c r="D264" s="152">
        <v>12</v>
      </c>
      <c r="E264" s="152">
        <v>360</v>
      </c>
      <c r="F264" s="152">
        <v>2276</v>
      </c>
      <c r="G264" s="152">
        <v>1542</v>
      </c>
      <c r="H264" s="152">
        <v>500</v>
      </c>
    </row>
    <row r="265" spans="1:8" x14ac:dyDescent="0.25">
      <c r="C265" t="s">
        <v>501</v>
      </c>
      <c r="D265" s="153">
        <v>68.069999999999993</v>
      </c>
      <c r="E265" s="153">
        <v>79.69</v>
      </c>
      <c r="F265" s="153">
        <v>79.13</v>
      </c>
      <c r="G265" s="153">
        <v>78.17</v>
      </c>
      <c r="H265" s="153">
        <v>82.9</v>
      </c>
    </row>
    <row r="266" spans="1:8" x14ac:dyDescent="0.25">
      <c r="C266" t="s">
        <v>502</v>
      </c>
      <c r="D266" s="154">
        <v>14</v>
      </c>
      <c r="E266" s="154">
        <v>413</v>
      </c>
      <c r="F266" s="154">
        <v>2318</v>
      </c>
      <c r="G266" s="154">
        <v>1467</v>
      </c>
      <c r="H266" s="154">
        <v>425</v>
      </c>
    </row>
    <row r="267" spans="1:8" ht="22.5" x14ac:dyDescent="0.25">
      <c r="C267" t="s">
        <v>147</v>
      </c>
      <c r="D267" s="155" t="s">
        <v>288</v>
      </c>
      <c r="E267" s="155" t="s">
        <v>289</v>
      </c>
      <c r="F267" s="155" t="s">
        <v>290</v>
      </c>
      <c r="G267" s="155" t="s">
        <v>291</v>
      </c>
      <c r="H267" s="155" t="s">
        <v>292</v>
      </c>
    </row>
    <row r="268" spans="1:8" x14ac:dyDescent="0.25">
      <c r="C268" t="s">
        <v>503</v>
      </c>
      <c r="D268" s="151">
        <v>82.91</v>
      </c>
      <c r="E268" s="151">
        <v>82.91</v>
      </c>
      <c r="F268" s="151">
        <v>82.91</v>
      </c>
      <c r="G268" s="151">
        <v>82.91</v>
      </c>
      <c r="H268" s="151">
        <v>82.91</v>
      </c>
    </row>
    <row r="269" spans="1:8" x14ac:dyDescent="0.25">
      <c r="C269" t="s">
        <v>504</v>
      </c>
      <c r="D269" s="157">
        <v>75</v>
      </c>
      <c r="E269" s="157">
        <v>86.11</v>
      </c>
      <c r="F269" s="157">
        <v>84.66</v>
      </c>
      <c r="G269" s="157">
        <v>82.38</v>
      </c>
      <c r="H269" s="157">
        <v>89.58</v>
      </c>
    </row>
    <row r="274" spans="1:1" x14ac:dyDescent="0.25">
      <c r="A274" t="s">
        <v>120</v>
      </c>
    </row>
    <row r="304" spans="1:1" x14ac:dyDescent="0.25">
      <c r="A304" t="s">
        <v>143</v>
      </c>
    </row>
    <row r="318" spans="1:8" ht="59.1" customHeight="1" x14ac:dyDescent="0.25">
      <c r="A318" t="s">
        <v>266</v>
      </c>
      <c r="D318" s="159" t="s">
        <v>293</v>
      </c>
      <c r="E318" s="159" t="s">
        <v>294</v>
      </c>
      <c r="F318" s="159" t="s">
        <v>295</v>
      </c>
      <c r="G318" s="159" t="s">
        <v>296</v>
      </c>
      <c r="H318" s="159" t="s">
        <v>297</v>
      </c>
    </row>
    <row r="319" spans="1:8" ht="21.95" customHeight="1" x14ac:dyDescent="0.25">
      <c r="C319" s="144" t="s">
        <v>149</v>
      </c>
      <c r="D319" s="145">
        <v>93.53</v>
      </c>
      <c r="E319" s="145">
        <v>91.83</v>
      </c>
      <c r="F319" s="145">
        <v>88.97</v>
      </c>
      <c r="G319" s="145">
        <v>83.86</v>
      </c>
      <c r="H319" s="145">
        <v>84.1</v>
      </c>
    </row>
    <row r="320" spans="1:8" ht="21.95" customHeight="1" x14ac:dyDescent="0.25">
      <c r="C320" s="147" t="s">
        <v>150</v>
      </c>
      <c r="D320" s="145">
        <v>93.66</v>
      </c>
      <c r="E320" s="145">
        <v>89.43</v>
      </c>
      <c r="F320" s="145">
        <v>85.92</v>
      </c>
      <c r="G320" s="145">
        <v>81.99</v>
      </c>
      <c r="H320" s="145">
        <v>79.41</v>
      </c>
    </row>
    <row r="321" spans="1:8" ht="21.95" customHeight="1" x14ac:dyDescent="0.25">
      <c r="C321" s="148" t="s">
        <v>148</v>
      </c>
      <c r="D321" s="145">
        <v>87.16</v>
      </c>
      <c r="E321" s="145">
        <v>83.33</v>
      </c>
      <c r="F321" s="145">
        <v>81.790000000000006</v>
      </c>
      <c r="G321" s="145">
        <v>75.37</v>
      </c>
      <c r="H321" s="145">
        <v>74.319999999999993</v>
      </c>
    </row>
    <row r="322" spans="1:8" ht="21.95" customHeight="1" x14ac:dyDescent="0.25">
      <c r="C322" s="149" t="s">
        <v>159</v>
      </c>
      <c r="D322" s="145">
        <v>94.93</v>
      </c>
      <c r="E322" s="145">
        <v>92.27</v>
      </c>
      <c r="F322" s="145">
        <v>89.09</v>
      </c>
      <c r="G322" s="145">
        <v>82.97</v>
      </c>
      <c r="H322" s="145">
        <v>81.58</v>
      </c>
    </row>
    <row r="323" spans="1:8" ht="21.95" customHeight="1" x14ac:dyDescent="0.25">
      <c r="C323" s="150" t="s">
        <v>498</v>
      </c>
      <c r="D323" s="146">
        <v>94.86</v>
      </c>
      <c r="E323" s="146">
        <v>92.88</v>
      </c>
      <c r="F323" s="146">
        <v>90.23</v>
      </c>
      <c r="G323" s="146">
        <v>86.42</v>
      </c>
      <c r="H323" s="146">
        <v>83.34</v>
      </c>
    </row>
    <row r="324" spans="1:8" x14ac:dyDescent="0.25">
      <c r="C324" t="s">
        <v>499</v>
      </c>
      <c r="D324" s="151">
        <v>92.75</v>
      </c>
      <c r="E324" s="151">
        <v>89.82</v>
      </c>
      <c r="F324" s="151">
        <v>87.04</v>
      </c>
      <c r="G324" s="151">
        <v>82.03</v>
      </c>
      <c r="H324" s="151">
        <v>80.510000000000005</v>
      </c>
    </row>
    <row r="325" spans="1:8" x14ac:dyDescent="0.25">
      <c r="C325" t="s">
        <v>500</v>
      </c>
      <c r="D325" s="152">
        <v>74</v>
      </c>
      <c r="E325" s="152">
        <v>139</v>
      </c>
      <c r="F325" s="152">
        <v>979</v>
      </c>
      <c r="G325" s="152">
        <v>794</v>
      </c>
      <c r="H325" s="152">
        <v>386</v>
      </c>
    </row>
    <row r="326" spans="1:8" x14ac:dyDescent="0.25">
      <c r="C326" t="s">
        <v>501</v>
      </c>
      <c r="D326" s="153">
        <v>91.91</v>
      </c>
      <c r="E326" s="153">
        <v>88.05</v>
      </c>
      <c r="F326" s="153">
        <v>86.33</v>
      </c>
      <c r="G326" s="153">
        <v>77.510000000000005</v>
      </c>
      <c r="H326" s="153">
        <v>73.2</v>
      </c>
    </row>
    <row r="327" spans="1:8" x14ac:dyDescent="0.25">
      <c r="C327" t="s">
        <v>502</v>
      </c>
      <c r="D327" s="154">
        <v>65</v>
      </c>
      <c r="E327" s="154">
        <v>121</v>
      </c>
      <c r="F327" s="154">
        <v>895</v>
      </c>
      <c r="G327" s="154">
        <v>768</v>
      </c>
      <c r="H327" s="154">
        <v>265</v>
      </c>
    </row>
    <row r="328" spans="1:8" ht="67.5" x14ac:dyDescent="0.25">
      <c r="C328" t="s">
        <v>147</v>
      </c>
      <c r="D328" s="158" t="s">
        <v>293</v>
      </c>
      <c r="E328" s="158" t="s">
        <v>294</v>
      </c>
      <c r="F328" s="158" t="s">
        <v>295</v>
      </c>
      <c r="G328" s="158" t="s">
        <v>296</v>
      </c>
      <c r="H328" s="158" t="s">
        <v>297</v>
      </c>
    </row>
    <row r="329" spans="1:8" x14ac:dyDescent="0.25">
      <c r="C329" t="s">
        <v>503</v>
      </c>
      <c r="D329" s="151">
        <v>82.91</v>
      </c>
      <c r="E329" s="151">
        <v>82.91</v>
      </c>
      <c r="F329" s="151">
        <v>82.91</v>
      </c>
      <c r="G329" s="151">
        <v>82.91</v>
      </c>
      <c r="H329" s="151">
        <v>82.91</v>
      </c>
    </row>
    <row r="330" spans="1:8" x14ac:dyDescent="0.25">
      <c r="C330" t="s">
        <v>504</v>
      </c>
      <c r="D330" s="157">
        <v>98.65</v>
      </c>
      <c r="E330" s="157">
        <v>94.24</v>
      </c>
      <c r="F330" s="157">
        <v>89.27</v>
      </c>
      <c r="G330" s="157">
        <v>85.34</v>
      </c>
      <c r="H330" s="157">
        <v>81.61</v>
      </c>
    </row>
    <row r="335" spans="1:8" x14ac:dyDescent="0.25">
      <c r="A335" t="s">
        <v>144</v>
      </c>
    </row>
    <row r="349" spans="1:8" ht="59.1" customHeight="1" x14ac:dyDescent="0.25">
      <c r="A349" t="s">
        <v>267</v>
      </c>
      <c r="D349" s="159" t="s">
        <v>298</v>
      </c>
      <c r="E349" s="159" t="s">
        <v>299</v>
      </c>
      <c r="F349" s="159" t="s">
        <v>300</v>
      </c>
      <c r="G349" s="159" t="s">
        <v>301</v>
      </c>
      <c r="H349" s="159" t="s">
        <v>302</v>
      </c>
    </row>
    <row r="350" spans="1:8" ht="21.95" customHeight="1" x14ac:dyDescent="0.25">
      <c r="C350" s="144" t="s">
        <v>149</v>
      </c>
      <c r="D350" s="145">
        <v>78.73</v>
      </c>
      <c r="E350" s="145">
        <v>86.35</v>
      </c>
      <c r="F350" s="145">
        <v>87.52</v>
      </c>
      <c r="G350" s="145">
        <v>90.4</v>
      </c>
      <c r="H350" s="145">
        <v>79.88</v>
      </c>
    </row>
    <row r="351" spans="1:8" ht="21.95" customHeight="1" x14ac:dyDescent="0.25">
      <c r="C351" s="147" t="s">
        <v>150</v>
      </c>
      <c r="D351" s="145">
        <v>74.709999999999994</v>
      </c>
      <c r="E351" s="145">
        <v>79.209999999999994</v>
      </c>
      <c r="F351" s="145">
        <v>81.94</v>
      </c>
      <c r="G351" s="145">
        <v>82.09</v>
      </c>
      <c r="H351" s="145">
        <v>80.540000000000006</v>
      </c>
    </row>
    <row r="352" spans="1:8" ht="21.95" customHeight="1" x14ac:dyDescent="0.25">
      <c r="C352" s="148" t="s">
        <v>148</v>
      </c>
      <c r="D352" s="145">
        <v>69.97</v>
      </c>
      <c r="E352" s="145">
        <v>77.64</v>
      </c>
      <c r="F352" s="145">
        <v>79.180000000000007</v>
      </c>
      <c r="G352" s="145">
        <v>83.27</v>
      </c>
      <c r="H352" s="145">
        <v>72.260000000000005</v>
      </c>
    </row>
    <row r="353" spans="1:8" ht="21.95" customHeight="1" x14ac:dyDescent="0.25">
      <c r="C353" s="149" t="s">
        <v>159</v>
      </c>
      <c r="D353" s="145">
        <v>76.73</v>
      </c>
      <c r="E353" s="145">
        <v>80.61</v>
      </c>
      <c r="F353" s="145">
        <v>83.49</v>
      </c>
      <c r="G353" s="145">
        <v>80.66</v>
      </c>
      <c r="H353" s="145">
        <v>76.23</v>
      </c>
    </row>
    <row r="354" spans="1:8" ht="21.95" customHeight="1" x14ac:dyDescent="0.25">
      <c r="C354" s="150" t="s">
        <v>498</v>
      </c>
      <c r="D354" s="146">
        <v>79.400000000000006</v>
      </c>
      <c r="E354" s="146">
        <v>84.13</v>
      </c>
      <c r="F354" s="146">
        <v>86.8</v>
      </c>
      <c r="G354" s="146">
        <v>89.26</v>
      </c>
      <c r="H354" s="146">
        <v>80.28</v>
      </c>
    </row>
    <row r="355" spans="1:8" x14ac:dyDescent="0.25">
      <c r="C355" t="s">
        <v>499</v>
      </c>
      <c r="D355" s="151">
        <v>75.88</v>
      </c>
      <c r="E355" s="151">
        <v>81.69</v>
      </c>
      <c r="F355" s="151">
        <v>83.78</v>
      </c>
      <c r="G355" s="151">
        <v>85.39</v>
      </c>
      <c r="H355" s="151">
        <v>77.95</v>
      </c>
    </row>
    <row r="356" spans="1:8" x14ac:dyDescent="0.25">
      <c r="C356" t="s">
        <v>500</v>
      </c>
      <c r="D356" s="152">
        <v>426</v>
      </c>
      <c r="E356" s="152">
        <v>536</v>
      </c>
      <c r="F356" s="152">
        <v>877</v>
      </c>
      <c r="G356" s="152">
        <v>396</v>
      </c>
      <c r="H356" s="152">
        <v>42</v>
      </c>
    </row>
    <row r="357" spans="1:8" x14ac:dyDescent="0.25">
      <c r="C357" t="s">
        <v>501</v>
      </c>
      <c r="D357" s="153">
        <v>71.02</v>
      </c>
      <c r="E357" s="153">
        <v>74.760000000000005</v>
      </c>
      <c r="F357" s="153">
        <v>80.2</v>
      </c>
      <c r="G357" s="153">
        <v>80.39</v>
      </c>
      <c r="H357" s="153" t="s">
        <v>165</v>
      </c>
    </row>
    <row r="358" spans="1:8" x14ac:dyDescent="0.25">
      <c r="C358" t="s">
        <v>502</v>
      </c>
      <c r="D358" s="154">
        <v>519</v>
      </c>
      <c r="E358" s="154">
        <v>572</v>
      </c>
      <c r="F358" s="154">
        <v>937</v>
      </c>
      <c r="G358" s="154">
        <v>444</v>
      </c>
      <c r="H358" s="154" t="s">
        <v>163</v>
      </c>
    </row>
    <row r="359" spans="1:8" ht="56.25" x14ac:dyDescent="0.25">
      <c r="C359" t="s">
        <v>147</v>
      </c>
      <c r="D359" s="158" t="s">
        <v>298</v>
      </c>
      <c r="E359" s="158" t="s">
        <v>299</v>
      </c>
      <c r="F359" s="158" t="s">
        <v>300</v>
      </c>
      <c r="G359" s="158" t="s">
        <v>301</v>
      </c>
      <c r="H359" s="158" t="s">
        <v>302</v>
      </c>
    </row>
    <row r="360" spans="1:8" x14ac:dyDescent="0.25">
      <c r="C360" t="s">
        <v>503</v>
      </c>
      <c r="D360" s="151">
        <v>82.91</v>
      </c>
      <c r="E360" s="151">
        <v>82.91</v>
      </c>
      <c r="F360" s="151">
        <v>82.91</v>
      </c>
      <c r="G360" s="151">
        <v>82.91</v>
      </c>
      <c r="H360" s="151">
        <v>82.91</v>
      </c>
    </row>
    <row r="361" spans="1:8" x14ac:dyDescent="0.25">
      <c r="C361" t="s">
        <v>504</v>
      </c>
      <c r="D361" s="157">
        <v>80</v>
      </c>
      <c r="E361" s="157">
        <v>81.459999999999994</v>
      </c>
      <c r="F361" s="157">
        <v>82.78</v>
      </c>
      <c r="G361" s="157">
        <v>82.83</v>
      </c>
      <c r="H361" s="157">
        <v>76.19</v>
      </c>
    </row>
    <row r="366" spans="1:8" x14ac:dyDescent="0.25">
      <c r="A366" t="s">
        <v>121</v>
      </c>
    </row>
    <row r="426" spans="1:1" x14ac:dyDescent="0.25">
      <c r="A426" t="s">
        <v>122</v>
      </c>
    </row>
    <row r="440" spans="1:9" ht="59.1" customHeight="1" x14ac:dyDescent="0.25">
      <c r="A440" t="s">
        <v>139</v>
      </c>
      <c r="D440" s="156" t="s">
        <v>303</v>
      </c>
      <c r="E440" s="156" t="s">
        <v>304</v>
      </c>
      <c r="F440" s="156" t="s">
        <v>305</v>
      </c>
      <c r="G440" s="156" t="s">
        <v>306</v>
      </c>
      <c r="H440" s="156" t="s">
        <v>307</v>
      </c>
      <c r="I440" s="156" t="s">
        <v>308</v>
      </c>
    </row>
    <row r="441" spans="1:9" ht="21.95" customHeight="1" x14ac:dyDescent="0.25">
      <c r="C441" s="144" t="s">
        <v>149</v>
      </c>
      <c r="D441" s="145">
        <v>91.75</v>
      </c>
      <c r="E441" s="145">
        <v>87.14</v>
      </c>
      <c r="F441" s="145">
        <v>84.41</v>
      </c>
      <c r="G441" s="145">
        <v>79.94</v>
      </c>
      <c r="H441" s="145">
        <v>87.42</v>
      </c>
      <c r="I441" s="145">
        <v>88.24</v>
      </c>
    </row>
    <row r="442" spans="1:9" ht="21.95" customHeight="1" x14ac:dyDescent="0.25">
      <c r="C442" s="147" t="s">
        <v>150</v>
      </c>
      <c r="D442" s="145">
        <v>87.01</v>
      </c>
      <c r="E442" s="145">
        <v>82.15</v>
      </c>
      <c r="F442" s="145">
        <v>78.97</v>
      </c>
      <c r="G442" s="145">
        <v>76.930000000000007</v>
      </c>
      <c r="H442" s="145">
        <v>83.93</v>
      </c>
      <c r="I442" s="145">
        <v>84.79</v>
      </c>
    </row>
    <row r="443" spans="1:9" ht="21.95" customHeight="1" x14ac:dyDescent="0.25">
      <c r="C443" s="148" t="s">
        <v>148</v>
      </c>
      <c r="D443" s="145">
        <v>87.17</v>
      </c>
      <c r="E443" s="145">
        <v>79.760000000000005</v>
      </c>
      <c r="F443" s="145">
        <v>74.66</v>
      </c>
      <c r="G443" s="145">
        <v>72.42</v>
      </c>
      <c r="H443" s="145">
        <v>77.63</v>
      </c>
      <c r="I443" s="145">
        <v>80.38</v>
      </c>
    </row>
    <row r="444" spans="1:9" ht="21.95" customHeight="1" x14ac:dyDescent="0.25">
      <c r="C444" s="149" t="s">
        <v>159</v>
      </c>
      <c r="D444" s="145">
        <v>86.67</v>
      </c>
      <c r="E444" s="145">
        <v>82.73</v>
      </c>
      <c r="F444" s="145">
        <v>79.88</v>
      </c>
      <c r="G444" s="145">
        <v>80.069999999999993</v>
      </c>
      <c r="H444" s="145">
        <v>86.61</v>
      </c>
      <c r="I444" s="145">
        <v>88.62</v>
      </c>
    </row>
    <row r="445" spans="1:9" ht="21.95" customHeight="1" x14ac:dyDescent="0.25">
      <c r="C445" s="150" t="s">
        <v>498</v>
      </c>
      <c r="D445" s="146">
        <v>91.77</v>
      </c>
      <c r="E445" s="146">
        <v>87.67</v>
      </c>
      <c r="F445" s="146">
        <v>83.75</v>
      </c>
      <c r="G445" s="146">
        <v>81.36</v>
      </c>
      <c r="H445" s="146">
        <v>88.32</v>
      </c>
      <c r="I445" s="146">
        <v>88.26</v>
      </c>
    </row>
    <row r="446" spans="1:9" x14ac:dyDescent="0.25">
      <c r="C446" t="s">
        <v>499</v>
      </c>
      <c r="D446" s="151">
        <v>89.02</v>
      </c>
      <c r="E446" s="151">
        <v>83.93</v>
      </c>
      <c r="F446" s="151">
        <v>80.37</v>
      </c>
      <c r="G446" s="151">
        <v>77.959999999999994</v>
      </c>
      <c r="H446" s="151">
        <v>84.65</v>
      </c>
      <c r="I446" s="151">
        <v>85.91</v>
      </c>
    </row>
    <row r="447" spans="1:9" x14ac:dyDescent="0.25">
      <c r="C447" t="s">
        <v>500</v>
      </c>
      <c r="D447" s="152">
        <v>425</v>
      </c>
      <c r="E447" s="152">
        <v>1125</v>
      </c>
      <c r="F447" s="152">
        <v>1198</v>
      </c>
      <c r="G447" s="152">
        <v>412</v>
      </c>
      <c r="H447" s="152">
        <v>791</v>
      </c>
      <c r="I447" s="152">
        <v>719</v>
      </c>
    </row>
    <row r="448" spans="1:9" x14ac:dyDescent="0.25">
      <c r="C448" t="s">
        <v>501</v>
      </c>
      <c r="D448" s="153">
        <v>83.99</v>
      </c>
      <c r="E448" s="153">
        <v>78.19</v>
      </c>
      <c r="F448" s="153">
        <v>76.42</v>
      </c>
      <c r="G448" s="153">
        <v>76.36</v>
      </c>
      <c r="H448" s="153">
        <v>80.75</v>
      </c>
      <c r="I448" s="153">
        <v>84.02</v>
      </c>
    </row>
    <row r="449" spans="1:9" x14ac:dyDescent="0.25">
      <c r="C449" t="s">
        <v>502</v>
      </c>
      <c r="D449" s="154">
        <v>305</v>
      </c>
      <c r="E449" s="154">
        <v>1135</v>
      </c>
      <c r="F449" s="154">
        <v>1202</v>
      </c>
      <c r="G449" s="154">
        <v>481</v>
      </c>
      <c r="H449" s="154">
        <v>715</v>
      </c>
      <c r="I449" s="154">
        <v>773</v>
      </c>
    </row>
    <row r="450" spans="1:9" x14ac:dyDescent="0.25">
      <c r="C450" t="s">
        <v>147</v>
      </c>
      <c r="D450" s="155" t="s">
        <v>303</v>
      </c>
      <c r="E450" s="155" t="s">
        <v>304</v>
      </c>
      <c r="F450" s="155" t="s">
        <v>305</v>
      </c>
      <c r="G450" s="155" t="s">
        <v>306</v>
      </c>
      <c r="H450" s="155" t="s">
        <v>307</v>
      </c>
      <c r="I450" s="155" t="s">
        <v>308</v>
      </c>
    </row>
    <row r="451" spans="1:9" x14ac:dyDescent="0.25">
      <c r="C451" t="s">
        <v>503</v>
      </c>
      <c r="D451" s="151">
        <v>82.91</v>
      </c>
      <c r="E451" s="151">
        <v>82.91</v>
      </c>
      <c r="F451" s="151">
        <v>82.91</v>
      </c>
      <c r="G451" s="151">
        <v>82.91</v>
      </c>
      <c r="H451" s="151">
        <v>82.91</v>
      </c>
      <c r="I451" s="151">
        <v>82.91</v>
      </c>
    </row>
    <row r="452" spans="1:9" x14ac:dyDescent="0.25">
      <c r="C452" t="s">
        <v>504</v>
      </c>
      <c r="D452" s="157">
        <v>90.59</v>
      </c>
      <c r="E452" s="157">
        <v>84.53</v>
      </c>
      <c r="F452" s="157">
        <v>80.75</v>
      </c>
      <c r="G452" s="157">
        <v>79.08</v>
      </c>
      <c r="H452" s="157">
        <v>86.71</v>
      </c>
      <c r="I452" s="157">
        <v>89.28</v>
      </c>
    </row>
    <row r="457" spans="1:9" x14ac:dyDescent="0.25">
      <c r="A457" t="s">
        <v>123</v>
      </c>
    </row>
    <row r="487" spans="1:1" x14ac:dyDescent="0.25">
      <c r="A487" t="s">
        <v>145</v>
      </c>
    </row>
    <row r="501" spans="1:10" ht="59.1" customHeight="1" x14ac:dyDescent="0.25">
      <c r="A501" t="s">
        <v>268</v>
      </c>
      <c r="D501" s="156" t="s">
        <v>309</v>
      </c>
      <c r="E501" s="156" t="s">
        <v>310</v>
      </c>
      <c r="F501" s="156" t="s">
        <v>311</v>
      </c>
      <c r="G501" s="156" t="s">
        <v>312</v>
      </c>
      <c r="H501" s="156" t="s">
        <v>313</v>
      </c>
      <c r="I501" s="156" t="s">
        <v>314</v>
      </c>
      <c r="J501" s="156" t="s">
        <v>315</v>
      </c>
    </row>
    <row r="502" spans="1:10" ht="21.95" customHeight="1" x14ac:dyDescent="0.25">
      <c r="C502" s="144" t="s">
        <v>149</v>
      </c>
      <c r="D502" s="145">
        <v>70.28</v>
      </c>
      <c r="E502" s="145">
        <v>93.52</v>
      </c>
      <c r="F502" s="145">
        <v>81.7</v>
      </c>
      <c r="G502" s="145">
        <v>85.8</v>
      </c>
      <c r="H502" s="145">
        <v>86.78</v>
      </c>
      <c r="I502" s="145">
        <v>83.81</v>
      </c>
      <c r="J502" s="145">
        <v>96.24</v>
      </c>
    </row>
    <row r="503" spans="1:10" ht="21.95" customHeight="1" x14ac:dyDescent="0.25">
      <c r="C503" s="147" t="s">
        <v>150</v>
      </c>
      <c r="D503" s="145">
        <v>62.23</v>
      </c>
      <c r="E503" s="145">
        <v>94.29</v>
      </c>
      <c r="F503" s="145">
        <v>80.44</v>
      </c>
      <c r="G503" s="145">
        <v>83.68</v>
      </c>
      <c r="H503" s="145">
        <v>81.459999999999994</v>
      </c>
      <c r="I503" s="145">
        <v>84.28</v>
      </c>
      <c r="J503" s="145">
        <v>91.48</v>
      </c>
    </row>
    <row r="504" spans="1:10" ht="21.95" customHeight="1" x14ac:dyDescent="0.25">
      <c r="C504" s="148" t="s">
        <v>148</v>
      </c>
      <c r="D504" s="145">
        <v>67.959999999999994</v>
      </c>
      <c r="E504" s="145">
        <v>91.07</v>
      </c>
      <c r="F504" s="145">
        <v>74.040000000000006</v>
      </c>
      <c r="G504" s="145">
        <v>74.45</v>
      </c>
      <c r="H504" s="145">
        <v>78.72</v>
      </c>
      <c r="I504" s="145">
        <v>76.58</v>
      </c>
      <c r="J504" s="145">
        <v>81.349999999999994</v>
      </c>
    </row>
    <row r="505" spans="1:10" ht="21.95" customHeight="1" x14ac:dyDescent="0.25">
      <c r="C505" s="149" t="s">
        <v>159</v>
      </c>
      <c r="D505" s="145">
        <v>72.989999999999995</v>
      </c>
      <c r="E505" s="145">
        <v>99.04</v>
      </c>
      <c r="F505" s="145">
        <v>80</v>
      </c>
      <c r="G505" s="145">
        <v>84.75</v>
      </c>
      <c r="H505" s="145">
        <v>83.95</v>
      </c>
      <c r="I505" s="145">
        <v>89.61</v>
      </c>
      <c r="J505" s="145">
        <v>93.45</v>
      </c>
    </row>
    <row r="506" spans="1:10" ht="21.95" customHeight="1" x14ac:dyDescent="0.25">
      <c r="C506" s="150" t="s">
        <v>498</v>
      </c>
      <c r="D506" s="146">
        <v>60.71</v>
      </c>
      <c r="E506" s="146">
        <v>98.57</v>
      </c>
      <c r="F506" s="146">
        <v>79.77</v>
      </c>
      <c r="G506" s="146">
        <v>87.66</v>
      </c>
      <c r="H506" s="146">
        <v>86.3</v>
      </c>
      <c r="I506" s="146">
        <v>90.11</v>
      </c>
      <c r="J506" s="146">
        <v>93.76</v>
      </c>
    </row>
    <row r="507" spans="1:10" x14ac:dyDescent="0.25">
      <c r="C507" t="s">
        <v>499</v>
      </c>
      <c r="D507" s="151">
        <v>66.8</v>
      </c>
      <c r="E507" s="151">
        <v>94.93</v>
      </c>
      <c r="F507" s="151">
        <v>79.16</v>
      </c>
      <c r="G507" s="151">
        <v>83.16</v>
      </c>
      <c r="H507" s="151">
        <v>83.39</v>
      </c>
      <c r="I507" s="151">
        <v>84.44</v>
      </c>
      <c r="J507" s="151">
        <v>91.35</v>
      </c>
    </row>
    <row r="508" spans="1:10" x14ac:dyDescent="0.25">
      <c r="C508" t="s">
        <v>500</v>
      </c>
      <c r="D508" s="152">
        <v>8</v>
      </c>
      <c r="E508" s="152">
        <v>14</v>
      </c>
      <c r="F508" s="152">
        <v>41</v>
      </c>
      <c r="G508" s="152">
        <v>199</v>
      </c>
      <c r="H508" s="152">
        <v>2612</v>
      </c>
      <c r="I508" s="152">
        <v>95</v>
      </c>
      <c r="J508" s="152">
        <v>21</v>
      </c>
    </row>
    <row r="509" spans="1:10" x14ac:dyDescent="0.25">
      <c r="C509" t="s">
        <v>501</v>
      </c>
      <c r="D509" s="153">
        <v>71.709999999999994</v>
      </c>
      <c r="E509" s="153">
        <v>94.66</v>
      </c>
      <c r="F509" s="153">
        <v>78.58</v>
      </c>
      <c r="G509" s="153">
        <v>74.38</v>
      </c>
      <c r="H509" s="153">
        <v>80.41</v>
      </c>
      <c r="I509" s="153">
        <v>84.16</v>
      </c>
      <c r="J509" s="153" t="s">
        <v>165</v>
      </c>
    </row>
    <row r="510" spans="1:10" x14ac:dyDescent="0.25">
      <c r="C510" t="s">
        <v>502</v>
      </c>
      <c r="D510" s="154">
        <v>22</v>
      </c>
      <c r="E510" s="154">
        <v>10</v>
      </c>
      <c r="F510" s="154">
        <v>47</v>
      </c>
      <c r="G510" s="154">
        <v>187</v>
      </c>
      <c r="H510" s="154">
        <v>2535</v>
      </c>
      <c r="I510" s="154">
        <v>89</v>
      </c>
      <c r="J510" s="154" t="s">
        <v>163</v>
      </c>
    </row>
    <row r="511" spans="1:10" ht="22.5" x14ac:dyDescent="0.25">
      <c r="C511" t="s">
        <v>147</v>
      </c>
      <c r="D511" s="155" t="s">
        <v>309</v>
      </c>
      <c r="E511" s="155" t="s">
        <v>310</v>
      </c>
      <c r="F511" s="155" t="s">
        <v>311</v>
      </c>
      <c r="G511" s="155" t="s">
        <v>312</v>
      </c>
      <c r="H511" s="155" t="s">
        <v>313</v>
      </c>
      <c r="I511" s="155" t="s">
        <v>314</v>
      </c>
      <c r="J511" s="155" t="s">
        <v>315</v>
      </c>
    </row>
    <row r="512" spans="1:10" x14ac:dyDescent="0.25">
      <c r="C512" t="s">
        <v>503</v>
      </c>
      <c r="D512" s="151">
        <v>82.91</v>
      </c>
      <c r="E512" s="151">
        <v>82.91</v>
      </c>
      <c r="F512" s="151">
        <v>82.91</v>
      </c>
      <c r="G512" s="151">
        <v>82.91</v>
      </c>
      <c r="H512" s="151">
        <v>82.91</v>
      </c>
      <c r="I512" s="151">
        <v>82.91</v>
      </c>
      <c r="J512" s="151">
        <v>82.91</v>
      </c>
    </row>
    <row r="513" spans="1:10" x14ac:dyDescent="0.25">
      <c r="C513" t="s">
        <v>504</v>
      </c>
      <c r="D513" s="157">
        <v>75</v>
      </c>
      <c r="E513" s="157">
        <v>100</v>
      </c>
      <c r="F513" s="157">
        <v>75.61</v>
      </c>
      <c r="G513" s="157">
        <v>86.36</v>
      </c>
      <c r="H513" s="157">
        <v>83.41</v>
      </c>
      <c r="I513" s="157">
        <v>91.58</v>
      </c>
      <c r="J513" s="157">
        <v>100</v>
      </c>
    </row>
    <row r="518" spans="1:10" x14ac:dyDescent="0.25">
      <c r="A518" t="s">
        <v>146</v>
      </c>
    </row>
    <row r="532" spans="1:10" ht="59.1" customHeight="1" x14ac:dyDescent="0.25">
      <c r="A532" t="s">
        <v>269</v>
      </c>
      <c r="D532" s="156" t="s">
        <v>316</v>
      </c>
      <c r="E532" s="156" t="s">
        <v>317</v>
      </c>
      <c r="F532" s="156" t="s">
        <v>318</v>
      </c>
      <c r="G532" s="156" t="s">
        <v>319</v>
      </c>
      <c r="H532" s="156" t="s">
        <v>320</v>
      </c>
      <c r="I532" s="156" t="s">
        <v>321</v>
      </c>
      <c r="J532" s="156" t="s">
        <v>322</v>
      </c>
    </row>
    <row r="533" spans="1:10" ht="21.95" customHeight="1" x14ac:dyDescent="0.25">
      <c r="C533" s="144" t="s">
        <v>149</v>
      </c>
      <c r="D533" s="145">
        <v>90.49</v>
      </c>
      <c r="E533" s="145">
        <v>78.42</v>
      </c>
      <c r="F533" s="145">
        <v>89.17</v>
      </c>
      <c r="G533" s="145">
        <v>84.63</v>
      </c>
      <c r="H533" s="145">
        <v>81.78</v>
      </c>
      <c r="I533" s="145" t="s">
        <v>165</v>
      </c>
      <c r="J533" s="145">
        <v>97.14</v>
      </c>
    </row>
    <row r="534" spans="1:10" ht="21.95" customHeight="1" x14ac:dyDescent="0.25">
      <c r="C534" s="147" t="s">
        <v>150</v>
      </c>
      <c r="D534" s="145">
        <v>90.16</v>
      </c>
      <c r="E534" s="145">
        <v>79.81</v>
      </c>
      <c r="F534" s="145">
        <v>87.3</v>
      </c>
      <c r="G534" s="145">
        <v>79.87</v>
      </c>
      <c r="H534" s="145">
        <v>83.85</v>
      </c>
      <c r="I534" s="145" t="s">
        <v>165</v>
      </c>
      <c r="J534" s="145">
        <v>95.38</v>
      </c>
    </row>
    <row r="535" spans="1:10" ht="21.95" customHeight="1" x14ac:dyDescent="0.25">
      <c r="C535" s="148" t="s">
        <v>148</v>
      </c>
      <c r="D535" s="145">
        <v>80.63</v>
      </c>
      <c r="E535" s="145">
        <v>70.56</v>
      </c>
      <c r="F535" s="145">
        <v>81.760000000000005</v>
      </c>
      <c r="G535" s="145">
        <v>76.849999999999994</v>
      </c>
      <c r="H535" s="145">
        <v>73.540000000000006</v>
      </c>
      <c r="I535" s="145" t="s">
        <v>165</v>
      </c>
      <c r="J535" s="145">
        <v>85</v>
      </c>
    </row>
    <row r="536" spans="1:10" ht="21.95" customHeight="1" x14ac:dyDescent="0.25">
      <c r="C536" s="149" t="s">
        <v>159</v>
      </c>
      <c r="D536" s="145">
        <v>88.73</v>
      </c>
      <c r="E536" s="145">
        <v>76.319999999999993</v>
      </c>
      <c r="F536" s="145">
        <v>90.11</v>
      </c>
      <c r="G536" s="145">
        <v>80.97</v>
      </c>
      <c r="H536" s="145">
        <v>81.84</v>
      </c>
      <c r="I536" s="145" t="s">
        <v>165</v>
      </c>
      <c r="J536" s="145">
        <v>96.25</v>
      </c>
    </row>
    <row r="537" spans="1:10" ht="21.95" customHeight="1" x14ac:dyDescent="0.25">
      <c r="C537" s="150" t="s">
        <v>498</v>
      </c>
      <c r="D537" s="146">
        <v>92.57</v>
      </c>
      <c r="E537" s="146">
        <v>79.37</v>
      </c>
      <c r="F537" s="146">
        <v>91.39</v>
      </c>
      <c r="G537" s="146">
        <v>85.14</v>
      </c>
      <c r="H537" s="146">
        <v>86.85</v>
      </c>
      <c r="I537" s="146" t="s">
        <v>165</v>
      </c>
      <c r="J537" s="146">
        <v>91</v>
      </c>
    </row>
    <row r="538" spans="1:10" x14ac:dyDescent="0.25">
      <c r="C538" t="s">
        <v>499</v>
      </c>
      <c r="D538" s="151">
        <v>88.51</v>
      </c>
      <c r="E538" s="151">
        <v>77.03</v>
      </c>
      <c r="F538" s="151">
        <v>87.77</v>
      </c>
      <c r="G538" s="151">
        <v>81.510000000000005</v>
      </c>
      <c r="H538" s="151">
        <v>81.52</v>
      </c>
      <c r="I538" s="151" t="s">
        <v>165</v>
      </c>
      <c r="J538" s="151">
        <v>93.1</v>
      </c>
    </row>
    <row r="539" spans="1:10" x14ac:dyDescent="0.25">
      <c r="C539" t="s">
        <v>500</v>
      </c>
      <c r="D539" s="152">
        <v>170</v>
      </c>
      <c r="E539" s="152">
        <v>102</v>
      </c>
      <c r="F539" s="152">
        <v>60</v>
      </c>
      <c r="G539" s="152">
        <v>1478</v>
      </c>
      <c r="H539" s="152">
        <v>73</v>
      </c>
      <c r="I539" s="152">
        <v>3</v>
      </c>
      <c r="J539" s="152">
        <v>10</v>
      </c>
    </row>
    <row r="540" spans="1:10" x14ac:dyDescent="0.25">
      <c r="C540" t="s">
        <v>501</v>
      </c>
      <c r="D540" s="153">
        <v>87.49</v>
      </c>
      <c r="E540" s="153">
        <v>80.099999999999994</v>
      </c>
      <c r="F540" s="153">
        <v>77.22</v>
      </c>
      <c r="G540" s="153">
        <v>75.45</v>
      </c>
      <c r="H540" s="153">
        <v>82.2</v>
      </c>
      <c r="I540" s="153" t="s">
        <v>165</v>
      </c>
      <c r="J540" s="153">
        <v>91.82</v>
      </c>
    </row>
    <row r="541" spans="1:10" x14ac:dyDescent="0.25">
      <c r="C541" t="s">
        <v>502</v>
      </c>
      <c r="D541" s="154">
        <v>159</v>
      </c>
      <c r="E541" s="154">
        <v>99</v>
      </c>
      <c r="F541" s="154">
        <v>55</v>
      </c>
      <c r="G541" s="154">
        <v>1432</v>
      </c>
      <c r="H541" s="154">
        <v>77</v>
      </c>
      <c r="I541" s="154">
        <v>5</v>
      </c>
      <c r="J541" s="154">
        <v>11</v>
      </c>
    </row>
    <row r="542" spans="1:10" ht="22.5" x14ac:dyDescent="0.25">
      <c r="C542" t="s">
        <v>147</v>
      </c>
      <c r="D542" s="155" t="s">
        <v>316</v>
      </c>
      <c r="E542" s="155" t="s">
        <v>317</v>
      </c>
      <c r="F542" s="155" t="s">
        <v>318</v>
      </c>
      <c r="G542" s="155" t="s">
        <v>319</v>
      </c>
      <c r="H542" s="155" t="s">
        <v>320</v>
      </c>
      <c r="I542" s="155" t="s">
        <v>321</v>
      </c>
      <c r="J542" s="155" t="s">
        <v>322</v>
      </c>
    </row>
    <row r="543" spans="1:10" x14ac:dyDescent="0.25">
      <c r="C543" t="s">
        <v>503</v>
      </c>
      <c r="D543" s="151">
        <v>82.91</v>
      </c>
      <c r="E543" s="151">
        <v>82.91</v>
      </c>
      <c r="F543" s="151">
        <v>82.91</v>
      </c>
      <c r="G543" s="151">
        <v>82.91</v>
      </c>
      <c r="H543" s="151">
        <v>82.91</v>
      </c>
      <c r="I543" s="151">
        <v>82.91</v>
      </c>
      <c r="J543" s="151">
        <v>82.91</v>
      </c>
    </row>
    <row r="544" spans="1:10" x14ac:dyDescent="0.25">
      <c r="C544" t="s">
        <v>504</v>
      </c>
      <c r="D544" s="157">
        <v>91.12</v>
      </c>
      <c r="E544" s="157">
        <v>81.37</v>
      </c>
      <c r="F544" s="157">
        <v>91.53</v>
      </c>
      <c r="G544" s="157">
        <v>83.23</v>
      </c>
      <c r="H544" s="157">
        <v>87.67</v>
      </c>
      <c r="I544" s="157" t="s">
        <v>165</v>
      </c>
      <c r="J544" s="157">
        <v>100</v>
      </c>
    </row>
    <row r="549" spans="1:1" x14ac:dyDescent="0.25">
      <c r="A549" t="s">
        <v>124</v>
      </c>
    </row>
    <row r="609" spans="1:7" x14ac:dyDescent="0.25">
      <c r="A609" t="s">
        <v>125</v>
      </c>
    </row>
    <row r="623" spans="1:7" ht="59.1" customHeight="1" x14ac:dyDescent="0.25">
      <c r="A623" t="s">
        <v>140</v>
      </c>
      <c r="D623" s="156" t="s">
        <v>323</v>
      </c>
      <c r="E623" s="156" t="s">
        <v>324</v>
      </c>
      <c r="F623" s="156" t="s">
        <v>325</v>
      </c>
      <c r="G623" s="156" t="s">
        <v>326</v>
      </c>
    </row>
    <row r="624" spans="1:7" ht="21.95" customHeight="1" x14ac:dyDescent="0.25">
      <c r="C624" s="144" t="s">
        <v>149</v>
      </c>
      <c r="D624" s="145">
        <v>92.06</v>
      </c>
      <c r="E624" s="145">
        <v>82.99</v>
      </c>
      <c r="F624" s="145">
        <v>73.010000000000005</v>
      </c>
      <c r="G624" s="145">
        <v>58.22</v>
      </c>
    </row>
    <row r="625" spans="1:7" ht="21.95" customHeight="1" x14ac:dyDescent="0.25">
      <c r="C625" s="147" t="s">
        <v>150</v>
      </c>
      <c r="D625" s="145">
        <v>87.65</v>
      </c>
      <c r="E625" s="145">
        <v>78.34</v>
      </c>
      <c r="F625" s="145">
        <v>69.09</v>
      </c>
      <c r="G625" s="145">
        <v>54.71</v>
      </c>
    </row>
    <row r="626" spans="1:7" ht="21.95" customHeight="1" x14ac:dyDescent="0.25">
      <c r="C626" s="148" t="s">
        <v>148</v>
      </c>
      <c r="D626" s="145">
        <v>83.2</v>
      </c>
      <c r="E626" s="145">
        <v>74.31</v>
      </c>
      <c r="F626" s="145">
        <v>66.7</v>
      </c>
      <c r="G626" s="145">
        <v>56.94</v>
      </c>
    </row>
    <row r="627" spans="1:7" ht="21.95" customHeight="1" x14ac:dyDescent="0.25">
      <c r="C627" s="149" t="s">
        <v>159</v>
      </c>
      <c r="D627" s="145">
        <v>87.6</v>
      </c>
      <c r="E627" s="145">
        <v>81.8</v>
      </c>
      <c r="F627" s="145">
        <v>71.7</v>
      </c>
      <c r="G627" s="145">
        <v>66.19</v>
      </c>
    </row>
    <row r="628" spans="1:7" ht="21.95" customHeight="1" x14ac:dyDescent="0.25">
      <c r="C628" s="150" t="s">
        <v>498</v>
      </c>
      <c r="D628" s="146">
        <v>90.98</v>
      </c>
      <c r="E628" s="146">
        <v>84.03</v>
      </c>
      <c r="F628" s="146">
        <v>75.88</v>
      </c>
      <c r="G628" s="146">
        <v>65.92</v>
      </c>
    </row>
    <row r="629" spans="1:7" x14ac:dyDescent="0.25">
      <c r="C629" t="s">
        <v>499</v>
      </c>
      <c r="D629" s="151">
        <v>88.39</v>
      </c>
      <c r="E629" s="151">
        <v>80.150000000000006</v>
      </c>
      <c r="F629" s="151">
        <v>71.099999999999994</v>
      </c>
      <c r="G629" s="151">
        <v>59.77</v>
      </c>
    </row>
    <row r="630" spans="1:7" x14ac:dyDescent="0.25">
      <c r="C630" t="s">
        <v>500</v>
      </c>
      <c r="D630" s="152">
        <v>2444</v>
      </c>
      <c r="E630" s="152">
        <v>1088</v>
      </c>
      <c r="F630" s="152">
        <v>501</v>
      </c>
      <c r="G630" s="152">
        <v>116</v>
      </c>
    </row>
    <row r="631" spans="1:7" x14ac:dyDescent="0.25">
      <c r="C631" t="s">
        <v>501</v>
      </c>
      <c r="D631" s="153">
        <v>84.86</v>
      </c>
      <c r="E631" s="153">
        <v>74.510000000000005</v>
      </c>
      <c r="F631" s="153">
        <v>66.599999999999994</v>
      </c>
      <c r="G631" s="153">
        <v>55.18</v>
      </c>
    </row>
    <row r="632" spans="1:7" x14ac:dyDescent="0.25">
      <c r="C632" t="s">
        <v>502</v>
      </c>
      <c r="D632" s="154">
        <v>2773</v>
      </c>
      <c r="E632" s="154">
        <v>1087</v>
      </c>
      <c r="F632" s="154">
        <v>595</v>
      </c>
      <c r="G632" s="154">
        <v>110</v>
      </c>
    </row>
    <row r="633" spans="1:7" x14ac:dyDescent="0.25">
      <c r="C633" t="s">
        <v>147</v>
      </c>
      <c r="D633" s="155" t="s">
        <v>323</v>
      </c>
      <c r="E633" s="155" t="s">
        <v>324</v>
      </c>
      <c r="F633" s="155" t="s">
        <v>325</v>
      </c>
      <c r="G633" s="155" t="s">
        <v>326</v>
      </c>
    </row>
    <row r="634" spans="1:7" x14ac:dyDescent="0.25">
      <c r="C634" t="s">
        <v>503</v>
      </c>
      <c r="D634" s="151">
        <v>82.91</v>
      </c>
      <c r="E634" s="151">
        <v>82.91</v>
      </c>
      <c r="F634" s="151">
        <v>82.91</v>
      </c>
      <c r="G634" s="151">
        <v>82.91</v>
      </c>
    </row>
    <row r="635" spans="1:7" x14ac:dyDescent="0.25">
      <c r="C635" t="s">
        <v>504</v>
      </c>
      <c r="D635" s="157">
        <v>89.51</v>
      </c>
      <c r="E635" s="157">
        <v>82.26</v>
      </c>
      <c r="F635" s="157">
        <v>70.599999999999994</v>
      </c>
      <c r="G635" s="157">
        <v>68.099999999999994</v>
      </c>
    </row>
    <row r="640" spans="1:7" x14ac:dyDescent="0.25">
      <c r="A640" t="s">
        <v>126</v>
      </c>
    </row>
    <row r="700" spans="1:1" x14ac:dyDescent="0.25">
      <c r="A700" t="s">
        <v>127</v>
      </c>
    </row>
    <row r="714" spans="1:8" ht="59.1" customHeight="1" x14ac:dyDescent="0.25">
      <c r="A714" t="s">
        <v>141</v>
      </c>
      <c r="D714" s="156" t="s">
        <v>327</v>
      </c>
      <c r="E714" s="156" t="s">
        <v>328</v>
      </c>
      <c r="F714" s="156" t="s">
        <v>329</v>
      </c>
      <c r="G714" s="156" t="s">
        <v>330</v>
      </c>
      <c r="H714" s="156" t="s">
        <v>331</v>
      </c>
    </row>
    <row r="715" spans="1:8" ht="21.95" customHeight="1" x14ac:dyDescent="0.25">
      <c r="C715" s="144" t="s">
        <v>149</v>
      </c>
      <c r="D715" s="145">
        <v>88.46</v>
      </c>
      <c r="E715" s="145">
        <v>81.81</v>
      </c>
      <c r="F715" s="145">
        <v>69.47</v>
      </c>
      <c r="G715" s="145">
        <v>90.75</v>
      </c>
      <c r="H715" s="145">
        <v>71.900000000000006</v>
      </c>
    </row>
    <row r="716" spans="1:8" ht="21.95" customHeight="1" x14ac:dyDescent="0.25">
      <c r="C716" s="147" t="s">
        <v>150</v>
      </c>
      <c r="D716" s="145">
        <v>84.45</v>
      </c>
      <c r="E716" s="145">
        <v>75.67</v>
      </c>
      <c r="F716" s="145">
        <v>62.34</v>
      </c>
      <c r="G716" s="145">
        <v>87.24</v>
      </c>
      <c r="H716" s="145">
        <v>66.099999999999994</v>
      </c>
    </row>
    <row r="717" spans="1:8" ht="21.95" customHeight="1" x14ac:dyDescent="0.25">
      <c r="C717" s="148" t="s">
        <v>148</v>
      </c>
      <c r="D717" s="145">
        <v>79.25</v>
      </c>
      <c r="E717" s="145">
        <v>73.47</v>
      </c>
      <c r="F717" s="145">
        <v>59.43</v>
      </c>
      <c r="G717" s="145">
        <v>82.97</v>
      </c>
      <c r="H717" s="145">
        <v>62.41</v>
      </c>
    </row>
    <row r="718" spans="1:8" ht="21.95" customHeight="1" x14ac:dyDescent="0.25">
      <c r="C718" s="149" t="s">
        <v>159</v>
      </c>
      <c r="D718" s="145">
        <v>84.85</v>
      </c>
      <c r="E718" s="145">
        <v>75.930000000000007</v>
      </c>
      <c r="F718" s="145">
        <v>67.13</v>
      </c>
      <c r="G718" s="145">
        <v>89.76</v>
      </c>
      <c r="H718" s="145">
        <v>66.989999999999995</v>
      </c>
    </row>
    <row r="719" spans="1:8" ht="21.95" customHeight="1" x14ac:dyDescent="0.25">
      <c r="C719" s="150" t="s">
        <v>498</v>
      </c>
      <c r="D719" s="146">
        <v>88.44</v>
      </c>
      <c r="E719" s="146">
        <v>81.05</v>
      </c>
      <c r="F719" s="146">
        <v>68.94</v>
      </c>
      <c r="G719" s="146">
        <v>91.63</v>
      </c>
      <c r="H719" s="146">
        <v>70.739999999999995</v>
      </c>
    </row>
    <row r="720" spans="1:8" x14ac:dyDescent="0.25">
      <c r="C720" t="s">
        <v>499</v>
      </c>
      <c r="D720" s="151">
        <v>85.13</v>
      </c>
      <c r="E720" s="151">
        <v>77.69</v>
      </c>
      <c r="F720" s="151">
        <v>65.31</v>
      </c>
      <c r="G720" s="151">
        <v>88.38</v>
      </c>
      <c r="H720" s="151">
        <v>67.58</v>
      </c>
    </row>
    <row r="721" spans="1:8" x14ac:dyDescent="0.25">
      <c r="C721" t="s">
        <v>500</v>
      </c>
      <c r="D721" s="152">
        <v>680</v>
      </c>
      <c r="E721" s="152">
        <v>940</v>
      </c>
      <c r="F721" s="152">
        <v>101</v>
      </c>
      <c r="G721" s="152">
        <v>1993</v>
      </c>
      <c r="H721" s="152">
        <v>218</v>
      </c>
    </row>
    <row r="722" spans="1:8" x14ac:dyDescent="0.25">
      <c r="C722" t="s">
        <v>501</v>
      </c>
      <c r="D722" s="153">
        <v>80.739999999999995</v>
      </c>
      <c r="E722" s="153">
        <v>74.11</v>
      </c>
      <c r="F722" s="153">
        <v>60.51</v>
      </c>
      <c r="G722" s="153">
        <v>85.59</v>
      </c>
      <c r="H722" s="153">
        <v>59.82</v>
      </c>
    </row>
    <row r="723" spans="1:8" x14ac:dyDescent="0.25">
      <c r="C723" t="s">
        <v>502</v>
      </c>
      <c r="D723" s="154">
        <v>764</v>
      </c>
      <c r="E723" s="154">
        <v>1235</v>
      </c>
      <c r="F723" s="154">
        <v>132</v>
      </c>
      <c r="G723" s="154">
        <v>2149</v>
      </c>
      <c r="H723" s="154">
        <v>297</v>
      </c>
    </row>
    <row r="724" spans="1:8" ht="33.75" x14ac:dyDescent="0.25">
      <c r="C724" t="s">
        <v>147</v>
      </c>
      <c r="D724" s="155" t="s">
        <v>327</v>
      </c>
      <c r="E724" s="155" t="s">
        <v>328</v>
      </c>
      <c r="F724" s="155" t="s">
        <v>329</v>
      </c>
      <c r="G724" s="155" t="s">
        <v>330</v>
      </c>
      <c r="H724" s="155" t="s">
        <v>331</v>
      </c>
    </row>
    <row r="725" spans="1:8" x14ac:dyDescent="0.25">
      <c r="C725" t="s">
        <v>503</v>
      </c>
      <c r="D725" s="151">
        <v>82.91</v>
      </c>
      <c r="E725" s="151">
        <v>82.91</v>
      </c>
      <c r="F725" s="151">
        <v>82.91</v>
      </c>
      <c r="G725" s="151">
        <v>82.91</v>
      </c>
      <c r="H725" s="151">
        <v>82.91</v>
      </c>
    </row>
    <row r="726" spans="1:8" x14ac:dyDescent="0.25">
      <c r="C726" t="s">
        <v>504</v>
      </c>
      <c r="D726" s="157">
        <v>87.3</v>
      </c>
      <c r="E726" s="157">
        <v>77.290000000000006</v>
      </c>
      <c r="F726" s="157">
        <v>65.349999999999994</v>
      </c>
      <c r="G726" s="157">
        <v>91.62</v>
      </c>
      <c r="H726" s="157">
        <v>61.47</v>
      </c>
    </row>
    <row r="731" spans="1:8" x14ac:dyDescent="0.25">
      <c r="A731" t="s">
        <v>128</v>
      </c>
    </row>
    <row r="791" spans="1:1" x14ac:dyDescent="0.25">
      <c r="A791" t="s">
        <v>129</v>
      </c>
    </row>
    <row r="805" spans="1:7" ht="59.1" customHeight="1" x14ac:dyDescent="0.25">
      <c r="A805" t="s">
        <v>142</v>
      </c>
      <c r="D805" s="156" t="s">
        <v>332</v>
      </c>
      <c r="E805" s="156" t="s">
        <v>324</v>
      </c>
      <c r="F805" s="156" t="s">
        <v>325</v>
      </c>
      <c r="G805" s="156" t="s">
        <v>326</v>
      </c>
    </row>
    <row r="806" spans="1:7" ht="21.95" customHeight="1" x14ac:dyDescent="0.25">
      <c r="C806" s="144" t="s">
        <v>149</v>
      </c>
      <c r="D806" s="145">
        <v>93.66</v>
      </c>
      <c r="E806" s="145">
        <v>88.03</v>
      </c>
      <c r="F806" s="145">
        <v>82.62</v>
      </c>
      <c r="G806" s="145">
        <v>65.010000000000005</v>
      </c>
    </row>
    <row r="807" spans="1:7" ht="21.95" customHeight="1" x14ac:dyDescent="0.25">
      <c r="C807" s="147" t="s">
        <v>150</v>
      </c>
      <c r="D807" s="145">
        <v>89.83</v>
      </c>
      <c r="E807" s="145">
        <v>83.54</v>
      </c>
      <c r="F807" s="145">
        <v>77.73</v>
      </c>
      <c r="G807" s="145">
        <v>61.02</v>
      </c>
    </row>
    <row r="808" spans="1:7" ht="21.95" customHeight="1" x14ac:dyDescent="0.25">
      <c r="C808" s="148" t="s">
        <v>148</v>
      </c>
      <c r="D808" s="145">
        <v>85.29</v>
      </c>
      <c r="E808" s="145">
        <v>79.36</v>
      </c>
      <c r="F808" s="145">
        <v>73.209999999999994</v>
      </c>
      <c r="G808" s="145">
        <v>61.49</v>
      </c>
    </row>
    <row r="809" spans="1:7" ht="21.95" customHeight="1" x14ac:dyDescent="0.25">
      <c r="C809" s="149" t="s">
        <v>159</v>
      </c>
      <c r="D809" s="145">
        <v>89.45</v>
      </c>
      <c r="E809" s="145">
        <v>84.49</v>
      </c>
      <c r="F809" s="145">
        <v>80.319999999999993</v>
      </c>
      <c r="G809" s="145">
        <v>67.36</v>
      </c>
    </row>
    <row r="810" spans="1:7" ht="21.95" customHeight="1" x14ac:dyDescent="0.25">
      <c r="C810" s="150" t="s">
        <v>498</v>
      </c>
      <c r="D810" s="146">
        <v>93.27</v>
      </c>
      <c r="E810" s="146">
        <v>88.22</v>
      </c>
      <c r="F810" s="146">
        <v>84</v>
      </c>
      <c r="G810" s="146">
        <v>70.72</v>
      </c>
    </row>
    <row r="811" spans="1:7" x14ac:dyDescent="0.25">
      <c r="C811" t="s">
        <v>499</v>
      </c>
      <c r="D811" s="151">
        <v>90.42</v>
      </c>
      <c r="E811" s="151">
        <v>84.77</v>
      </c>
      <c r="F811" s="151">
        <v>79.48</v>
      </c>
      <c r="G811" s="151">
        <v>64.67</v>
      </c>
    </row>
    <row r="812" spans="1:7" x14ac:dyDescent="0.25">
      <c r="C812" t="s">
        <v>500</v>
      </c>
      <c r="D812" s="152">
        <v>789</v>
      </c>
      <c r="E812" s="152">
        <v>283</v>
      </c>
      <c r="F812" s="152">
        <v>450</v>
      </c>
      <c r="G812" s="152">
        <v>317</v>
      </c>
    </row>
    <row r="813" spans="1:7" x14ac:dyDescent="0.25">
      <c r="C813" t="s">
        <v>501</v>
      </c>
      <c r="D813" s="153" t="s">
        <v>165</v>
      </c>
      <c r="E813" s="153" t="s">
        <v>165</v>
      </c>
      <c r="F813" s="153" t="s">
        <v>165</v>
      </c>
      <c r="G813" s="153" t="s">
        <v>165</v>
      </c>
    </row>
    <row r="814" spans="1:7" x14ac:dyDescent="0.25">
      <c r="C814" t="s">
        <v>502</v>
      </c>
      <c r="D814" s="154" t="s">
        <v>163</v>
      </c>
      <c r="E814" s="154" t="s">
        <v>163</v>
      </c>
      <c r="F814" s="154" t="s">
        <v>163</v>
      </c>
      <c r="G814" s="154" t="s">
        <v>163</v>
      </c>
    </row>
    <row r="815" spans="1:7" x14ac:dyDescent="0.25">
      <c r="C815" t="s">
        <v>147</v>
      </c>
      <c r="D815" s="155" t="s">
        <v>332</v>
      </c>
      <c r="E815" s="155" t="s">
        <v>324</v>
      </c>
      <c r="F815" s="155" t="s">
        <v>325</v>
      </c>
      <c r="G815" s="155" t="s">
        <v>326</v>
      </c>
    </row>
    <row r="816" spans="1:7" x14ac:dyDescent="0.25">
      <c r="C816" t="s">
        <v>503</v>
      </c>
      <c r="D816" s="151">
        <v>82.91</v>
      </c>
      <c r="E816" s="151">
        <v>82.91</v>
      </c>
      <c r="F816" s="151">
        <v>82.91</v>
      </c>
      <c r="G816" s="151">
        <v>82.91</v>
      </c>
    </row>
    <row r="817" spans="3:7" x14ac:dyDescent="0.25">
      <c r="C817" t="s">
        <v>504</v>
      </c>
      <c r="D817" s="157">
        <v>93.54</v>
      </c>
      <c r="E817" s="157">
        <v>87.99</v>
      </c>
      <c r="F817" s="157">
        <v>81.739999999999995</v>
      </c>
      <c r="G817" s="157">
        <v>63.29</v>
      </c>
    </row>
  </sheetData>
  <conditionalFormatting sqref="D76:H80">
    <cfRule type="cellIs" dxfId="38" priority="37" stopIfTrue="1" operator="lessThanOrEqual">
      <formula>44.49</formula>
    </cfRule>
    <cfRule type="cellIs" dxfId="37" priority="38" stopIfTrue="1" operator="greaterThanOrEqual">
      <formula>85.5</formula>
    </cfRule>
    <cfRule type="cellIs" dxfId="36" priority="39" stopIfTrue="1" operator="between">
      <formula>44.5</formula>
      <formula>60.49</formula>
    </cfRule>
  </conditionalFormatting>
  <conditionalFormatting sqref="D167:D171">
    <cfRule type="cellIs" dxfId="35" priority="34" stopIfTrue="1" operator="lessThanOrEqual">
      <formula>44.49</formula>
    </cfRule>
    <cfRule type="cellIs" dxfId="34" priority="35" stopIfTrue="1" operator="greaterThanOrEqual">
      <formula>85.5</formula>
    </cfRule>
    <cfRule type="cellIs" dxfId="33" priority="36" stopIfTrue="1" operator="between">
      <formula>44.5</formula>
      <formula>60.49</formula>
    </cfRule>
  </conditionalFormatting>
  <conditionalFormatting sqref="E167:E171">
    <cfRule type="cellIs" dxfId="32" priority="31" stopIfTrue="1" operator="lessThanOrEqual">
      <formula>44.49</formula>
    </cfRule>
    <cfRule type="cellIs" dxfId="31" priority="32" stopIfTrue="1" operator="greaterThanOrEqual">
      <formula>85.5</formula>
    </cfRule>
    <cfRule type="cellIs" dxfId="30" priority="33" stopIfTrue="1" operator="between">
      <formula>44.5</formula>
      <formula>60.49</formula>
    </cfRule>
  </conditionalFormatting>
  <conditionalFormatting sqref="D258:D262">
    <cfRule type="cellIs" dxfId="29" priority="28" stopIfTrue="1" operator="lessThanOrEqual">
      <formula>44.49</formula>
    </cfRule>
    <cfRule type="cellIs" dxfId="28" priority="29" stopIfTrue="1" operator="greaterThanOrEqual">
      <formula>85.5</formula>
    </cfRule>
    <cfRule type="cellIs" dxfId="27" priority="30" stopIfTrue="1" operator="between">
      <formula>44.5</formula>
      <formula>60.49</formula>
    </cfRule>
  </conditionalFormatting>
  <conditionalFormatting sqref="E258:H262">
    <cfRule type="cellIs" dxfId="26" priority="25" stopIfTrue="1" operator="lessThanOrEqual">
      <formula>44.49</formula>
    </cfRule>
    <cfRule type="cellIs" dxfId="25" priority="26" stopIfTrue="1" operator="greaterThanOrEqual">
      <formula>85.5</formula>
    </cfRule>
    <cfRule type="cellIs" dxfId="24" priority="27" stopIfTrue="1" operator="between">
      <formula>44.5</formula>
      <formula>60.49</formula>
    </cfRule>
  </conditionalFormatting>
  <conditionalFormatting sqref="D319:H323">
    <cfRule type="cellIs" dxfId="23" priority="22" stopIfTrue="1" operator="lessThanOrEqual">
      <formula>44.49</formula>
    </cfRule>
    <cfRule type="cellIs" dxfId="22" priority="23" stopIfTrue="1" operator="greaterThanOrEqual">
      <formula>85.5</formula>
    </cfRule>
    <cfRule type="cellIs" dxfId="21" priority="24" stopIfTrue="1" operator="between">
      <formula>44.5</formula>
      <formula>60.49</formula>
    </cfRule>
  </conditionalFormatting>
  <conditionalFormatting sqref="D350:H354">
    <cfRule type="cellIs" dxfId="20" priority="19" stopIfTrue="1" operator="lessThanOrEqual">
      <formula>44.49</formula>
    </cfRule>
    <cfRule type="cellIs" dxfId="19" priority="20" stopIfTrue="1" operator="greaterThanOrEqual">
      <formula>85.5</formula>
    </cfRule>
    <cfRule type="cellIs" dxfId="18" priority="21" stopIfTrue="1" operator="between">
      <formula>44.5</formula>
      <formula>60.49</formula>
    </cfRule>
  </conditionalFormatting>
  <conditionalFormatting sqref="D441:I445">
    <cfRule type="cellIs" dxfId="17" priority="16" stopIfTrue="1" operator="lessThanOrEqual">
      <formula>44.49</formula>
    </cfRule>
    <cfRule type="cellIs" dxfId="16" priority="17" stopIfTrue="1" operator="greaterThanOrEqual">
      <formula>85.5</formula>
    </cfRule>
    <cfRule type="cellIs" dxfId="15" priority="18" stopIfTrue="1" operator="between">
      <formula>44.5</formula>
      <formula>60.49</formula>
    </cfRule>
  </conditionalFormatting>
  <conditionalFormatting sqref="D502:J506">
    <cfRule type="cellIs" dxfId="14" priority="13" stopIfTrue="1" operator="lessThanOrEqual">
      <formula>44.49</formula>
    </cfRule>
    <cfRule type="cellIs" dxfId="13" priority="14" stopIfTrue="1" operator="greaterThanOrEqual">
      <formula>85.5</formula>
    </cfRule>
    <cfRule type="cellIs" dxfId="12" priority="15" stopIfTrue="1" operator="between">
      <formula>44.5</formula>
      <formula>60.49</formula>
    </cfRule>
  </conditionalFormatting>
  <conditionalFormatting sqref="D533:H537 J533:J537">
    <cfRule type="cellIs" dxfId="11" priority="10" stopIfTrue="1" operator="lessThanOrEqual">
      <formula>44.49</formula>
    </cfRule>
    <cfRule type="cellIs" dxfId="10" priority="11" stopIfTrue="1" operator="greaterThanOrEqual">
      <formula>85.5</formula>
    </cfRule>
    <cfRule type="cellIs" dxfId="9" priority="12" stopIfTrue="1" operator="between">
      <formula>44.5</formula>
      <formula>60.49</formula>
    </cfRule>
  </conditionalFormatting>
  <conditionalFormatting sqref="D624:G628">
    <cfRule type="cellIs" dxfId="8" priority="7" stopIfTrue="1" operator="lessThanOrEqual">
      <formula>44.49</formula>
    </cfRule>
    <cfRule type="cellIs" dxfId="7" priority="8" stopIfTrue="1" operator="greaterThanOrEqual">
      <formula>85.5</formula>
    </cfRule>
    <cfRule type="cellIs" dxfId="6" priority="9" stopIfTrue="1" operator="between">
      <formula>44.5</formula>
      <formula>60.49</formula>
    </cfRule>
  </conditionalFormatting>
  <conditionalFormatting sqref="D715:H719">
    <cfRule type="cellIs" dxfId="5" priority="4" stopIfTrue="1" operator="lessThanOrEqual">
      <formula>44.49</formula>
    </cfRule>
    <cfRule type="cellIs" dxfId="4" priority="5" stopIfTrue="1" operator="greaterThanOrEqual">
      <formula>85.5</formula>
    </cfRule>
    <cfRule type="cellIs" dxfId="3" priority="6" stopIfTrue="1" operator="between">
      <formula>44.5</formula>
      <formula>60.49</formula>
    </cfRule>
  </conditionalFormatting>
  <conditionalFormatting sqref="D806:G810">
    <cfRule type="cellIs" dxfId="2" priority="1" stopIfTrue="1" operator="lessThanOrEqual">
      <formula>44.49</formula>
    </cfRule>
    <cfRule type="cellIs" dxfId="1" priority="2" stopIfTrue="1" operator="greaterThanOrEqual">
      <formula>85.5</formula>
    </cfRule>
    <cfRule type="cellIs" dxfId="0" priority="3" stopIfTrue="1" operator="between">
      <formula>44.5</formula>
      <formula>60.49</formula>
    </cfRule>
  </conditionalFormatting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6"/>
  <dimension ref="A1:BJ505"/>
  <sheetViews>
    <sheetView showGridLines="0" topLeftCell="B235" workbookViewId="0">
      <selection activeCell="AP495" sqref="AP495:AV505"/>
    </sheetView>
  </sheetViews>
  <sheetFormatPr baseColWidth="10" defaultRowHeight="15" x14ac:dyDescent="0.25"/>
  <cols>
    <col min="1" max="1" width="19.7109375" bestFit="1" customWidth="1"/>
    <col min="18" max="18" width="34.42578125" customWidth="1"/>
    <col min="19" max="19" width="13.85546875" customWidth="1"/>
    <col min="20" max="20" width="38.7109375" style="12" customWidth="1"/>
    <col min="21" max="26" width="15.28515625" style="108" customWidth="1"/>
    <col min="27" max="27" width="9.28515625" customWidth="1"/>
    <col min="28" max="28" width="25.42578125" customWidth="1"/>
    <col min="29" max="29" width="3.85546875" customWidth="1"/>
    <col min="30" max="30" width="97.7109375" customWidth="1"/>
    <col min="31" max="34" width="8.5703125" customWidth="1"/>
    <col min="37" max="37" width="3.85546875" customWidth="1"/>
    <col min="38" max="38" width="97.7109375" customWidth="1"/>
    <col min="39" max="40" width="8.5703125" customWidth="1"/>
    <col min="42" max="42" width="8" customWidth="1"/>
    <col min="43" max="43" width="9.28515625" customWidth="1"/>
    <col min="44" max="44" width="25.42578125" customWidth="1"/>
    <col min="45" max="45" width="3.85546875" customWidth="1"/>
    <col min="46" max="46" width="97.7109375" customWidth="1"/>
    <col min="47" max="48" width="8.5703125" customWidth="1"/>
    <col min="53" max="53" width="27.42578125" bestFit="1" customWidth="1"/>
    <col min="54" max="54" width="7" customWidth="1"/>
    <col min="55" max="55" width="8" customWidth="1"/>
    <col min="56" max="58" width="7" customWidth="1"/>
    <col min="59" max="61" width="7.42578125" customWidth="1"/>
    <col min="62" max="62" width="7" customWidth="1"/>
  </cols>
  <sheetData>
    <row r="1" spans="1:62" ht="37.5" customHeight="1" x14ac:dyDescent="0.25">
      <c r="A1" t="s">
        <v>134</v>
      </c>
      <c r="BA1" s="79" t="s">
        <v>391</v>
      </c>
      <c r="BB1" s="79">
        <v>2007</v>
      </c>
      <c r="BC1" s="79">
        <v>2008</v>
      </c>
      <c r="BD1" s="79">
        <v>2009</v>
      </c>
      <c r="BE1" s="79">
        <v>2010</v>
      </c>
      <c r="BF1" s="79">
        <v>2011</v>
      </c>
      <c r="BG1" s="79">
        <v>2012</v>
      </c>
      <c r="BH1" s="79">
        <v>2013</v>
      </c>
      <c r="BI1" s="79">
        <v>2014</v>
      </c>
      <c r="BJ1" s="79">
        <v>2015</v>
      </c>
    </row>
    <row r="2" spans="1:62" ht="27" customHeight="1" thickBot="1" x14ac:dyDescent="0.3">
      <c r="BA2" s="86" t="s">
        <v>395</v>
      </c>
      <c r="BB2" s="86">
        <v>376</v>
      </c>
      <c r="BC2" s="86">
        <v>387</v>
      </c>
      <c r="BD2" s="86">
        <v>532</v>
      </c>
      <c r="BE2" s="86">
        <v>581</v>
      </c>
      <c r="BF2" s="86">
        <v>676</v>
      </c>
      <c r="BG2" s="86">
        <v>704</v>
      </c>
      <c r="BH2" s="86">
        <v>711</v>
      </c>
      <c r="BI2" s="86">
        <v>669</v>
      </c>
      <c r="BJ2" s="86">
        <v>664</v>
      </c>
    </row>
    <row r="3" spans="1:62" ht="27" customHeight="1" thickTop="1" thickBot="1" x14ac:dyDescent="0.3">
      <c r="BA3" s="86" t="s">
        <v>162</v>
      </c>
      <c r="BB3" s="86">
        <v>336</v>
      </c>
      <c r="BC3" s="86">
        <v>364</v>
      </c>
      <c r="BD3" s="86">
        <v>491</v>
      </c>
      <c r="BE3" s="86">
        <v>448</v>
      </c>
      <c r="BF3" s="86">
        <v>560</v>
      </c>
      <c r="BG3" s="86">
        <v>594</v>
      </c>
      <c r="BH3" s="86">
        <v>610</v>
      </c>
      <c r="BI3" s="86">
        <v>580</v>
      </c>
      <c r="BJ3" s="86">
        <v>600</v>
      </c>
    </row>
    <row r="4" spans="1:62" ht="27" customHeight="1" thickTop="1" thickBot="1" x14ac:dyDescent="0.3">
      <c r="BA4" s="86" t="s">
        <v>399</v>
      </c>
      <c r="BB4" s="87">
        <v>0.9</v>
      </c>
      <c r="BC4" s="88">
        <v>0.94099999999999995</v>
      </c>
      <c r="BD4" s="87">
        <v>0.92</v>
      </c>
      <c r="BE4" s="87">
        <v>0.77</v>
      </c>
      <c r="BF4" s="87">
        <v>0.83</v>
      </c>
      <c r="BG4" s="87">
        <v>0.84</v>
      </c>
      <c r="BH4" s="87">
        <v>0.86</v>
      </c>
      <c r="BI4" s="87">
        <v>0.87</v>
      </c>
      <c r="BJ4" s="87">
        <v>0.9</v>
      </c>
    </row>
    <row r="5" spans="1:62" ht="27" customHeight="1" thickTop="1" thickBot="1" x14ac:dyDescent="0.3">
      <c r="BA5" s="86" t="s">
        <v>401</v>
      </c>
      <c r="BB5" s="88">
        <v>1.6400000000000001E-2</v>
      </c>
      <c r="BC5" s="88">
        <v>1.2500000000000001E-2</v>
      </c>
      <c r="BD5" s="88">
        <v>1.23E-2</v>
      </c>
      <c r="BE5" s="88">
        <v>2.2200000000000001E-2</v>
      </c>
      <c r="BF5" s="88">
        <v>1.72E-2</v>
      </c>
      <c r="BG5" s="88">
        <v>1.5900000000000001E-2</v>
      </c>
      <c r="BH5" s="88">
        <v>1.4999999999999999E-2</v>
      </c>
      <c r="BI5" s="88">
        <v>1.4800000000000001E-2</v>
      </c>
      <c r="BJ5" s="88">
        <v>1.24E-2</v>
      </c>
    </row>
    <row r="6" spans="1:62" ht="27" customHeight="1" thickTop="1" thickBot="1" x14ac:dyDescent="0.3">
      <c r="BA6" s="86" t="s">
        <v>404</v>
      </c>
      <c r="BB6" s="89">
        <v>42915</v>
      </c>
      <c r="BC6" s="89">
        <v>42915</v>
      </c>
      <c r="BD6" s="89">
        <v>42918</v>
      </c>
      <c r="BE6" s="89">
        <v>42920</v>
      </c>
      <c r="BF6" s="89">
        <v>42926</v>
      </c>
      <c r="BG6" s="89">
        <v>42951</v>
      </c>
      <c r="BH6" s="89">
        <v>42951</v>
      </c>
      <c r="BI6" s="89">
        <v>42967</v>
      </c>
      <c r="BJ6" s="89">
        <v>42906</v>
      </c>
    </row>
    <row r="7" spans="1:62" ht="27" customHeight="1" thickTop="1" thickBot="1" x14ac:dyDescent="0.3">
      <c r="BA7" s="86" t="s">
        <v>406</v>
      </c>
      <c r="BB7" s="86" t="s">
        <v>407</v>
      </c>
      <c r="BC7" s="86" t="s">
        <v>407</v>
      </c>
      <c r="BD7" s="86" t="s">
        <v>407</v>
      </c>
      <c r="BE7" s="86" t="s">
        <v>407</v>
      </c>
      <c r="BF7" s="86" t="s">
        <v>407</v>
      </c>
      <c r="BG7" s="86" t="s">
        <v>407</v>
      </c>
      <c r="BH7" s="86" t="s">
        <v>407</v>
      </c>
      <c r="BI7" s="86" t="s">
        <v>407</v>
      </c>
      <c r="BJ7" s="86" t="s">
        <v>407</v>
      </c>
    </row>
    <row r="8" spans="1:62" ht="15.75" thickTop="1" x14ac:dyDescent="0.25"/>
    <row r="27" spans="1:1" x14ac:dyDescent="0.25">
      <c r="A27" t="s">
        <v>74</v>
      </c>
    </row>
    <row r="53" spans="1:1" x14ac:dyDescent="0.25">
      <c r="A53" t="s">
        <v>88</v>
      </c>
    </row>
    <row r="80" spans="1:1" x14ac:dyDescent="0.25">
      <c r="A80" t="s">
        <v>75</v>
      </c>
    </row>
    <row r="107" spans="1:1" x14ac:dyDescent="0.25">
      <c r="A107" t="s">
        <v>89</v>
      </c>
    </row>
    <row r="133" spans="1:1" x14ac:dyDescent="0.25">
      <c r="A133" t="s">
        <v>489</v>
      </c>
    </row>
    <row r="160" spans="1:1" x14ac:dyDescent="0.25">
      <c r="A160" t="s">
        <v>490</v>
      </c>
    </row>
    <row r="187" spans="1:1" x14ac:dyDescent="0.25">
      <c r="A187" t="s">
        <v>491</v>
      </c>
    </row>
    <row r="213" spans="1:1" x14ac:dyDescent="0.25">
      <c r="A213" t="s">
        <v>492</v>
      </c>
    </row>
    <row r="240" spans="1:1" x14ac:dyDescent="0.25">
      <c r="A240" t="s">
        <v>493</v>
      </c>
    </row>
    <row r="266" spans="1:34" ht="15.75" thickBot="1" x14ac:dyDescent="0.3"/>
    <row r="267" spans="1:34" ht="37.5" customHeight="1" thickBot="1" x14ac:dyDescent="0.3">
      <c r="A267" t="s">
        <v>81</v>
      </c>
      <c r="AA267" s="206" t="s">
        <v>375</v>
      </c>
      <c r="AB267" s="206"/>
      <c r="AC267" s="138" t="s">
        <v>381</v>
      </c>
      <c r="AD267" s="138" t="s">
        <v>382</v>
      </c>
      <c r="AE267" s="138">
        <v>2016</v>
      </c>
      <c r="AF267" s="138">
        <v>2016</v>
      </c>
      <c r="AG267" s="138" t="s">
        <v>376</v>
      </c>
      <c r="AH267" s="138" t="s">
        <v>377</v>
      </c>
    </row>
    <row r="268" spans="1:34" ht="27" customHeight="1" x14ac:dyDescent="0.25">
      <c r="AA268" s="279" t="s">
        <v>11</v>
      </c>
      <c r="AB268" s="280" t="s">
        <v>393</v>
      </c>
      <c r="AC268" s="80">
        <v>1</v>
      </c>
      <c r="AD268" s="81" t="s">
        <v>394</v>
      </c>
      <c r="AE268" s="82">
        <v>85.48</v>
      </c>
      <c r="AF268" s="83">
        <v>94.52</v>
      </c>
      <c r="AG268" s="82">
        <v>71.930000000000007</v>
      </c>
      <c r="AH268" s="82">
        <v>83.65</v>
      </c>
    </row>
    <row r="269" spans="1:34" ht="27" customHeight="1" x14ac:dyDescent="0.25">
      <c r="AA269" s="269"/>
      <c r="AB269" s="273"/>
      <c r="AC269" s="80">
        <v>2</v>
      </c>
      <c r="AD269" s="81" t="s">
        <v>396</v>
      </c>
      <c r="AE269" s="82">
        <v>84.05</v>
      </c>
      <c r="AF269" s="83">
        <v>94.08</v>
      </c>
      <c r="AG269" s="82">
        <v>72.400000000000006</v>
      </c>
      <c r="AH269" s="82">
        <v>83.46</v>
      </c>
    </row>
    <row r="270" spans="1:34" ht="27" customHeight="1" x14ac:dyDescent="0.25">
      <c r="AA270" s="269"/>
      <c r="AB270" s="271" t="s">
        <v>397</v>
      </c>
      <c r="AC270" s="80">
        <v>3</v>
      </c>
      <c r="AD270" s="81" t="s">
        <v>398</v>
      </c>
      <c r="AE270" s="83">
        <v>87.08</v>
      </c>
      <c r="AF270" s="83">
        <v>96.28</v>
      </c>
      <c r="AG270" s="82">
        <v>81.36</v>
      </c>
      <c r="AH270" s="83">
        <v>89.14</v>
      </c>
    </row>
    <row r="271" spans="1:34" ht="27" customHeight="1" x14ac:dyDescent="0.25">
      <c r="AA271" s="270"/>
      <c r="AB271" s="273"/>
      <c r="AC271" s="80">
        <v>4</v>
      </c>
      <c r="AD271" s="81" t="s">
        <v>400</v>
      </c>
      <c r="AE271" s="83">
        <v>89.51</v>
      </c>
      <c r="AF271" s="83">
        <v>96.06</v>
      </c>
      <c r="AG271" s="82">
        <v>84.9</v>
      </c>
      <c r="AH271" s="83">
        <v>91.89</v>
      </c>
    </row>
    <row r="272" spans="1:34" ht="27" customHeight="1" x14ac:dyDescent="0.25">
      <c r="AA272" s="268" t="s">
        <v>12</v>
      </c>
      <c r="AB272" s="271" t="s">
        <v>402</v>
      </c>
      <c r="AC272" s="80">
        <v>5</v>
      </c>
      <c r="AD272" s="81" t="s">
        <v>403</v>
      </c>
      <c r="AE272" s="83">
        <v>89.01</v>
      </c>
      <c r="AF272" s="83">
        <v>96.06</v>
      </c>
      <c r="AG272" s="82">
        <v>82.09</v>
      </c>
      <c r="AH272" s="83">
        <v>92.38</v>
      </c>
    </row>
    <row r="273" spans="27:34" ht="27" customHeight="1" x14ac:dyDescent="0.25">
      <c r="AA273" s="269"/>
      <c r="AB273" s="272"/>
      <c r="AC273" s="80">
        <v>6</v>
      </c>
      <c r="AD273" s="81" t="s">
        <v>405</v>
      </c>
      <c r="AE273" s="82">
        <v>84.34</v>
      </c>
      <c r="AF273" s="83">
        <v>94.53</v>
      </c>
      <c r="AG273" s="82">
        <v>78.010000000000005</v>
      </c>
      <c r="AH273" s="83">
        <v>90.85</v>
      </c>
    </row>
    <row r="274" spans="27:34" ht="27" customHeight="1" x14ac:dyDescent="0.25">
      <c r="AA274" s="269"/>
      <c r="AB274" s="273"/>
      <c r="AC274" s="80">
        <v>7</v>
      </c>
      <c r="AD274" s="81" t="s">
        <v>408</v>
      </c>
      <c r="AE274" s="82">
        <v>76.25</v>
      </c>
      <c r="AF274" s="83">
        <v>90.57</v>
      </c>
      <c r="AG274" s="82">
        <v>68.849999999999994</v>
      </c>
      <c r="AH274" s="82">
        <v>81.239999999999995</v>
      </c>
    </row>
    <row r="275" spans="27:34" ht="27" customHeight="1" x14ac:dyDescent="0.25">
      <c r="AA275" s="269"/>
      <c r="AB275" s="271" t="s">
        <v>409</v>
      </c>
      <c r="AC275" s="80">
        <v>8</v>
      </c>
      <c r="AD275" s="81" t="s">
        <v>410</v>
      </c>
      <c r="AE275" s="83">
        <v>87.18</v>
      </c>
      <c r="AF275" s="83">
        <v>95.4</v>
      </c>
      <c r="AG275" s="82">
        <v>82.88</v>
      </c>
      <c r="AH275" s="83">
        <v>90.08</v>
      </c>
    </row>
    <row r="276" spans="27:34" ht="27" customHeight="1" x14ac:dyDescent="0.25">
      <c r="AA276" s="269"/>
      <c r="AB276" s="273"/>
      <c r="AC276" s="80">
        <v>9</v>
      </c>
      <c r="AD276" s="81" t="s">
        <v>411</v>
      </c>
      <c r="AE276" s="83">
        <v>89.17</v>
      </c>
      <c r="AF276" s="83">
        <v>97.37</v>
      </c>
      <c r="AG276" s="83">
        <v>86.01</v>
      </c>
      <c r="AH276" s="83">
        <v>95.21</v>
      </c>
    </row>
    <row r="277" spans="27:34" ht="27" customHeight="1" x14ac:dyDescent="0.25">
      <c r="AA277" s="270"/>
      <c r="AB277" s="139" t="s">
        <v>412</v>
      </c>
      <c r="AC277" s="80">
        <v>10</v>
      </c>
      <c r="AD277" s="81" t="s">
        <v>413</v>
      </c>
      <c r="AE277" s="83">
        <v>88.56</v>
      </c>
      <c r="AF277" s="83">
        <v>95.38</v>
      </c>
      <c r="AG277" s="82">
        <v>77.41</v>
      </c>
      <c r="AH277" s="83">
        <v>87.68</v>
      </c>
    </row>
    <row r="278" spans="27:34" ht="27" customHeight="1" x14ac:dyDescent="0.25">
      <c r="AA278" s="268" t="s">
        <v>13</v>
      </c>
      <c r="AB278" s="271" t="s">
        <v>414</v>
      </c>
      <c r="AC278" s="80">
        <v>11</v>
      </c>
      <c r="AD278" s="81" t="s">
        <v>415</v>
      </c>
      <c r="AE278" s="82">
        <v>82.4</v>
      </c>
      <c r="AF278" s="83">
        <v>92.11</v>
      </c>
      <c r="AG278" s="82">
        <v>74.319999999999993</v>
      </c>
      <c r="AH278" s="83">
        <v>87.25</v>
      </c>
    </row>
    <row r="279" spans="27:34" ht="27" customHeight="1" x14ac:dyDescent="0.25">
      <c r="AA279" s="269"/>
      <c r="AB279" s="272"/>
      <c r="AC279" s="80">
        <v>12</v>
      </c>
      <c r="AD279" s="81" t="s">
        <v>416</v>
      </c>
      <c r="AE279" s="82">
        <v>82.42</v>
      </c>
      <c r="AF279" s="83">
        <v>91.67</v>
      </c>
      <c r="AG279" s="82">
        <v>74.2</v>
      </c>
      <c r="AH279" s="82">
        <v>85.16</v>
      </c>
    </row>
    <row r="280" spans="27:34" ht="27" customHeight="1" x14ac:dyDescent="0.25">
      <c r="AA280" s="269"/>
      <c r="AB280" s="273"/>
      <c r="AC280" s="80">
        <v>13</v>
      </c>
      <c r="AD280" s="81" t="s">
        <v>417</v>
      </c>
      <c r="AE280" s="82">
        <v>85.31</v>
      </c>
      <c r="AF280" s="83">
        <v>97.37</v>
      </c>
      <c r="AG280" s="82">
        <v>81.02</v>
      </c>
      <c r="AH280" s="82">
        <v>85.17</v>
      </c>
    </row>
    <row r="281" spans="27:34" ht="27" customHeight="1" thickBot="1" x14ac:dyDescent="0.3">
      <c r="AA281" s="281"/>
      <c r="AB281" s="139" t="s">
        <v>418</v>
      </c>
      <c r="AC281" s="80">
        <v>14</v>
      </c>
      <c r="AD281" s="81" t="s">
        <v>419</v>
      </c>
      <c r="AE281" s="83">
        <v>92.33</v>
      </c>
      <c r="AF281" s="83">
        <v>96.93</v>
      </c>
      <c r="AG281" s="83">
        <v>86.87</v>
      </c>
      <c r="AH281" s="83">
        <v>94.91</v>
      </c>
    </row>
    <row r="292" spans="1:34" ht="15.75" thickBot="1" x14ac:dyDescent="0.3"/>
    <row r="293" spans="1:34" ht="37.5" customHeight="1" thickBot="1" x14ac:dyDescent="0.3">
      <c r="A293" t="s">
        <v>82</v>
      </c>
      <c r="AA293" s="206" t="s">
        <v>375</v>
      </c>
      <c r="AB293" s="206"/>
      <c r="AC293" s="138" t="s">
        <v>381</v>
      </c>
      <c r="AD293" s="138" t="s">
        <v>382</v>
      </c>
      <c r="AE293" s="138">
        <v>2016</v>
      </c>
      <c r="AF293" s="138">
        <v>2016</v>
      </c>
      <c r="AG293" s="138" t="s">
        <v>376</v>
      </c>
      <c r="AH293" s="138" t="s">
        <v>377</v>
      </c>
    </row>
    <row r="294" spans="1:34" ht="27" customHeight="1" x14ac:dyDescent="0.25">
      <c r="AA294" s="274" t="s">
        <v>14</v>
      </c>
      <c r="AB294" s="275" t="s">
        <v>421</v>
      </c>
      <c r="AC294" s="80">
        <v>15</v>
      </c>
      <c r="AD294" s="81" t="s">
        <v>422</v>
      </c>
      <c r="AE294" s="82">
        <v>79.709999999999994</v>
      </c>
      <c r="AF294" s="83">
        <v>94.29</v>
      </c>
      <c r="AG294" s="82">
        <v>73.25</v>
      </c>
      <c r="AH294" s="83">
        <v>87.27</v>
      </c>
    </row>
    <row r="295" spans="1:34" ht="27" customHeight="1" x14ac:dyDescent="0.25">
      <c r="AA295" s="264"/>
      <c r="AB295" s="258"/>
      <c r="AC295" s="80">
        <v>16</v>
      </c>
      <c r="AD295" s="81" t="s">
        <v>423</v>
      </c>
      <c r="AE295" s="82">
        <v>83.11</v>
      </c>
      <c r="AF295" s="83">
        <v>98.25</v>
      </c>
      <c r="AG295" s="82">
        <v>82.08</v>
      </c>
      <c r="AH295" s="83">
        <v>88.76</v>
      </c>
    </row>
    <row r="296" spans="1:34" ht="27" customHeight="1" x14ac:dyDescent="0.25">
      <c r="AA296" s="264"/>
      <c r="AB296" s="257" t="s">
        <v>424</v>
      </c>
      <c r="AC296" s="80">
        <v>17</v>
      </c>
      <c r="AD296" s="81" t="s">
        <v>425</v>
      </c>
      <c r="AE296" s="82">
        <v>79.77</v>
      </c>
      <c r="AF296" s="83">
        <v>90.81</v>
      </c>
      <c r="AG296" s="82">
        <v>70.37</v>
      </c>
      <c r="AH296" s="82">
        <v>83.54</v>
      </c>
    </row>
    <row r="297" spans="1:34" ht="27" customHeight="1" x14ac:dyDescent="0.25">
      <c r="AA297" s="256"/>
      <c r="AB297" s="258"/>
      <c r="AC297" s="80">
        <v>18</v>
      </c>
      <c r="AD297" s="81" t="s">
        <v>426</v>
      </c>
      <c r="AE297" s="83">
        <v>85.53</v>
      </c>
      <c r="AF297" s="83">
        <v>94.09</v>
      </c>
      <c r="AG297" s="82">
        <v>80.94</v>
      </c>
      <c r="AH297" s="83">
        <v>88.42</v>
      </c>
    </row>
    <row r="298" spans="1:34" ht="27" customHeight="1" x14ac:dyDescent="0.25">
      <c r="AA298" s="255" t="s">
        <v>15</v>
      </c>
      <c r="AB298" s="257" t="s">
        <v>427</v>
      </c>
      <c r="AC298" s="80">
        <v>19</v>
      </c>
      <c r="AD298" s="81" t="s">
        <v>428</v>
      </c>
      <c r="AE298" s="82">
        <v>83.52</v>
      </c>
      <c r="AF298" s="83">
        <v>93.22</v>
      </c>
      <c r="AG298" s="82">
        <v>76.94</v>
      </c>
      <c r="AH298" s="83">
        <v>88.49</v>
      </c>
    </row>
    <row r="299" spans="1:34" ht="27" customHeight="1" x14ac:dyDescent="0.25">
      <c r="AA299" s="256"/>
      <c r="AB299" s="258"/>
      <c r="AC299" s="80">
        <v>20</v>
      </c>
      <c r="AD299" s="81" t="s">
        <v>429</v>
      </c>
      <c r="AE299" s="82">
        <v>79.17</v>
      </c>
      <c r="AF299" s="83">
        <v>91.89</v>
      </c>
      <c r="AG299" s="82">
        <v>69.31</v>
      </c>
      <c r="AH299" s="82">
        <v>83.64</v>
      </c>
    </row>
    <row r="300" spans="1:34" ht="27" customHeight="1" x14ac:dyDescent="0.25">
      <c r="AA300" s="255" t="s">
        <v>16</v>
      </c>
      <c r="AB300" s="257" t="s">
        <v>430</v>
      </c>
      <c r="AC300" s="80">
        <v>21</v>
      </c>
      <c r="AD300" s="81" t="s">
        <v>431</v>
      </c>
      <c r="AE300" s="83">
        <v>91.17</v>
      </c>
      <c r="AF300" s="83">
        <v>98.02</v>
      </c>
      <c r="AG300" s="83">
        <v>89.53</v>
      </c>
      <c r="AH300" s="83">
        <v>95.8</v>
      </c>
    </row>
    <row r="301" spans="1:34" ht="27" customHeight="1" x14ac:dyDescent="0.25">
      <c r="AA301" s="264"/>
      <c r="AB301" s="266"/>
      <c r="AC301" s="80">
        <v>22</v>
      </c>
      <c r="AD301" s="81" t="s">
        <v>432</v>
      </c>
      <c r="AE301" s="82">
        <v>69.52</v>
      </c>
      <c r="AF301" s="83">
        <v>94.3</v>
      </c>
      <c r="AG301" s="82">
        <v>76.599999999999994</v>
      </c>
      <c r="AH301" s="83">
        <v>87.39</v>
      </c>
    </row>
    <row r="302" spans="1:34" ht="27" customHeight="1" x14ac:dyDescent="0.25">
      <c r="AA302" s="264"/>
      <c r="AB302" s="258"/>
      <c r="AC302" s="80">
        <v>23</v>
      </c>
      <c r="AD302" s="81" t="s">
        <v>433</v>
      </c>
      <c r="AE302" s="82">
        <v>80.98</v>
      </c>
      <c r="AF302" s="83">
        <v>96.06</v>
      </c>
      <c r="AG302" s="82">
        <v>80.63</v>
      </c>
      <c r="AH302" s="83">
        <v>92.73</v>
      </c>
    </row>
    <row r="303" spans="1:34" ht="27" customHeight="1" x14ac:dyDescent="0.25">
      <c r="AA303" s="264"/>
      <c r="AB303" s="257" t="s">
        <v>434</v>
      </c>
      <c r="AC303" s="80">
        <v>24</v>
      </c>
      <c r="AD303" s="81" t="s">
        <v>435</v>
      </c>
      <c r="AE303" s="82">
        <v>84.76</v>
      </c>
      <c r="AF303" s="83">
        <v>94.53</v>
      </c>
      <c r="AG303" s="82">
        <v>84.95</v>
      </c>
      <c r="AH303" s="83">
        <v>89.49</v>
      </c>
    </row>
    <row r="304" spans="1:34" ht="27" customHeight="1" x14ac:dyDescent="0.25">
      <c r="AA304" s="264"/>
      <c r="AB304" s="266"/>
      <c r="AC304" s="80">
        <v>25</v>
      </c>
      <c r="AD304" s="81" t="s">
        <v>436</v>
      </c>
      <c r="AE304" s="82">
        <v>75.88</v>
      </c>
      <c r="AF304" s="83">
        <v>95.62</v>
      </c>
      <c r="AG304" s="82">
        <v>70.97</v>
      </c>
      <c r="AH304" s="82">
        <v>79.06</v>
      </c>
    </row>
    <row r="305" spans="1:34" ht="27" customHeight="1" x14ac:dyDescent="0.25">
      <c r="AA305" s="264"/>
      <c r="AB305" s="266"/>
      <c r="AC305" s="80">
        <v>26</v>
      </c>
      <c r="AD305" s="81" t="s">
        <v>437</v>
      </c>
      <c r="AE305" s="82">
        <v>85.43</v>
      </c>
      <c r="AF305" s="83">
        <v>94.97</v>
      </c>
      <c r="AG305" s="82">
        <v>78.45</v>
      </c>
      <c r="AH305" s="83">
        <v>88.16</v>
      </c>
    </row>
    <row r="306" spans="1:34" ht="27" customHeight="1" thickBot="1" x14ac:dyDescent="0.3">
      <c r="AA306" s="265"/>
      <c r="AB306" s="267"/>
      <c r="AC306" s="80">
        <v>27</v>
      </c>
      <c r="AD306" s="81" t="s">
        <v>438</v>
      </c>
      <c r="AE306" s="82">
        <v>81.680000000000007</v>
      </c>
      <c r="AF306" s="83">
        <v>98.46</v>
      </c>
      <c r="AG306" s="82">
        <v>72.040000000000006</v>
      </c>
      <c r="AH306" s="83">
        <v>90.55</v>
      </c>
    </row>
    <row r="319" spans="1:34" ht="15.75" thickBot="1" x14ac:dyDescent="0.3"/>
    <row r="320" spans="1:34" ht="37.5" customHeight="1" thickBot="1" x14ac:dyDescent="0.3">
      <c r="A320" t="s">
        <v>85</v>
      </c>
      <c r="AA320" s="206" t="s">
        <v>375</v>
      </c>
      <c r="AB320" s="206"/>
      <c r="AC320" s="138" t="s">
        <v>381</v>
      </c>
      <c r="AD320" s="138" t="s">
        <v>382</v>
      </c>
      <c r="AE320" s="138">
        <v>2016</v>
      </c>
      <c r="AF320" s="138">
        <v>2016</v>
      </c>
      <c r="AG320" s="138" t="s">
        <v>376</v>
      </c>
      <c r="AH320" s="138" t="s">
        <v>377</v>
      </c>
    </row>
    <row r="321" spans="27:34" ht="27" customHeight="1" x14ac:dyDescent="0.25">
      <c r="AA321" s="243" t="s">
        <v>17</v>
      </c>
      <c r="AB321" s="259" t="s">
        <v>440</v>
      </c>
      <c r="AC321" s="80">
        <v>28</v>
      </c>
      <c r="AD321" s="81" t="s">
        <v>441</v>
      </c>
      <c r="AE321" s="82">
        <v>63.94</v>
      </c>
      <c r="AF321" s="83">
        <v>87.97</v>
      </c>
      <c r="AG321" s="92">
        <v>51.79</v>
      </c>
      <c r="AH321" s="82">
        <v>68.03</v>
      </c>
    </row>
    <row r="322" spans="27:34" ht="27" customHeight="1" x14ac:dyDescent="0.25">
      <c r="AA322" s="244"/>
      <c r="AB322" s="250"/>
      <c r="AC322" s="80">
        <v>29</v>
      </c>
      <c r="AD322" s="81" t="s">
        <v>442</v>
      </c>
      <c r="AE322" s="92">
        <v>45.85</v>
      </c>
      <c r="AF322" s="82">
        <v>83.55</v>
      </c>
      <c r="AG322" s="92">
        <v>44.68</v>
      </c>
      <c r="AH322" s="92">
        <v>58.33</v>
      </c>
    </row>
    <row r="323" spans="27:34" ht="27" customHeight="1" x14ac:dyDescent="0.25">
      <c r="AA323" s="244"/>
      <c r="AB323" s="260" t="s">
        <v>443</v>
      </c>
      <c r="AC323" s="80">
        <v>30</v>
      </c>
      <c r="AD323" s="81" t="s">
        <v>444</v>
      </c>
      <c r="AE323" s="82">
        <v>72.17</v>
      </c>
      <c r="AF323" s="83">
        <v>93.65</v>
      </c>
      <c r="AG323" s="82">
        <v>65.959999999999994</v>
      </c>
      <c r="AH323" s="82">
        <v>83.3</v>
      </c>
    </row>
    <row r="324" spans="27:34" ht="27" customHeight="1" x14ac:dyDescent="0.25">
      <c r="AA324" s="245"/>
      <c r="AB324" s="250"/>
      <c r="AC324" s="80">
        <v>31</v>
      </c>
      <c r="AD324" s="81" t="s">
        <v>445</v>
      </c>
      <c r="AE324" s="83">
        <v>92.08</v>
      </c>
      <c r="AF324" s="83">
        <v>98.9</v>
      </c>
      <c r="AG324" s="83">
        <v>90.62</v>
      </c>
      <c r="AH324" s="83">
        <v>95.96</v>
      </c>
    </row>
    <row r="325" spans="27:34" ht="27" customHeight="1" x14ac:dyDescent="0.25">
      <c r="AA325" s="251" t="s">
        <v>18</v>
      </c>
      <c r="AB325" s="252"/>
      <c r="AC325" s="80">
        <v>32</v>
      </c>
      <c r="AD325" s="81" t="s">
        <v>446</v>
      </c>
      <c r="AE325" s="92">
        <v>58.81</v>
      </c>
      <c r="AF325" s="82">
        <v>83.99</v>
      </c>
      <c r="AG325" s="92">
        <v>59.33</v>
      </c>
      <c r="AH325" s="82">
        <v>74.95</v>
      </c>
    </row>
    <row r="326" spans="27:34" ht="27" customHeight="1" x14ac:dyDescent="0.25">
      <c r="AA326" s="251"/>
      <c r="AB326" s="252"/>
      <c r="AC326" s="80">
        <v>33</v>
      </c>
      <c r="AD326" s="81" t="s">
        <v>447</v>
      </c>
      <c r="AE326" s="82">
        <v>73.19</v>
      </c>
      <c r="AF326" s="83">
        <v>85.93</v>
      </c>
      <c r="AG326" s="82">
        <v>64.44</v>
      </c>
      <c r="AH326" s="82">
        <v>75.44</v>
      </c>
    </row>
    <row r="327" spans="27:34" ht="27" customHeight="1" x14ac:dyDescent="0.25">
      <c r="AA327" s="253"/>
      <c r="AB327" s="254"/>
      <c r="AC327" s="80">
        <v>34</v>
      </c>
      <c r="AD327" s="81" t="s">
        <v>448</v>
      </c>
      <c r="AE327" s="82">
        <v>71.930000000000007</v>
      </c>
      <c r="AF327" s="83">
        <v>89.93</v>
      </c>
      <c r="AG327" s="82">
        <v>68.69</v>
      </c>
      <c r="AH327" s="82">
        <v>83.84</v>
      </c>
    </row>
    <row r="328" spans="27:34" ht="27" customHeight="1" x14ac:dyDescent="0.25">
      <c r="AA328" s="246" t="s">
        <v>19</v>
      </c>
      <c r="AB328" s="248" t="s">
        <v>449</v>
      </c>
      <c r="AC328" s="80">
        <v>35</v>
      </c>
      <c r="AD328" s="81" t="s">
        <v>450</v>
      </c>
      <c r="AE328" s="82">
        <v>85.43</v>
      </c>
      <c r="AF328" s="83">
        <v>97.58</v>
      </c>
      <c r="AG328" s="83">
        <v>88.19</v>
      </c>
      <c r="AH328" s="83">
        <v>94.22</v>
      </c>
    </row>
    <row r="329" spans="27:34" ht="27" customHeight="1" x14ac:dyDescent="0.25">
      <c r="AA329" s="244"/>
      <c r="AB329" s="249"/>
      <c r="AC329" s="80">
        <v>36</v>
      </c>
      <c r="AD329" s="81" t="s">
        <v>451</v>
      </c>
      <c r="AE329" s="83">
        <v>96.52</v>
      </c>
      <c r="AF329" s="83">
        <v>99.12</v>
      </c>
      <c r="AG329" s="83">
        <v>94.83</v>
      </c>
      <c r="AH329" s="83">
        <v>96.73</v>
      </c>
    </row>
    <row r="330" spans="27:34" ht="27" customHeight="1" x14ac:dyDescent="0.25">
      <c r="AA330" s="244"/>
      <c r="AB330" s="249"/>
      <c r="AC330" s="80">
        <v>37</v>
      </c>
      <c r="AD330" s="81" t="s">
        <v>452</v>
      </c>
      <c r="AE330" s="83">
        <v>94.97</v>
      </c>
      <c r="AF330" s="83">
        <v>98.68</v>
      </c>
      <c r="AG330" s="83">
        <v>93.52</v>
      </c>
      <c r="AH330" s="83">
        <v>97.62</v>
      </c>
    </row>
    <row r="331" spans="27:34" ht="27" customHeight="1" x14ac:dyDescent="0.25">
      <c r="AA331" s="244"/>
      <c r="AB331" s="250"/>
      <c r="AC331" s="80">
        <v>38</v>
      </c>
      <c r="AD331" s="81" t="s">
        <v>453</v>
      </c>
      <c r="AE331" s="83">
        <v>93.83</v>
      </c>
      <c r="AF331" s="83">
        <v>99.12</v>
      </c>
      <c r="AG331" s="83">
        <v>92.24</v>
      </c>
      <c r="AH331" s="83">
        <v>96.57</v>
      </c>
    </row>
    <row r="332" spans="27:34" ht="27" customHeight="1" thickBot="1" x14ac:dyDescent="0.3">
      <c r="AA332" s="247"/>
      <c r="AB332" s="140" t="s">
        <v>454</v>
      </c>
      <c r="AC332" s="80">
        <v>39</v>
      </c>
      <c r="AD332" s="81" t="s">
        <v>455</v>
      </c>
      <c r="AE332" s="82">
        <v>84.65</v>
      </c>
      <c r="AF332" s="83">
        <v>95.83</v>
      </c>
      <c r="AG332" s="82">
        <v>81.91</v>
      </c>
      <c r="AH332" s="83">
        <v>90.85</v>
      </c>
    </row>
    <row r="346" spans="1:34" ht="15.75" thickBot="1" x14ac:dyDescent="0.3"/>
    <row r="347" spans="1:34" ht="37.5" customHeight="1" thickBot="1" x14ac:dyDescent="0.3">
      <c r="A347" t="s">
        <v>83</v>
      </c>
      <c r="AA347" s="206" t="s">
        <v>375</v>
      </c>
      <c r="AB347" s="206"/>
      <c r="AC347" s="138" t="s">
        <v>381</v>
      </c>
      <c r="AD347" s="138" t="s">
        <v>382</v>
      </c>
      <c r="AE347" s="138">
        <v>2016</v>
      </c>
      <c r="AF347" s="138">
        <v>2016</v>
      </c>
      <c r="AG347" s="138" t="s">
        <v>376</v>
      </c>
      <c r="AH347" s="138" t="s">
        <v>377</v>
      </c>
    </row>
    <row r="348" spans="1:34" ht="27" customHeight="1" x14ac:dyDescent="0.25">
      <c r="AA348" s="239" t="s">
        <v>20</v>
      </c>
      <c r="AB348" s="240"/>
      <c r="AC348" s="80">
        <v>40</v>
      </c>
      <c r="AD348" s="81" t="s">
        <v>457</v>
      </c>
      <c r="AE348" s="82">
        <v>83.95</v>
      </c>
      <c r="AF348" s="83">
        <v>92.34</v>
      </c>
      <c r="AG348" s="82">
        <v>77.8</v>
      </c>
      <c r="AH348" s="83">
        <v>87.06</v>
      </c>
    </row>
    <row r="349" spans="1:34" ht="27" customHeight="1" x14ac:dyDescent="0.25">
      <c r="AA349" s="241"/>
      <c r="AB349" s="242"/>
      <c r="AC349" s="80">
        <v>41</v>
      </c>
      <c r="AD349" s="81" t="s">
        <v>458</v>
      </c>
      <c r="AE349" s="82">
        <v>77.3</v>
      </c>
      <c r="AF349" s="83">
        <v>95.62</v>
      </c>
      <c r="AG349" s="82">
        <v>74.849999999999994</v>
      </c>
      <c r="AH349" s="83">
        <v>86.28</v>
      </c>
    </row>
    <row r="350" spans="1:34" ht="27" customHeight="1" x14ac:dyDescent="0.25">
      <c r="AA350" s="233" t="s">
        <v>21</v>
      </c>
      <c r="AB350" s="234"/>
      <c r="AC350" s="80">
        <v>42</v>
      </c>
      <c r="AD350" s="81" t="s">
        <v>459</v>
      </c>
      <c r="AE350" s="83">
        <v>90.85</v>
      </c>
      <c r="AF350" s="83">
        <v>97.37</v>
      </c>
      <c r="AG350" s="83">
        <v>87.31</v>
      </c>
      <c r="AH350" s="83">
        <v>93.24</v>
      </c>
    </row>
    <row r="351" spans="1:34" ht="27" customHeight="1" x14ac:dyDescent="0.25">
      <c r="AA351" s="241"/>
      <c r="AB351" s="242"/>
      <c r="AC351" s="80">
        <v>43</v>
      </c>
      <c r="AD351" s="81" t="s">
        <v>460</v>
      </c>
      <c r="AE351" s="82">
        <v>77.12</v>
      </c>
      <c r="AF351" s="83">
        <v>93.64</v>
      </c>
      <c r="AG351" s="82">
        <v>72.97</v>
      </c>
      <c r="AH351" s="83">
        <v>91.19</v>
      </c>
    </row>
    <row r="352" spans="1:34" ht="27" customHeight="1" x14ac:dyDescent="0.25">
      <c r="AA352" s="233" t="s">
        <v>22</v>
      </c>
      <c r="AB352" s="234"/>
      <c r="AC352" s="80">
        <v>44</v>
      </c>
      <c r="AD352" s="81" t="s">
        <v>461</v>
      </c>
      <c r="AE352" s="83">
        <v>86.83</v>
      </c>
      <c r="AF352" s="83">
        <v>97.81</v>
      </c>
      <c r="AG352" s="82">
        <v>79.09</v>
      </c>
      <c r="AH352" s="83">
        <v>88.52</v>
      </c>
    </row>
    <row r="353" spans="27:34" ht="27" customHeight="1" x14ac:dyDescent="0.25">
      <c r="AA353" s="235"/>
      <c r="AB353" s="236"/>
      <c r="AC353" s="80">
        <v>45</v>
      </c>
      <c r="AD353" s="81" t="s">
        <v>462</v>
      </c>
      <c r="AE353" s="83">
        <v>89.37</v>
      </c>
      <c r="AF353" s="83">
        <v>98.47</v>
      </c>
      <c r="AG353" s="83">
        <v>85.6</v>
      </c>
      <c r="AH353" s="83">
        <v>94.71</v>
      </c>
    </row>
    <row r="354" spans="27:34" ht="27" customHeight="1" x14ac:dyDescent="0.25">
      <c r="AA354" s="235"/>
      <c r="AB354" s="236"/>
      <c r="AC354" s="80">
        <v>46</v>
      </c>
      <c r="AD354" s="81" t="s">
        <v>463</v>
      </c>
      <c r="AE354" s="82">
        <v>79.180000000000007</v>
      </c>
      <c r="AF354" s="83">
        <v>96.49</v>
      </c>
      <c r="AG354" s="82">
        <v>78.81</v>
      </c>
      <c r="AH354" s="83">
        <v>93.71</v>
      </c>
    </row>
    <row r="355" spans="27:34" ht="27" customHeight="1" thickBot="1" x14ac:dyDescent="0.3">
      <c r="AA355" s="237"/>
      <c r="AB355" s="238"/>
      <c r="AC355" s="80">
        <v>47</v>
      </c>
      <c r="AD355" s="81" t="s">
        <v>464</v>
      </c>
      <c r="AE355" s="82">
        <v>81.77</v>
      </c>
      <c r="AF355" s="83">
        <v>95.84</v>
      </c>
      <c r="AG355" s="82">
        <v>79.37</v>
      </c>
      <c r="AH355" s="83">
        <v>93.16</v>
      </c>
    </row>
    <row r="372" spans="1:34" ht="15.75" thickBot="1" x14ac:dyDescent="0.3"/>
    <row r="373" spans="1:34" ht="37.5" customHeight="1" thickBot="1" x14ac:dyDescent="0.3">
      <c r="A373" t="s">
        <v>84</v>
      </c>
      <c r="AA373" s="206" t="s">
        <v>375</v>
      </c>
      <c r="AB373" s="206"/>
      <c r="AC373" s="138" t="s">
        <v>381</v>
      </c>
      <c r="AD373" s="138" t="s">
        <v>382</v>
      </c>
      <c r="AE373" s="138">
        <v>2016</v>
      </c>
      <c r="AF373" s="138">
        <v>2016</v>
      </c>
      <c r="AG373" s="138" t="s">
        <v>376</v>
      </c>
      <c r="AH373" s="138" t="s">
        <v>377</v>
      </c>
    </row>
    <row r="374" spans="1:34" ht="27" customHeight="1" x14ac:dyDescent="0.25">
      <c r="AA374" s="222" t="s">
        <v>23</v>
      </c>
      <c r="AB374" s="223"/>
      <c r="AC374" s="80">
        <v>48</v>
      </c>
      <c r="AD374" s="81" t="s">
        <v>466</v>
      </c>
      <c r="AE374" s="83">
        <v>89.81</v>
      </c>
      <c r="AF374" s="83">
        <v>97.37</v>
      </c>
      <c r="AG374" s="83">
        <v>87.45</v>
      </c>
      <c r="AH374" s="83">
        <v>92.94</v>
      </c>
    </row>
    <row r="375" spans="1:34" ht="27" customHeight="1" x14ac:dyDescent="0.25">
      <c r="AA375" s="202"/>
      <c r="AB375" s="203"/>
      <c r="AC375" s="80">
        <v>49</v>
      </c>
      <c r="AD375" s="81" t="s">
        <v>467</v>
      </c>
      <c r="AE375" s="83">
        <v>88.17</v>
      </c>
      <c r="AF375" s="83">
        <v>98.46</v>
      </c>
      <c r="AG375" s="82">
        <v>85.47</v>
      </c>
      <c r="AH375" s="83">
        <v>94.42</v>
      </c>
    </row>
    <row r="376" spans="1:34" ht="27" customHeight="1" x14ac:dyDescent="0.25">
      <c r="AA376" s="224"/>
      <c r="AB376" s="225"/>
      <c r="AC376" s="80">
        <v>50</v>
      </c>
      <c r="AD376" s="81" t="s">
        <v>468</v>
      </c>
      <c r="AE376" s="82">
        <v>83.84</v>
      </c>
      <c r="AF376" s="83">
        <v>96.49</v>
      </c>
      <c r="AG376" s="82">
        <v>81.22</v>
      </c>
      <c r="AH376" s="83">
        <v>92.18</v>
      </c>
    </row>
    <row r="377" spans="1:34" ht="27" customHeight="1" x14ac:dyDescent="0.25">
      <c r="AA377" s="226" t="s">
        <v>24</v>
      </c>
      <c r="AB377" s="229" t="s">
        <v>469</v>
      </c>
      <c r="AC377" s="80">
        <v>51</v>
      </c>
      <c r="AD377" s="81" t="s">
        <v>470</v>
      </c>
      <c r="AE377" s="83">
        <v>90.49</v>
      </c>
      <c r="AF377" s="83">
        <v>99.34</v>
      </c>
      <c r="AG377" s="83">
        <v>89.51</v>
      </c>
      <c r="AH377" s="83">
        <v>95.4</v>
      </c>
    </row>
    <row r="378" spans="1:34" ht="27" customHeight="1" x14ac:dyDescent="0.25">
      <c r="AA378" s="227"/>
      <c r="AB378" s="230"/>
      <c r="AC378" s="80">
        <v>52</v>
      </c>
      <c r="AD378" s="81" t="s">
        <v>471</v>
      </c>
      <c r="AE378" s="82">
        <v>84.02</v>
      </c>
      <c r="AF378" s="83">
        <v>97.37</v>
      </c>
      <c r="AG378" s="82">
        <v>82.63</v>
      </c>
      <c r="AH378" s="83">
        <v>93.56</v>
      </c>
    </row>
    <row r="379" spans="1:34" ht="27" customHeight="1" x14ac:dyDescent="0.25">
      <c r="AA379" s="227"/>
      <c r="AB379" s="231" t="s">
        <v>472</v>
      </c>
      <c r="AC379" s="80">
        <v>53</v>
      </c>
      <c r="AD379" s="81" t="s">
        <v>473</v>
      </c>
      <c r="AE379" s="83">
        <v>93.54</v>
      </c>
      <c r="AF379" s="83">
        <v>98.03</v>
      </c>
      <c r="AG379" s="83">
        <v>91.37</v>
      </c>
      <c r="AH379" s="83">
        <v>96.02</v>
      </c>
    </row>
    <row r="380" spans="1:34" ht="27" customHeight="1" x14ac:dyDescent="0.25">
      <c r="AA380" s="228"/>
      <c r="AB380" s="230"/>
      <c r="AC380" s="80">
        <v>54</v>
      </c>
      <c r="AD380" s="81" t="s">
        <v>474</v>
      </c>
      <c r="AE380" s="82">
        <v>85.06</v>
      </c>
      <c r="AF380" s="83">
        <v>96.04</v>
      </c>
      <c r="AG380" s="82">
        <v>82.91</v>
      </c>
      <c r="AH380" s="83">
        <v>90.76</v>
      </c>
    </row>
    <row r="381" spans="1:34" ht="27" customHeight="1" x14ac:dyDescent="0.25">
      <c r="AA381" s="202" t="s">
        <v>25</v>
      </c>
      <c r="AB381" s="203"/>
      <c r="AC381" s="80">
        <v>55</v>
      </c>
      <c r="AD381" s="81" t="s">
        <v>475</v>
      </c>
      <c r="AE381" s="82">
        <v>81.8</v>
      </c>
      <c r="AF381" s="83">
        <v>96.94</v>
      </c>
      <c r="AG381" s="82">
        <v>77.45</v>
      </c>
      <c r="AH381" s="83">
        <v>90.16</v>
      </c>
    </row>
    <row r="382" spans="1:34" ht="27" customHeight="1" x14ac:dyDescent="0.25">
      <c r="AA382" s="202"/>
      <c r="AB382" s="203"/>
      <c r="AC382" s="80">
        <v>56</v>
      </c>
      <c r="AD382" s="81" t="s">
        <v>476</v>
      </c>
      <c r="AE382" s="82">
        <v>81.81</v>
      </c>
      <c r="AF382" s="83">
        <v>95.83</v>
      </c>
      <c r="AG382" s="82">
        <v>75.42</v>
      </c>
      <c r="AH382" s="83">
        <v>90.17</v>
      </c>
    </row>
    <row r="383" spans="1:34" ht="27" customHeight="1" thickBot="1" x14ac:dyDescent="0.3">
      <c r="AA383" s="204"/>
      <c r="AB383" s="205"/>
      <c r="AC383" s="80">
        <v>57</v>
      </c>
      <c r="AD383" s="81" t="s">
        <v>477</v>
      </c>
      <c r="AE383" s="82">
        <v>83.31</v>
      </c>
      <c r="AF383" s="83">
        <v>93.2</v>
      </c>
      <c r="AG383" s="82">
        <v>81.459999999999994</v>
      </c>
      <c r="AH383" s="83">
        <v>91.62</v>
      </c>
    </row>
    <row r="400" spans="1:27" ht="39" customHeight="1" thickBot="1" x14ac:dyDescent="0.3">
      <c r="A400" t="s">
        <v>107</v>
      </c>
      <c r="R400" s="324" t="s">
        <v>147</v>
      </c>
      <c r="S400" s="324"/>
      <c r="T400" s="143" t="s">
        <v>375</v>
      </c>
      <c r="U400" s="110">
        <v>2016</v>
      </c>
      <c r="V400" s="110">
        <v>2016</v>
      </c>
      <c r="W400" s="110" t="s">
        <v>376</v>
      </c>
      <c r="X400" s="110" t="s">
        <v>377</v>
      </c>
      <c r="Y400" s="110" t="s">
        <v>378</v>
      </c>
      <c r="Z400" s="110" t="s">
        <v>379</v>
      </c>
      <c r="AA400" s="109"/>
    </row>
    <row r="401" spans="1:27" ht="24.95" customHeight="1" x14ac:dyDescent="0.25">
      <c r="A401" t="s">
        <v>90</v>
      </c>
      <c r="R401" s="328" t="s">
        <v>33</v>
      </c>
      <c r="S401" s="325">
        <v>86</v>
      </c>
      <c r="T401" s="125" t="s">
        <v>11</v>
      </c>
      <c r="U401" s="116">
        <v>86.53</v>
      </c>
      <c r="V401" s="116">
        <v>95.23</v>
      </c>
      <c r="W401" s="116">
        <v>77.650000000000006</v>
      </c>
      <c r="X401" s="116">
        <v>87.04</v>
      </c>
      <c r="Y401" s="116">
        <v>-8.6999999999999993</v>
      </c>
      <c r="Z401" s="116">
        <v>8.8800000000000008</v>
      </c>
      <c r="AA401" s="111"/>
    </row>
    <row r="402" spans="1:27" ht="24.95" customHeight="1" x14ac:dyDescent="0.25">
      <c r="R402" s="329"/>
      <c r="S402" s="326"/>
      <c r="T402" s="126" t="s">
        <v>12</v>
      </c>
      <c r="U402" s="117">
        <v>85.75</v>
      </c>
      <c r="V402" s="117">
        <v>94.89</v>
      </c>
      <c r="W402" s="117">
        <v>79.209999999999994</v>
      </c>
      <c r="X402" s="117">
        <v>89.57</v>
      </c>
      <c r="Y402" s="117">
        <v>-9.14</v>
      </c>
      <c r="Z402" s="117">
        <v>6.54</v>
      </c>
      <c r="AA402" s="111"/>
    </row>
    <row r="403" spans="1:27" ht="24.95" customHeight="1" thickBot="1" x14ac:dyDescent="0.3">
      <c r="R403" s="330"/>
      <c r="S403" s="327"/>
      <c r="T403" s="127" t="s">
        <v>13</v>
      </c>
      <c r="U403" s="124">
        <v>85.61</v>
      </c>
      <c r="V403" s="124">
        <v>94.52</v>
      </c>
      <c r="W403" s="124">
        <v>79.099999999999994</v>
      </c>
      <c r="X403" s="124">
        <v>88.12</v>
      </c>
      <c r="Y403" s="124">
        <v>-8.91</v>
      </c>
      <c r="Z403" s="124">
        <v>6.51</v>
      </c>
      <c r="AA403" s="111"/>
    </row>
    <row r="404" spans="1:27" ht="24.95" customHeight="1" x14ac:dyDescent="0.25">
      <c r="R404" s="309" t="s">
        <v>40</v>
      </c>
      <c r="S404" s="306">
        <v>82</v>
      </c>
      <c r="T404" s="119" t="s">
        <v>14</v>
      </c>
      <c r="U404" s="112">
        <v>82.03</v>
      </c>
      <c r="V404" s="112">
        <v>94.36</v>
      </c>
      <c r="W404" s="112">
        <v>76.66</v>
      </c>
      <c r="X404" s="112">
        <v>87</v>
      </c>
      <c r="Y404" s="112">
        <v>-12.33</v>
      </c>
      <c r="Z404" s="112">
        <v>5.37</v>
      </c>
      <c r="AA404" s="111"/>
    </row>
    <row r="405" spans="1:27" ht="24.95" customHeight="1" x14ac:dyDescent="0.25">
      <c r="R405" s="310"/>
      <c r="S405" s="307"/>
      <c r="T405" s="120" t="s">
        <v>15</v>
      </c>
      <c r="U405" s="113">
        <v>81.34</v>
      </c>
      <c r="V405" s="113">
        <v>92.55</v>
      </c>
      <c r="W405" s="113">
        <v>73.13</v>
      </c>
      <c r="X405" s="113">
        <v>86.07</v>
      </c>
      <c r="Y405" s="113">
        <v>-11.21</v>
      </c>
      <c r="Z405" s="113">
        <v>8.2100000000000009</v>
      </c>
      <c r="AA405" s="111"/>
    </row>
    <row r="406" spans="1:27" ht="24.95" customHeight="1" thickBot="1" x14ac:dyDescent="0.3">
      <c r="R406" s="311"/>
      <c r="S406" s="308"/>
      <c r="T406" s="121" t="s">
        <v>16</v>
      </c>
      <c r="U406" s="114">
        <v>81.349999999999994</v>
      </c>
      <c r="V406" s="114">
        <v>95.99</v>
      </c>
      <c r="W406" s="114">
        <v>79.02</v>
      </c>
      <c r="X406" s="114">
        <v>89.03</v>
      </c>
      <c r="Y406" s="114">
        <v>-14.64</v>
      </c>
      <c r="Z406" s="114">
        <v>2.33</v>
      </c>
      <c r="AA406" s="111"/>
    </row>
    <row r="407" spans="1:27" ht="24.95" customHeight="1" x14ac:dyDescent="0.25">
      <c r="R407" s="315" t="s">
        <v>47</v>
      </c>
      <c r="S407" s="312">
        <v>78</v>
      </c>
      <c r="T407" s="132" t="s">
        <v>17</v>
      </c>
      <c r="U407" s="116">
        <v>68.510000000000005</v>
      </c>
      <c r="V407" s="116">
        <v>91.02</v>
      </c>
      <c r="W407" s="116">
        <v>63.26</v>
      </c>
      <c r="X407" s="116">
        <v>76.400000000000006</v>
      </c>
      <c r="Y407" s="116">
        <v>-22.51</v>
      </c>
      <c r="Z407" s="116">
        <v>5.25</v>
      </c>
      <c r="AA407" s="111"/>
    </row>
    <row r="408" spans="1:27" ht="24.95" customHeight="1" x14ac:dyDescent="0.25">
      <c r="R408" s="316"/>
      <c r="S408" s="313"/>
      <c r="T408" s="133" t="s">
        <v>18</v>
      </c>
      <c r="U408" s="118">
        <v>67.98</v>
      </c>
      <c r="V408" s="118">
        <v>86.62</v>
      </c>
      <c r="W408" s="118">
        <v>64.150000000000006</v>
      </c>
      <c r="X408" s="118">
        <v>78.08</v>
      </c>
      <c r="Y408" s="118">
        <v>-18.64</v>
      </c>
      <c r="Z408" s="118">
        <v>3.83</v>
      </c>
      <c r="AA408" s="111"/>
    </row>
    <row r="409" spans="1:27" ht="24.95" customHeight="1" thickBot="1" x14ac:dyDescent="0.3">
      <c r="R409" s="317"/>
      <c r="S409" s="314"/>
      <c r="T409" s="134" t="s">
        <v>19</v>
      </c>
      <c r="U409" s="128">
        <v>91.08</v>
      </c>
      <c r="V409" s="128">
        <v>98.07</v>
      </c>
      <c r="W409" s="128">
        <v>90.14</v>
      </c>
      <c r="X409" s="128">
        <v>95.2</v>
      </c>
      <c r="Y409" s="128">
        <v>-6.99</v>
      </c>
      <c r="Z409" s="128">
        <v>0.94</v>
      </c>
      <c r="AA409" s="111"/>
    </row>
    <row r="410" spans="1:27" ht="24.95" customHeight="1" x14ac:dyDescent="0.25">
      <c r="R410" s="321" t="s">
        <v>54</v>
      </c>
      <c r="S410" s="318">
        <v>83</v>
      </c>
      <c r="T410" s="122" t="s">
        <v>20</v>
      </c>
      <c r="U410" s="112">
        <v>80.63</v>
      </c>
      <c r="V410" s="112">
        <v>93.98</v>
      </c>
      <c r="W410" s="112">
        <v>76.319999999999993</v>
      </c>
      <c r="X410" s="112">
        <v>86.67</v>
      </c>
      <c r="Y410" s="112">
        <v>-13.35</v>
      </c>
      <c r="Z410" s="112">
        <v>4.3099999999999996</v>
      </c>
      <c r="AA410" s="111"/>
    </row>
    <row r="411" spans="1:27" ht="24.95" customHeight="1" x14ac:dyDescent="0.25">
      <c r="R411" s="322"/>
      <c r="S411" s="319"/>
      <c r="T411" s="123" t="s">
        <v>21</v>
      </c>
      <c r="U411" s="115">
        <v>83.99</v>
      </c>
      <c r="V411" s="115">
        <v>95.51</v>
      </c>
      <c r="W411" s="115">
        <v>80.14</v>
      </c>
      <c r="X411" s="115">
        <v>92.22</v>
      </c>
      <c r="Y411" s="115">
        <v>-11.52</v>
      </c>
      <c r="Z411" s="115">
        <v>3.85</v>
      </c>
      <c r="AA411" s="111"/>
    </row>
    <row r="412" spans="1:27" ht="24.95" customHeight="1" thickBot="1" x14ac:dyDescent="0.3">
      <c r="R412" s="323"/>
      <c r="S412" s="320"/>
      <c r="T412" s="123" t="s">
        <v>22</v>
      </c>
      <c r="U412" s="115">
        <v>84.29</v>
      </c>
      <c r="V412" s="115">
        <v>97.16</v>
      </c>
      <c r="W412" s="115">
        <v>80.72</v>
      </c>
      <c r="X412" s="115">
        <v>92.52</v>
      </c>
      <c r="Y412" s="115">
        <v>-12.87</v>
      </c>
      <c r="Z412" s="115">
        <v>3.57</v>
      </c>
      <c r="AA412" s="111"/>
    </row>
    <row r="413" spans="1:27" ht="24.95" customHeight="1" x14ac:dyDescent="0.25">
      <c r="R413" s="303" t="s">
        <v>155</v>
      </c>
      <c r="S413" s="300">
        <v>86</v>
      </c>
      <c r="T413" s="135" t="s">
        <v>23</v>
      </c>
      <c r="U413" s="129">
        <v>87.27</v>
      </c>
      <c r="V413" s="129">
        <v>97.45</v>
      </c>
      <c r="W413" s="129">
        <v>84.71</v>
      </c>
      <c r="X413" s="129">
        <v>93.18</v>
      </c>
      <c r="Y413" s="129">
        <v>-10.18</v>
      </c>
      <c r="Z413" s="129">
        <v>2.56</v>
      </c>
      <c r="AA413" s="111"/>
    </row>
    <row r="414" spans="1:27" ht="24.95" customHeight="1" x14ac:dyDescent="0.25">
      <c r="R414" s="304"/>
      <c r="S414" s="301"/>
      <c r="T414" s="136" t="s">
        <v>24</v>
      </c>
      <c r="U414" s="130">
        <v>88.28</v>
      </c>
      <c r="V414" s="130">
        <v>97.7</v>
      </c>
      <c r="W414" s="130">
        <v>86.6</v>
      </c>
      <c r="X414" s="130">
        <v>93.94</v>
      </c>
      <c r="Y414" s="130">
        <v>-9.42</v>
      </c>
      <c r="Z414" s="130">
        <v>1.68</v>
      </c>
      <c r="AA414" s="111"/>
    </row>
    <row r="415" spans="1:27" ht="24.95" customHeight="1" thickBot="1" x14ac:dyDescent="0.3">
      <c r="R415" s="305"/>
      <c r="S415" s="302"/>
      <c r="T415" s="137" t="s">
        <v>25</v>
      </c>
      <c r="U415" s="131">
        <v>82.3</v>
      </c>
      <c r="V415" s="131">
        <v>95.32</v>
      </c>
      <c r="W415" s="131">
        <v>78.11</v>
      </c>
      <c r="X415" s="131">
        <v>90.65</v>
      </c>
      <c r="Y415" s="131">
        <v>-13.02</v>
      </c>
      <c r="Z415" s="131">
        <v>4.1900000000000004</v>
      </c>
      <c r="AA415" s="111"/>
    </row>
    <row r="441" spans="1:40" ht="15.75" thickBot="1" x14ac:dyDescent="0.3"/>
    <row r="442" spans="1:40" ht="37.5" customHeight="1" thickBot="1" x14ac:dyDescent="0.3">
      <c r="A442" t="s">
        <v>494</v>
      </c>
      <c r="AK442" s="138" t="s">
        <v>381</v>
      </c>
      <c r="AL442" s="138" t="s">
        <v>382</v>
      </c>
      <c r="AM442" s="138">
        <v>2016</v>
      </c>
      <c r="AN442" s="138">
        <v>2016</v>
      </c>
    </row>
    <row r="443" spans="1:40" ht="27" customHeight="1" x14ac:dyDescent="0.25">
      <c r="AK443" s="80">
        <v>59</v>
      </c>
      <c r="AL443" s="81" t="s">
        <v>479</v>
      </c>
      <c r="AM443" s="82">
        <v>85.1</v>
      </c>
      <c r="AN443" s="82"/>
    </row>
    <row r="444" spans="1:40" ht="27" customHeight="1" x14ac:dyDescent="0.25">
      <c r="AK444" s="80">
        <v>60</v>
      </c>
      <c r="AL444" s="81" t="s">
        <v>480</v>
      </c>
      <c r="AM444" s="82">
        <v>85.09</v>
      </c>
      <c r="AN444" s="82"/>
    </row>
    <row r="445" spans="1:40" ht="27" customHeight="1" x14ac:dyDescent="0.25">
      <c r="AK445" s="80">
        <v>61</v>
      </c>
      <c r="AL445" s="81" t="s">
        <v>481</v>
      </c>
      <c r="AM445" s="92">
        <v>54.8</v>
      </c>
      <c r="AN445" s="82"/>
    </row>
    <row r="446" spans="1:40" ht="27" customHeight="1" x14ac:dyDescent="0.25">
      <c r="AK446" s="80">
        <v>62</v>
      </c>
      <c r="AL446" s="81" t="s">
        <v>482</v>
      </c>
      <c r="AM446" s="83">
        <v>92.57</v>
      </c>
      <c r="AN446" s="82"/>
    </row>
    <row r="447" spans="1:40" ht="27" customHeight="1" x14ac:dyDescent="0.25">
      <c r="AK447" s="80">
        <v>63</v>
      </c>
      <c r="AL447" s="81" t="s">
        <v>483</v>
      </c>
      <c r="AM447" s="83">
        <v>93.13</v>
      </c>
      <c r="AN447" s="82"/>
    </row>
    <row r="448" spans="1:40" ht="27" customHeight="1" x14ac:dyDescent="0.25">
      <c r="AK448" s="80">
        <v>64</v>
      </c>
      <c r="AL448" s="81" t="s">
        <v>484</v>
      </c>
      <c r="AM448" s="82">
        <v>85.46</v>
      </c>
      <c r="AN448" s="82"/>
    </row>
    <row r="449" spans="37:40" ht="27" customHeight="1" x14ac:dyDescent="0.25">
      <c r="AK449" s="80">
        <v>65</v>
      </c>
      <c r="AL449" s="81" t="s">
        <v>485</v>
      </c>
      <c r="AM449" s="82">
        <v>80.86</v>
      </c>
      <c r="AN449" s="82"/>
    </row>
    <row r="468" spans="1:48" ht="24.75" customHeight="1" x14ac:dyDescent="0.25">
      <c r="A468" t="s">
        <v>86</v>
      </c>
      <c r="AP468" s="192" t="s">
        <v>147</v>
      </c>
      <c r="AQ468" s="192"/>
      <c r="AR468" s="142" t="s">
        <v>375</v>
      </c>
      <c r="AS468" s="142" t="s">
        <v>381</v>
      </c>
      <c r="AT468" s="142" t="s">
        <v>382</v>
      </c>
      <c r="AU468" s="142">
        <v>2016</v>
      </c>
      <c r="AV468" s="142" t="s">
        <v>487</v>
      </c>
    </row>
    <row r="469" spans="1:48" ht="24.75" customHeight="1" x14ac:dyDescent="0.25">
      <c r="AP469" s="191" t="s">
        <v>148</v>
      </c>
      <c r="AQ469" s="191"/>
      <c r="AR469" s="141" t="s">
        <v>449</v>
      </c>
      <c r="AS469" s="105">
        <v>36</v>
      </c>
      <c r="AT469" s="105" t="s">
        <v>451</v>
      </c>
      <c r="AU469" s="107">
        <v>96.52</v>
      </c>
      <c r="AV469" s="107">
        <v>13.61</v>
      </c>
    </row>
    <row r="470" spans="1:48" ht="24.75" customHeight="1" x14ac:dyDescent="0.25">
      <c r="AP470" s="191" t="s">
        <v>148</v>
      </c>
      <c r="AQ470" s="191"/>
      <c r="AR470" s="141" t="s">
        <v>449</v>
      </c>
      <c r="AS470" s="105">
        <v>37</v>
      </c>
      <c r="AT470" s="105" t="s">
        <v>452</v>
      </c>
      <c r="AU470" s="107">
        <v>94.97</v>
      </c>
      <c r="AV470" s="107">
        <v>12.06</v>
      </c>
    </row>
    <row r="471" spans="1:48" ht="24.75" customHeight="1" x14ac:dyDescent="0.25">
      <c r="AP471" s="191" t="s">
        <v>148</v>
      </c>
      <c r="AQ471" s="191"/>
      <c r="AR471" s="141" t="s">
        <v>449</v>
      </c>
      <c r="AS471" s="105">
        <v>38</v>
      </c>
      <c r="AT471" s="105" t="s">
        <v>453</v>
      </c>
      <c r="AU471" s="107">
        <v>93.83</v>
      </c>
      <c r="AV471" s="107">
        <v>10.92</v>
      </c>
    </row>
    <row r="472" spans="1:48" ht="24.75" customHeight="1" x14ac:dyDescent="0.25">
      <c r="AP472" s="191" t="s">
        <v>488</v>
      </c>
      <c r="AQ472" s="191"/>
      <c r="AR472" s="141" t="s">
        <v>472</v>
      </c>
      <c r="AS472" s="105">
        <v>53</v>
      </c>
      <c r="AT472" s="105" t="s">
        <v>473</v>
      </c>
      <c r="AU472" s="107">
        <v>93.54</v>
      </c>
      <c r="AV472" s="107">
        <v>10.63</v>
      </c>
    </row>
    <row r="473" spans="1:48" ht="24.75" customHeight="1" x14ac:dyDescent="0.25">
      <c r="AP473" s="191" t="s">
        <v>149</v>
      </c>
      <c r="AQ473" s="191"/>
      <c r="AR473" s="141" t="s">
        <v>418</v>
      </c>
      <c r="AS473" s="105">
        <v>14</v>
      </c>
      <c r="AT473" s="105" t="s">
        <v>419</v>
      </c>
      <c r="AU473" s="107">
        <v>92.33</v>
      </c>
      <c r="AV473" s="107">
        <v>9.42</v>
      </c>
    </row>
    <row r="474" spans="1:48" ht="24.75" customHeight="1" x14ac:dyDescent="0.25">
      <c r="AP474" s="191" t="s">
        <v>148</v>
      </c>
      <c r="AQ474" s="191"/>
      <c r="AR474" s="141" t="s">
        <v>443</v>
      </c>
      <c r="AS474" s="105">
        <v>31</v>
      </c>
      <c r="AT474" s="105" t="s">
        <v>445</v>
      </c>
      <c r="AU474" s="107">
        <v>92.08</v>
      </c>
      <c r="AV474" s="107">
        <v>9.17</v>
      </c>
    </row>
    <row r="475" spans="1:48" ht="24.75" customHeight="1" x14ac:dyDescent="0.25">
      <c r="AP475" s="191" t="s">
        <v>150</v>
      </c>
      <c r="AQ475" s="191"/>
      <c r="AR475" s="141" t="s">
        <v>430</v>
      </c>
      <c r="AS475" s="105">
        <v>21</v>
      </c>
      <c r="AT475" s="105" t="s">
        <v>431</v>
      </c>
      <c r="AU475" s="107">
        <v>91.17</v>
      </c>
      <c r="AV475" s="107">
        <v>8.26</v>
      </c>
    </row>
    <row r="476" spans="1:48" ht="24.75" customHeight="1" x14ac:dyDescent="0.25">
      <c r="AP476" s="191" t="s">
        <v>159</v>
      </c>
      <c r="AQ476" s="191"/>
      <c r="AR476" s="141" t="s">
        <v>21</v>
      </c>
      <c r="AS476" s="105">
        <v>42</v>
      </c>
      <c r="AT476" s="105" t="s">
        <v>459</v>
      </c>
      <c r="AU476" s="107">
        <v>90.85</v>
      </c>
      <c r="AV476" s="107">
        <v>7.94</v>
      </c>
    </row>
    <row r="477" spans="1:48" ht="24.75" customHeight="1" x14ac:dyDescent="0.25">
      <c r="AP477" s="191" t="s">
        <v>488</v>
      </c>
      <c r="AQ477" s="191"/>
      <c r="AR477" s="141" t="s">
        <v>469</v>
      </c>
      <c r="AS477" s="105">
        <v>51</v>
      </c>
      <c r="AT477" s="105" t="s">
        <v>470</v>
      </c>
      <c r="AU477" s="107">
        <v>90.49</v>
      </c>
      <c r="AV477" s="107">
        <v>7.57</v>
      </c>
    </row>
    <row r="478" spans="1:48" ht="24.75" customHeight="1" x14ac:dyDescent="0.25">
      <c r="AP478" s="191" t="s">
        <v>488</v>
      </c>
      <c r="AQ478" s="191"/>
      <c r="AR478" s="141" t="s">
        <v>23</v>
      </c>
      <c r="AS478" s="105">
        <v>48</v>
      </c>
      <c r="AT478" s="105" t="s">
        <v>466</v>
      </c>
      <c r="AU478" s="107">
        <v>89.81</v>
      </c>
      <c r="AV478" s="107">
        <v>6.9</v>
      </c>
    </row>
    <row r="495" spans="1:48" ht="24.75" customHeight="1" x14ac:dyDescent="0.25">
      <c r="A495" t="s">
        <v>87</v>
      </c>
      <c r="AP495" s="192" t="s">
        <v>147</v>
      </c>
      <c r="AQ495" s="192"/>
      <c r="AR495" s="142" t="s">
        <v>375</v>
      </c>
      <c r="AS495" s="142" t="s">
        <v>381</v>
      </c>
      <c r="AT495" s="142" t="s">
        <v>382</v>
      </c>
      <c r="AU495" s="142">
        <v>2016</v>
      </c>
      <c r="AV495" s="142" t="s">
        <v>487</v>
      </c>
    </row>
    <row r="496" spans="1:48" ht="24.75" customHeight="1" x14ac:dyDescent="0.25">
      <c r="AP496" s="191" t="s">
        <v>148</v>
      </c>
      <c r="AQ496" s="191"/>
      <c r="AR496" s="141" t="s">
        <v>440</v>
      </c>
      <c r="AS496" s="105">
        <v>29</v>
      </c>
      <c r="AT496" s="105" t="s">
        <v>442</v>
      </c>
      <c r="AU496" s="107">
        <v>45.85</v>
      </c>
      <c r="AV496" s="107">
        <v>-37.06</v>
      </c>
    </row>
    <row r="497" spans="42:48" ht="24.75" customHeight="1" x14ac:dyDescent="0.25">
      <c r="AP497" s="191" t="s">
        <v>148</v>
      </c>
      <c r="AQ497" s="191"/>
      <c r="AR497" s="141" t="s">
        <v>18</v>
      </c>
      <c r="AS497" s="105">
        <v>32</v>
      </c>
      <c r="AT497" s="105" t="s">
        <v>446</v>
      </c>
      <c r="AU497" s="107">
        <v>58.81</v>
      </c>
      <c r="AV497" s="107">
        <v>-24.11</v>
      </c>
    </row>
    <row r="498" spans="42:48" ht="24.75" customHeight="1" x14ac:dyDescent="0.25">
      <c r="AP498" s="191" t="s">
        <v>148</v>
      </c>
      <c r="AQ498" s="191"/>
      <c r="AR498" s="141" t="s">
        <v>440</v>
      </c>
      <c r="AS498" s="105">
        <v>28</v>
      </c>
      <c r="AT498" s="105" t="s">
        <v>441</v>
      </c>
      <c r="AU498" s="107">
        <v>63.94</v>
      </c>
      <c r="AV498" s="107">
        <v>-18.97</v>
      </c>
    </row>
    <row r="499" spans="42:48" ht="24.75" customHeight="1" x14ac:dyDescent="0.25">
      <c r="AP499" s="191" t="s">
        <v>150</v>
      </c>
      <c r="AQ499" s="191"/>
      <c r="AR499" s="141" t="s">
        <v>430</v>
      </c>
      <c r="AS499" s="105">
        <v>22</v>
      </c>
      <c r="AT499" s="105" t="s">
        <v>432</v>
      </c>
      <c r="AU499" s="107">
        <v>69.52</v>
      </c>
      <c r="AV499" s="107">
        <v>-13.39</v>
      </c>
    </row>
    <row r="500" spans="42:48" ht="24.75" customHeight="1" x14ac:dyDescent="0.25">
      <c r="AP500" s="191" t="s">
        <v>148</v>
      </c>
      <c r="AQ500" s="191"/>
      <c r="AR500" s="141" t="s">
        <v>18</v>
      </c>
      <c r="AS500" s="105">
        <v>34</v>
      </c>
      <c r="AT500" s="105" t="s">
        <v>448</v>
      </c>
      <c r="AU500" s="107">
        <v>71.930000000000007</v>
      </c>
      <c r="AV500" s="107">
        <v>-10.99</v>
      </c>
    </row>
    <row r="501" spans="42:48" ht="24.75" customHeight="1" x14ac:dyDescent="0.25">
      <c r="AP501" s="191" t="s">
        <v>148</v>
      </c>
      <c r="AQ501" s="191"/>
      <c r="AR501" s="141" t="s">
        <v>443</v>
      </c>
      <c r="AS501" s="105">
        <v>30</v>
      </c>
      <c r="AT501" s="105" t="s">
        <v>444</v>
      </c>
      <c r="AU501" s="107">
        <v>72.17</v>
      </c>
      <c r="AV501" s="107">
        <v>-10.74</v>
      </c>
    </row>
    <row r="502" spans="42:48" ht="24.75" customHeight="1" x14ac:dyDescent="0.25">
      <c r="AP502" s="191" t="s">
        <v>148</v>
      </c>
      <c r="AQ502" s="191"/>
      <c r="AR502" s="141" t="s">
        <v>18</v>
      </c>
      <c r="AS502" s="105">
        <v>33</v>
      </c>
      <c r="AT502" s="105" t="s">
        <v>447</v>
      </c>
      <c r="AU502" s="107">
        <v>73.19</v>
      </c>
      <c r="AV502" s="107">
        <v>-9.7200000000000006</v>
      </c>
    </row>
    <row r="503" spans="42:48" ht="24.75" customHeight="1" x14ac:dyDescent="0.25">
      <c r="AP503" s="191" t="s">
        <v>150</v>
      </c>
      <c r="AQ503" s="191"/>
      <c r="AR503" s="141" t="s">
        <v>434</v>
      </c>
      <c r="AS503" s="105">
        <v>25</v>
      </c>
      <c r="AT503" s="105" t="s">
        <v>436</v>
      </c>
      <c r="AU503" s="107">
        <v>75.88</v>
      </c>
      <c r="AV503" s="107">
        <v>-7.03</v>
      </c>
    </row>
    <row r="504" spans="42:48" ht="24.75" customHeight="1" x14ac:dyDescent="0.25">
      <c r="AP504" s="191" t="s">
        <v>149</v>
      </c>
      <c r="AQ504" s="191"/>
      <c r="AR504" s="141" t="s">
        <v>402</v>
      </c>
      <c r="AS504" s="105">
        <v>7</v>
      </c>
      <c r="AT504" s="105" t="s">
        <v>408</v>
      </c>
      <c r="AU504" s="107">
        <v>76.25</v>
      </c>
      <c r="AV504" s="107">
        <v>-6.66</v>
      </c>
    </row>
    <row r="505" spans="42:48" ht="24.75" customHeight="1" x14ac:dyDescent="0.25">
      <c r="AP505" s="191" t="s">
        <v>159</v>
      </c>
      <c r="AQ505" s="191"/>
      <c r="AR505" s="141" t="s">
        <v>21</v>
      </c>
      <c r="AS505" s="105">
        <v>43</v>
      </c>
      <c r="AT505" s="105" t="s">
        <v>460</v>
      </c>
      <c r="AU505" s="107">
        <v>77.12</v>
      </c>
      <c r="AV505" s="107">
        <v>-5.79</v>
      </c>
    </row>
  </sheetData>
  <mergeCells count="68">
    <mergeCell ref="AP500:AQ500"/>
    <mergeCell ref="AP501:AQ501"/>
    <mergeCell ref="AP502:AQ502"/>
    <mergeCell ref="AP503:AQ503"/>
    <mergeCell ref="AP504:AQ504"/>
    <mergeCell ref="AP505:AQ505"/>
    <mergeCell ref="AP478:AQ478"/>
    <mergeCell ref="AP495:AQ495"/>
    <mergeCell ref="AP496:AQ496"/>
    <mergeCell ref="AP497:AQ497"/>
    <mergeCell ref="AP498:AQ498"/>
    <mergeCell ref="AP499:AQ499"/>
    <mergeCell ref="AP472:AQ472"/>
    <mergeCell ref="AP473:AQ473"/>
    <mergeCell ref="AP474:AQ474"/>
    <mergeCell ref="AP475:AQ475"/>
    <mergeCell ref="AP476:AQ476"/>
    <mergeCell ref="AP477:AQ477"/>
    <mergeCell ref="S413:S415"/>
    <mergeCell ref="R413:R415"/>
    <mergeCell ref="AP468:AQ468"/>
    <mergeCell ref="AP469:AQ469"/>
    <mergeCell ref="AP470:AQ470"/>
    <mergeCell ref="AP471:AQ471"/>
    <mergeCell ref="S404:S406"/>
    <mergeCell ref="R404:R406"/>
    <mergeCell ref="S407:S409"/>
    <mergeCell ref="R407:R409"/>
    <mergeCell ref="S410:S412"/>
    <mergeCell ref="R410:R412"/>
    <mergeCell ref="AA377:AA380"/>
    <mergeCell ref="AB377:AB378"/>
    <mergeCell ref="AB379:AB380"/>
    <mergeCell ref="AA381:AB383"/>
    <mergeCell ref="R400:S400"/>
    <mergeCell ref="S401:S403"/>
    <mergeCell ref="R401:R403"/>
    <mergeCell ref="AA347:AB347"/>
    <mergeCell ref="AA348:AB349"/>
    <mergeCell ref="AA350:AB351"/>
    <mergeCell ref="AA352:AB355"/>
    <mergeCell ref="AA373:AB373"/>
    <mergeCell ref="AA374:AB376"/>
    <mergeCell ref="AA321:AA324"/>
    <mergeCell ref="AB321:AB322"/>
    <mergeCell ref="AB323:AB324"/>
    <mergeCell ref="AA325:AB327"/>
    <mergeCell ref="AA328:AA332"/>
    <mergeCell ref="AB328:AB331"/>
    <mergeCell ref="AA298:AA299"/>
    <mergeCell ref="AB298:AB299"/>
    <mergeCell ref="AA300:AA306"/>
    <mergeCell ref="AB300:AB302"/>
    <mergeCell ref="AB303:AB306"/>
    <mergeCell ref="AA320:AB320"/>
    <mergeCell ref="AA278:AA281"/>
    <mergeCell ref="AB278:AB280"/>
    <mergeCell ref="AA293:AB293"/>
    <mergeCell ref="AA294:AA297"/>
    <mergeCell ref="AB294:AB295"/>
    <mergeCell ref="AB296:AB297"/>
    <mergeCell ref="AA267:AB267"/>
    <mergeCell ref="AA268:AA271"/>
    <mergeCell ref="AB268:AB269"/>
    <mergeCell ref="AB270:AB271"/>
    <mergeCell ref="AA272:AA277"/>
    <mergeCell ref="AB272:AB274"/>
    <mergeCell ref="AB275:AB276"/>
  </mergeCells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8</vt:i4>
      </vt:variant>
      <vt:variant>
        <vt:lpstr>Rangos con nombre</vt:lpstr>
      </vt:variant>
      <vt:variant>
        <vt:i4>21</vt:i4>
      </vt:variant>
    </vt:vector>
  </HeadingPairs>
  <TitlesOfParts>
    <vt:vector size="29" baseType="lpstr">
      <vt:lpstr>Referencia Datos</vt:lpstr>
      <vt:lpstr>Demografía</vt:lpstr>
      <vt:lpstr>Indicadores</vt:lpstr>
      <vt:lpstr>Cuadro de Mando Demografías</vt:lpstr>
      <vt:lpstr>Cuadro de Mando Indicadores</vt:lpstr>
      <vt:lpstr>Cuadro de Mando PPT</vt:lpstr>
      <vt:lpstr>Gráficos Demografías</vt:lpstr>
      <vt:lpstr>Gráficos Indicadores</vt:lpstr>
      <vt:lpstr>Confianza1</vt:lpstr>
      <vt:lpstr>Confianza2</vt:lpstr>
      <vt:lpstr>FichaTecnica</vt:lpstr>
      <vt:lpstr>GrafDemo_Bis10_datos</vt:lpstr>
      <vt:lpstr>GrafDemo_Bis2_datos</vt:lpstr>
      <vt:lpstr>GrafDemo_Bis3_datos</vt:lpstr>
      <vt:lpstr>GrafDemo_Bis4_datos</vt:lpstr>
      <vt:lpstr>GrafDemo_Bis5_0_datos</vt:lpstr>
      <vt:lpstr>GrafDemo_Bis5_1_datos</vt:lpstr>
      <vt:lpstr>GrafDemo_Bis6_datos</vt:lpstr>
      <vt:lpstr>GrafDemo_Bis7_0_datos</vt:lpstr>
      <vt:lpstr>GrafDemo_Bis7_1_datos</vt:lpstr>
      <vt:lpstr>GrafDemo_Bis8_datos</vt:lpstr>
      <vt:lpstr>GrafDemo_Bis9_datos</vt:lpstr>
      <vt:lpstr>ResultadoSentencia1</vt:lpstr>
      <vt:lpstr>ResultadoSentencia2</vt:lpstr>
      <vt:lpstr>ResultadoSentencia3</vt:lpstr>
      <vt:lpstr>ResultadoSentencia4</vt:lpstr>
      <vt:lpstr>ResultadoSentencia5</vt:lpstr>
      <vt:lpstr>SentenciasAdicionales1</vt:lpstr>
      <vt:lpstr>TablaSintesis1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2017-08-09T03:26:30Z</dcterms:modified>
</cp:coreProperties>
</file>