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5" activeTab="7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Graficos Indicadores" sheetId="741" r:id="rId6"/>
    <sheet name="Cuadro de Mando Demografias" sheetId="743" r:id="rId7"/>
    <sheet name="Graficos Demografias" sheetId="815" r:id="rId8"/>
  </sheets>
  <functionGroups builtInGroupCount="18"/>
  <definedNames>
    <definedName name="Camaraderia">#REF!</definedName>
    <definedName name="Confianza1">'Graficos Indicadores'!$A$330:$G$339</definedName>
    <definedName name="Confianza2">'Graficos Indicadores'!$A$345:$G$354</definedName>
    <definedName name="Credibilidad">#REF!</definedName>
    <definedName name="GrafDemo_Bis1_datos">'Graficos Demografias'!$B$45:$G$49</definedName>
    <definedName name="GrafDemo_Bis10_datos">'Graficos Demografias'!$B$585:$I$589</definedName>
    <definedName name="GrafDemo_Bis11_datos">'Graficos Demografias'!$B$645:$D$649</definedName>
    <definedName name="GrafDemo_Bis12_datos">'Graficos Demografias'!$B$705:$F$709</definedName>
    <definedName name="GrafDemo_Bis13_datos">'Graficos Demografias'!$B$765:$F$769</definedName>
    <definedName name="GrafDemo_Bis14_datos">'Graficos Demografias'!$B$825:$D$829</definedName>
    <definedName name="GrafDemo_Bis15_datos">'Graficos Demografias'!$B$885:$D$889</definedName>
    <definedName name="GrafDemo_Bis16_datos">'Graficos Demografias'!$B$945:$D$949</definedName>
    <definedName name="GrafDemo_Bis17_datos">'Graficos Demografias'!$B$1005:$D$1009</definedName>
    <definedName name="GrafDemo_Bis18_datos">'Graficos Demografias'!$B$1065:$F$1069</definedName>
    <definedName name="GrafDemo_Bis19_datos">'Graficos Demografias'!$B$1125:$E$1129</definedName>
    <definedName name="GrafDemo_Bis2_datos">'Graficos Demografias'!$B$105:$G$109</definedName>
    <definedName name="GrafDemo_Bis20_datos">'Graficos Demografias'!$B$1185:$H$1189</definedName>
    <definedName name="GrafDemo_Bis21_datos">'Graficos Demografias'!$B$1245:$C$1249</definedName>
    <definedName name="GrafDemo_Bis22_datos">'Graficos Demografias'!$B$1305:$C$1309</definedName>
    <definedName name="GrafDemo_Bis23_datos">'Graficos Demografias'!$B$1365:$C$1369</definedName>
    <definedName name="GrafDemo_Bis24_datos">'Graficos Demografias'!$B$1425:$C$1429</definedName>
    <definedName name="GrafDemo_Bis25_datos">'Graficos Demografias'!$B$1485:$C$1489</definedName>
    <definedName name="GrafDemo_Bis26_datos">'Graficos Demografias'!$B$1545:$C$1549</definedName>
    <definedName name="GrafDemo_Bis27_datos">'Graficos Demografias'!$B$1605:$H$1609</definedName>
    <definedName name="GrafDemo_Bis28_datos">'Graficos Demografias'!$B$1665:$G$1669</definedName>
    <definedName name="GrafDemo_Bis29_datos">'Graficos Demografias'!$B$1725:$C$1729</definedName>
    <definedName name="GrafDemo_Bis3_datos">'Graficos Demografias'!$B$165:$D$169</definedName>
    <definedName name="GrafDemo_Bis30_datos">'Graficos Demografias'!$B$1785:$E$1789</definedName>
    <definedName name="GrafDemo_Bis31_datos">'Graficos Demografias'!$B$1845:$D$1849</definedName>
    <definedName name="GrafDemo_Bis32_datos">'Graficos Demografias'!$B$1905:$D$1909</definedName>
    <definedName name="GrafDemo_Bis33_datos">'Graficos Demografias'!$B$1965:$D$1969</definedName>
    <definedName name="GrafDemo_Bis34_datos">'Graficos Demografias'!$B$2025:$G$2029</definedName>
    <definedName name="GrafDemo_Bis4_datos">'Graficos Demografias'!$B$225:$G$229</definedName>
    <definedName name="GrafDemo_Bis5_datos">'Graficos Demografias'!$B$285:$G$289</definedName>
    <definedName name="GrafDemo_Bis6_datos">'Graficos Demografias'!$B$345:$D$349</definedName>
    <definedName name="GrafDemo_Bis7_datos">'Graficos Demografias'!$B$405:$F$409</definedName>
    <definedName name="GrafDemo_Bis8_datos">'Graficos Demografias'!$B$465:$I$469</definedName>
    <definedName name="GrafDemo_Bis9_datos">'Graficos Demografias'!$B$525:$I$529</definedName>
    <definedName name="GrafDemo_Uni1">#REF!</definedName>
    <definedName name="Imparcialidad">#REF!</definedName>
    <definedName name="Orgullo">#REF!</definedName>
    <definedName name="Respeto">#REF!</definedName>
    <definedName name="ResultadoSentencia1">'Graficos Indicadores'!$B$210:$I$223</definedName>
    <definedName name="ResultadoSentencia2">'Graficos Indicadores'!$B$225:$I$237</definedName>
    <definedName name="ResultadoSentencia3">'Graficos Indicadores'!$B$240:$I$251</definedName>
    <definedName name="ResultadoSentencia4">'Graficos Indicadores'!$B$255:$I$262</definedName>
    <definedName name="ResultadoSentencia5">'Graficos Indicadores'!$B$270:$I$279</definedName>
    <definedName name="SentenciasAdicionales1">'Graficos Indicadores'!$D$315:$G$321</definedName>
    <definedName name="TablaSintesis1">'Graficos Indicadores'!$L$285:$S$300</definedName>
  </definedNames>
  <calcPr calcId="152511"/>
</workbook>
</file>

<file path=xl/calcChain.xml><?xml version="1.0" encoding="utf-8"?>
<calcChain xmlns="http://schemas.openxmlformats.org/spreadsheetml/2006/main">
  <c r="ER20" i="2" l="1"/>
  <c r="EP20" i="2"/>
  <c r="EN20" i="2"/>
  <c r="EN19" i="2"/>
  <c r="EQ20" i="2" s="1"/>
  <c r="BI18" i="2"/>
  <c r="BH18" i="2"/>
  <c r="BG18" i="2"/>
  <c r="BF18" i="2"/>
  <c r="BE18" i="2"/>
  <c r="BD18" i="2"/>
  <c r="BC18" i="2"/>
  <c r="BA18" i="2"/>
  <c r="AZ18" i="2"/>
  <c r="AY18" i="2"/>
  <c r="AX18" i="2"/>
  <c r="AW18" i="2"/>
  <c r="AV18" i="2"/>
  <c r="AU18" i="2"/>
  <c r="AS18" i="2"/>
  <c r="AR18" i="2"/>
  <c r="AQ18" i="2"/>
  <c r="AP18" i="2"/>
  <c r="AO18" i="2"/>
  <c r="AN18" i="2"/>
  <c r="AM18" i="2"/>
  <c r="EL17" i="2"/>
  <c r="EF17" i="2"/>
  <c r="DW17" i="2"/>
  <c r="DU17" i="2"/>
  <c r="DS17" i="2"/>
  <c r="DP17" i="2"/>
  <c r="DN17" i="2"/>
  <c r="DL17" i="2"/>
  <c r="DH17" i="2"/>
  <c r="DD17" i="2"/>
  <c r="CZ17" i="2"/>
  <c r="CP17" i="2"/>
  <c r="CH17" i="2"/>
  <c r="CB17" i="2"/>
  <c r="BV17" i="2"/>
  <c r="BT17" i="2"/>
  <c r="BL17" i="2"/>
  <c r="AZ17" i="2"/>
  <c r="AX17" i="2"/>
  <c r="AV17" i="2"/>
  <c r="AJ17" i="2"/>
  <c r="AH17" i="2"/>
  <c r="AB17" i="2"/>
  <c r="Z17" i="2"/>
  <c r="P17" i="2"/>
  <c r="EN16" i="2"/>
  <c r="ER17" i="2" s="1"/>
  <c r="EK16" i="2"/>
  <c r="EK17" i="2" s="1"/>
  <c r="EH16" i="2"/>
  <c r="EH17" i="2" s="1"/>
  <c r="EE16" i="2"/>
  <c r="EE17" i="2" s="1"/>
  <c r="EA16" i="2"/>
  <c r="EB17" i="2" s="1"/>
  <c r="DY16" i="2"/>
  <c r="DY17" i="2" s="1"/>
  <c r="DS16" i="2"/>
  <c r="DL16" i="2"/>
  <c r="DV17" i="2" s="1"/>
  <c r="DJ16" i="2"/>
  <c r="DJ17" i="2" s="1"/>
  <c r="DH16" i="2"/>
  <c r="DF16" i="2"/>
  <c r="DF17" i="2" s="1"/>
  <c r="DD16" i="2"/>
  <c r="DB16" i="2"/>
  <c r="DB17" i="2" s="1"/>
  <c r="CZ16" i="2"/>
  <c r="CS16" i="2"/>
  <c r="CX17" i="2" s="1"/>
  <c r="CO16" i="2"/>
  <c r="CQ17" i="2" s="1"/>
  <c r="CJ16" i="2"/>
  <c r="CL17" i="2" s="1"/>
  <c r="CG16" i="2"/>
  <c r="CG17" i="2" s="1"/>
  <c r="CD16" i="2"/>
  <c r="CD17" i="2" s="1"/>
  <c r="CA16" i="2"/>
  <c r="CA17" i="2" s="1"/>
  <c r="BX16" i="2"/>
  <c r="BX17" i="2" s="1"/>
  <c r="BS16" i="2"/>
  <c r="BU17" i="2" s="1"/>
  <c r="BN16" i="2"/>
  <c r="BP17" i="2" s="1"/>
  <c r="BK16" i="2"/>
  <c r="BK17" i="2" s="1"/>
  <c r="BC16" i="2"/>
  <c r="BH17" i="2" s="1"/>
  <c r="AU16" i="2"/>
  <c r="BA17" i="2" s="1"/>
  <c r="AM16" i="2"/>
  <c r="AR17" i="2" s="1"/>
  <c r="AH16" i="2"/>
  <c r="AK17" i="2" s="1"/>
  <c r="AE16" i="2"/>
  <c r="AF17" i="2" s="1"/>
  <c r="Y16" i="2"/>
  <c r="AC17" i="2" s="1"/>
  <c r="S16" i="2"/>
  <c r="V17" i="2" s="1"/>
  <c r="P16" i="2"/>
  <c r="Q17" i="2" s="1"/>
  <c r="J16" i="2"/>
  <c r="N17" i="2" s="1"/>
  <c r="K17" i="2" l="1"/>
  <c r="M17" i="2"/>
  <c r="S17" i="2"/>
  <c r="U17" i="2"/>
  <c r="W17" i="2"/>
  <c r="AE17" i="2"/>
  <c r="AM17" i="2"/>
  <c r="AO17" i="2"/>
  <c r="AQ17" i="2"/>
  <c r="AS17" i="2"/>
  <c r="BC17" i="2"/>
  <c r="BE17" i="2"/>
  <c r="BG17" i="2"/>
  <c r="BI17" i="2"/>
  <c r="BO17" i="2"/>
  <c r="BQ17" i="2"/>
  <c r="BY17" i="2"/>
  <c r="CE17" i="2"/>
  <c r="CK17" i="2"/>
  <c r="CM17" i="2"/>
  <c r="CS17" i="2"/>
  <c r="CU17" i="2"/>
  <c r="CW17" i="2"/>
  <c r="EA17" i="2"/>
  <c r="EC17" i="2"/>
  <c r="EI17" i="2"/>
  <c r="EO17" i="2"/>
  <c r="EQ17" i="2"/>
  <c r="J17" i="2"/>
  <c r="L17" i="2"/>
  <c r="T17" i="2"/>
  <c r="Y17" i="2"/>
  <c r="AA17" i="2"/>
  <c r="AI17" i="2"/>
  <c r="AN17" i="2"/>
  <c r="AP17" i="2"/>
  <c r="AU17" i="2"/>
  <c r="AW17" i="2"/>
  <c r="AY17" i="2"/>
  <c r="BD17" i="2"/>
  <c r="BF17" i="2"/>
  <c r="BN17" i="2"/>
  <c r="BS17" i="2"/>
  <c r="CJ17" i="2"/>
  <c r="CO17" i="2"/>
  <c r="CT17" i="2"/>
  <c r="CV17" i="2"/>
  <c r="DM17" i="2"/>
  <c r="DO17" i="2"/>
  <c r="DQ17" i="2"/>
  <c r="DT17" i="2"/>
  <c r="EN17" i="2"/>
  <c r="EP17" i="2"/>
  <c r="EO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<sst xmlns="http://schemas.openxmlformats.org/spreadsheetml/2006/main" count="2356" uniqueCount="638">
  <si>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</si>
  <si>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</si>
  <si>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</si>
  <si>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</si>
  <si>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</si>
  <si>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</si>
  <si>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</si>
  <si>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</si>
  <si>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</si>
  <si>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</si>
  <si>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</si>
  <si>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</si>
  <si>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</si>
  <si>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</si>
  <si>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</si>
  <si>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</si>
  <si>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</si>
  <si>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</si>
  <si>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</si>
  <si>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</si>
  <si>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</si>
  <si>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</si>
  <si>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</si>
  <si>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</si>
  <si>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</si>
  <si>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</si>
  <si>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</si>
  <si>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</si>
  <si>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</si>
  <si>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</si>
  <si>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</si>
  <si>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</si>
  <si>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</si>
  <si>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</si>
  <si>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</si>
  <si>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</si>
  <si>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</si>
  <si>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</si>
  <si>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</si>
  <si>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</si>
  <si>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</si>
  <si>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</si>
  <si>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</si>
  <si>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</si>
  <si>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</si>
  <si>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</si>
  <si>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</si>
  <si>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</si>
  <si>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</si>
  <si>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</si>
  <si>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</si>
  <si>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SubDimension</t>
  </si>
  <si>
    <t>BMK Top 5</t>
  </si>
  <si>
    <t>BMK Mejores</t>
  </si>
  <si>
    <t>Dif2</t>
  </si>
  <si>
    <t>Dif3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</si>
  <si>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</si>
  <si>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</si>
  <si>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</si>
  <si>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</si>
  <si>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</si>
  <si>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</si>
  <si>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</si>
  <si>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</si>
  <si>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</si>
  <si>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</si>
  <si>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</si>
  <si>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</si>
  <si>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</si>
  <si>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</si>
  <si>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</si>
  <si>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</si>
  <si>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</si>
  <si>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</si>
  <si>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</si>
  <si>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</si>
  <si>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</si>
  <si>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</si>
  <si>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</si>
  <si>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</si>
  <si>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</si>
  <si>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</si>
  <si>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</si>
  <si>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</si>
  <si>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</si>
  <si>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</si>
  <si>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</si>
  <si>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</si>
  <si>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</si>
  <si>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</si>
  <si>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</si>
  <si>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</si>
  <si>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</si>
  <si>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</si>
  <si>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</si>
  <si>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</si>
  <si>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</si>
  <si>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</si>
  <si>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</si>
  <si>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</si>
  <si>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</si>
  <si>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</si>
  <si>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</si>
  <si>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</si>
  <si>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</si>
  <si>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</si>
  <si>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</si>
  <si>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</si>
  <si>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</si>
  <si>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</si>
  <si>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</si>
  <si>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</si>
  <si>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</si>
  <si>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</si>
  <si>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</si>
  <si>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</si>
  <si>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</si>
  <si>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</si>
  <si>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</si>
  <si>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</si>
  <si>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</si>
  <si>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</si>
  <si>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</si>
  <si>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</si>
  <si>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</si>
  <si>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</si>
  <si>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</si>
  <si>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</si>
  <si>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</si>
  <si>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</si>
  <si>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</si>
  <si>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</si>
  <si>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</si>
  <si>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</si>
  <si>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</si>
  <si>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</si>
  <si>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</si>
  <si>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</si>
  <si>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</si>
  <si>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</si>
  <si>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</si>
  <si>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</si>
  <si>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</si>
  <si>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</si>
  <si>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</si>
  <si>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</si>
  <si>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</si>
  <si>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</si>
  <si>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</si>
  <si>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</si>
  <si>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</si>
  <si>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</si>
  <si>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</si>
  <si>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Resultados por Dimensiones</t>
  </si>
  <si>
    <t>IMPARCIALIDAD</t>
  </si>
  <si>
    <t>CREDIBILIDAD</t>
  </si>
  <si>
    <t>RESPETO</t>
  </si>
  <si>
    <t/>
  </si>
  <si>
    <t>Promedios</t>
  </si>
  <si>
    <t>Edad</t>
  </si>
  <si>
    <t>Género</t>
  </si>
  <si>
    <t>Demografia</t>
  </si>
  <si>
    <t>Identificador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</si>
  <si>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</si>
  <si>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</si>
  <si>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</si>
  <si>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</si>
  <si>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</si>
  <si>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</si>
  <si>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</si>
  <si>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</si>
  <si>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</si>
  <si>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</si>
  <si>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</si>
  <si>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</si>
  <si>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</si>
  <si>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</si>
  <si>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</si>
  <si>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</si>
  <si>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</si>
  <si>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</si>
  <si>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</si>
  <si>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</si>
  <si>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</si>
  <si>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</si>
  <si>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</si>
  <si>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</si>
  <si>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</si>
  <si>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</si>
  <si>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</si>
  <si>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</si>
  <si>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</si>
  <si>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</si>
  <si>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</si>
  <si>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</si>
  <si>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</si>
  <si>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</si>
  <si>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</si>
  <si>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</si>
  <si>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</si>
  <si>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</si>
  <si>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</si>
  <si>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</si>
  <si>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</si>
  <si>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</si>
  <si>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</si>
  <si>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</si>
  <si>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</si>
  <si>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</si>
  <si>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</si>
  <si>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</si>
  <si>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</si>
  <si>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</si>
  <si>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</si>
  <si>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</si>
  <si>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</si>
  <si>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</si>
  <si>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</si>
  <si>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</si>
  <si>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</si>
  <si>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</si>
  <si>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</si>
  <si>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</si>
  <si>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</si>
  <si>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</si>
  <si>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</si>
  <si>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</si>
  <si>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</si>
  <si>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</si>
  <si>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</si>
  <si>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</si>
  <si>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</si>
  <si>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</si>
  <si>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</si>
  <si>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</si>
  <si>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</si>
  <si>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</si>
  <si>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</si>
  <si>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</si>
  <si>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</si>
  <si>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</si>
  <si>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</si>
  <si>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</si>
  <si>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</si>
  <si>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</si>
  <si>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</si>
  <si>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</si>
  <si>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</si>
  <si>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</si>
  <si>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</si>
  <si>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</si>
  <si>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</si>
  <si>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</si>
  <si>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</si>
  <si>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</si>
  <si>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</si>
  <si>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</si>
  <si>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</si>
  <si>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</si>
  <si>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</si>
  <si>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</si>
  <si>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</si>
  <si>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</si>
  <si>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</si>
  <si>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</si>
  <si>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</si>
  <si>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</si>
  <si>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</si>
  <si>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</si>
  <si>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</si>
  <si>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TablaSintesis1</t>
  </si>
  <si>
    <t>SentenciasAdicionales1</t>
  </si>
  <si>
    <t>M73</t>
  </si>
  <si>
    <t>M78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</si>
  <si>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</si>
  <si>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</si>
  <si>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</si>
  <si>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</si>
  <si>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</si>
  <si>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</si>
  <si>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</si>
  <si>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</si>
  <si>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</si>
  <si>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</si>
  <si>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</si>
  <si>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</si>
  <si>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</si>
  <si>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</si>
  <si>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</si>
  <si>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</si>
  <si>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</si>
  <si>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</si>
  <si>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</si>
  <si>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</si>
  <si>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</si>
  <si>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</si>
  <si>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</si>
  <si>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</si>
  <si>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</si>
  <si>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</si>
  <si>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</si>
  <si>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</si>
  <si>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</si>
  <si>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</si>
  <si>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</si>
  <si>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</si>
  <si>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</si>
  <si>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</si>
  <si>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</si>
  <si>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</si>
  <si>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</si>
  <si>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</si>
  <si>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</si>
  <si>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</si>
  <si>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</si>
  <si>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Cargo</t>
  </si>
  <si>
    <t>Antigüedad en la Empresa</t>
  </si>
  <si>
    <t>Jornada Laboral</t>
  </si>
  <si>
    <t>Cantidad de Reuniones de Feedback en FY16</t>
  </si>
  <si>
    <t>Lob1</t>
  </si>
  <si>
    <t>Lob2</t>
  </si>
  <si>
    <t>Lob3</t>
  </si>
  <si>
    <t>Cloud Services</t>
  </si>
  <si>
    <t>Development</t>
  </si>
  <si>
    <t>GBU´s/IBU´S</t>
  </si>
  <si>
    <t>TI ORACLE Argentina</t>
  </si>
  <si>
    <t>BMK Mejores Empresas Argentina 2015</t>
  </si>
  <si>
    <t>Dif. Argentina FY17 - FY16</t>
  </si>
  <si>
    <t xml:space="preserve">Dif. Argentina FY17 - BMK </t>
  </si>
  <si>
    <t>M6 y superiores</t>
  </si>
  <si>
    <t>M5 o M4</t>
  </si>
  <si>
    <t>M3, M2 o M1</t>
  </si>
  <si>
    <t>Individual Contributor</t>
  </si>
  <si>
    <t>e-Talent</t>
  </si>
  <si>
    <t>Menos de 1 año</t>
  </si>
  <si>
    <t>1 a 3 años</t>
  </si>
  <si>
    <t>4 a 6 años</t>
  </si>
  <si>
    <t>7 a 10 años</t>
  </si>
  <si>
    <t>Más de 10 años</t>
  </si>
  <si>
    <t>Jornada Completa</t>
  </si>
  <si>
    <t>Jornada Parcial</t>
  </si>
  <si>
    <t>GBU´s/IBU´S- Bob Weiler´s / Dontatelli´s Org</t>
  </si>
  <si>
    <t>Global G&amp;A/Manufacturing (SSC &amp; Others)</t>
  </si>
  <si>
    <t>Global IT</t>
  </si>
  <si>
    <t>Global Sales CEO Office</t>
  </si>
  <si>
    <t>Product Support</t>
  </si>
  <si>
    <t>Eduardo Lopez´s Org (excl. Consulting)</t>
  </si>
  <si>
    <t>LAD Consulting</t>
  </si>
  <si>
    <t>LAD Customer Services</t>
  </si>
  <si>
    <t>LAD Deal Management</t>
  </si>
  <si>
    <t>LAD Education</t>
  </si>
  <si>
    <t>LAD Facilities</t>
  </si>
  <si>
    <t>LAD Finance &amp; Operations (Cheryl McDowell´s)</t>
  </si>
  <si>
    <t>LAD HR</t>
  </si>
  <si>
    <t>LAD Legal</t>
  </si>
  <si>
    <t>LAD Licenses &amp; Systems</t>
  </si>
  <si>
    <t>LAD LMS</t>
  </si>
  <si>
    <t>LAD Marketing</t>
  </si>
  <si>
    <t>LAD Recruiting</t>
  </si>
  <si>
    <t>LAD Support</t>
  </si>
  <si>
    <t>Cloud Services-Business Development (Tony Gray´s Org)</t>
  </si>
  <si>
    <t>Cloud Services-Solution Management (Bearzi´s Org)</t>
  </si>
  <si>
    <t>Development - Apps (Steve Miranda´s Org)</t>
  </si>
  <si>
    <t>Development - Corporate Arquitect-Screven´s Org</t>
  </si>
  <si>
    <t>Development-All Others</t>
  </si>
  <si>
    <t>Development-Fusion Middleware (Singh Inderjeet´s Org)</t>
  </si>
  <si>
    <t>Coverage Infraestructure (Donatelli´s Org)</t>
  </si>
  <si>
    <t>GBU-All Others</t>
  </si>
  <si>
    <t>GBU-Mike Webster´s Org</t>
  </si>
  <si>
    <t>GBU-Suriano Douglas´s Org</t>
  </si>
  <si>
    <t>ES22</t>
  </si>
  <si>
    <t>ER22</t>
  </si>
  <si>
    <t>LAD Licenses &amp; Systems (Cont.)</t>
  </si>
  <si>
    <t>Región</t>
  </si>
  <si>
    <t>El principal motivo por el que permanezco en esta empresa es</t>
  </si>
  <si>
    <t>Finance - Controller Group (Augusto Serrano Villate´s Org)</t>
  </si>
  <si>
    <t>Safra Catz Org-All Others</t>
  </si>
  <si>
    <t>IT - O´Shea´s org</t>
  </si>
  <si>
    <t>IT- All Others</t>
  </si>
  <si>
    <t>Worldwide Alliances &amp; Channel (Penny Philpot´s Org)</t>
  </si>
  <si>
    <t>Worldwide Operations (Jennifer Birk´s Org)</t>
  </si>
  <si>
    <t>Product Support-All Others</t>
  </si>
  <si>
    <t>Product Support-System Disk (Deborah Smith´s Org)</t>
  </si>
  <si>
    <t>LAD Arquitecture</t>
  </si>
  <si>
    <t>LAD Customer Care</t>
  </si>
  <si>
    <t>LAD Customer Success</t>
  </si>
  <si>
    <t>LAD Pre-Sales Apps</t>
  </si>
  <si>
    <t>Consulting All Others</t>
  </si>
  <si>
    <t>Consulting-Delivery</t>
  </si>
  <si>
    <t>Consulting-Sales</t>
  </si>
  <si>
    <t>Customer Services-ACS Sales</t>
  </si>
  <si>
    <t>Customer Services-All Others</t>
  </si>
  <si>
    <t>Customer Services-Lopes´s Org</t>
  </si>
  <si>
    <t>Customer Services-Martinez´s Org</t>
  </si>
  <si>
    <t>Customer Services-Operations</t>
  </si>
  <si>
    <t>Customer Services-Perez´s org</t>
  </si>
  <si>
    <t>Deal Management-(Rafael Lara´Org)</t>
  </si>
  <si>
    <t>Education - Oracle University</t>
  </si>
  <si>
    <t>Facilities</t>
  </si>
  <si>
    <t>Finance - McDowell´s org</t>
  </si>
  <si>
    <t>LAD HR - Carolina Florez´s Org</t>
  </si>
  <si>
    <t>Legal</t>
  </si>
  <si>
    <t>LAD Systems Pre-Sales</t>
  </si>
  <si>
    <t>LAD Systems Sales</t>
  </si>
  <si>
    <t>Licenses - Customer Experience</t>
  </si>
  <si>
    <t>Licenses - DB &amp; MDW</t>
  </si>
  <si>
    <t>Licenses - Innovate</t>
  </si>
  <si>
    <t>Licenses - LAD Alliances</t>
  </si>
  <si>
    <t>Licenses - Oracle Direct</t>
  </si>
  <si>
    <t>Licenses - PreSales Tech</t>
  </si>
  <si>
    <t>Licenses - Public Sector</t>
  </si>
  <si>
    <t>Licenses- All Others</t>
  </si>
  <si>
    <t>Licenses - Operation Efficiency (ERP/EPM-HCM)</t>
  </si>
  <si>
    <t>LMS</t>
  </si>
  <si>
    <t>Marketing - All Others</t>
  </si>
  <si>
    <t>Marketing - Borst`s org</t>
  </si>
  <si>
    <t>Marketing - Corporate Communications` org</t>
  </si>
  <si>
    <t>LAD Recruiting - All Others</t>
  </si>
  <si>
    <t>LAD Recruiting - Valeria Delgado´s Org</t>
  </si>
  <si>
    <t>LAD Product Support - ACS Delivery</t>
  </si>
  <si>
    <t>LAD Product Support - Systems Support</t>
  </si>
  <si>
    <t>Región Global</t>
  </si>
  <si>
    <t>Región LAD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</si>
  <si>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</si>
  <si>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</si>
  <si>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</si>
  <si>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</si>
  <si>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</si>
  <si>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ojo, este corte demografico llamado LOB en la ppt esta todo junto, pero necesitamos en este reporte asi separados</t>
  </si>
  <si>
    <t>Demografias</t>
  </si>
  <si>
    <t>Grafico</t>
  </si>
  <si>
    <t>Hoja de Datos</t>
  </si>
  <si>
    <t>Dimension Inicial</t>
  </si>
  <si>
    <t>Dimension Final</t>
  </si>
  <si>
    <t>Valor Inicial</t>
  </si>
  <si>
    <t>Valor Final</t>
  </si>
  <si>
    <t>Tipo de Grafico</t>
  </si>
  <si>
    <t>Habilitado</t>
  </si>
  <si>
    <t>Nro. de Filmina</t>
  </si>
  <si>
    <t>Posicion</t>
  </si>
  <si>
    <t>GrafDemo1</t>
  </si>
  <si>
    <t>D2</t>
  </si>
  <si>
    <t>J2</t>
  </si>
  <si>
    <t>D17</t>
  </si>
  <si>
    <t>J17</t>
  </si>
  <si>
    <t>(0,0)</t>
  </si>
  <si>
    <t>GrafDemo_Bis1</t>
  </si>
  <si>
    <t>GrafDemo2</t>
  </si>
  <si>
    <t>P2</t>
  </si>
  <si>
    <t>P17</t>
  </si>
  <si>
    <t>GrafDemo_Bis2</t>
  </si>
  <si>
    <t>GrafDemo3</t>
  </si>
  <si>
    <t>S2</t>
  </si>
  <si>
    <t>S17</t>
  </si>
  <si>
    <t>GrafDemo_Bis3</t>
  </si>
  <si>
    <t>GrafDemo4</t>
  </si>
  <si>
    <t>Y2</t>
  </si>
  <si>
    <t>Y17</t>
  </si>
  <si>
    <t>GrafDemo_Bis4</t>
  </si>
  <si>
    <t>GrafDemo5</t>
  </si>
  <si>
    <t>GrafDemo_Bis5</t>
  </si>
  <si>
    <t>GrafDemo6</t>
  </si>
  <si>
    <t>GrafDemo_Bis6</t>
  </si>
  <si>
    <t>GrafDemo7</t>
  </si>
  <si>
    <t>AS2</t>
  </si>
  <si>
    <t>AS17</t>
  </si>
  <si>
    <t>GrafDemo_Bis7</t>
  </si>
  <si>
    <t>GrafDemo8</t>
  </si>
  <si>
    <t>BK2</t>
  </si>
  <si>
    <t>BK17</t>
  </si>
  <si>
    <t>GrafDemo_Bis8</t>
  </si>
  <si>
    <t>GrafDemo9</t>
  </si>
  <si>
    <t>BQ2</t>
  </si>
  <si>
    <t>BQ17</t>
  </si>
  <si>
    <t>GrafDemo_Bis9</t>
  </si>
  <si>
    <t>GrafDemo10</t>
  </si>
  <si>
    <t>BS2</t>
  </si>
  <si>
    <t>BV2</t>
  </si>
  <si>
    <t>BS17</t>
  </si>
  <si>
    <t>BV17</t>
  </si>
  <si>
    <t>GrafDemo_Bis10</t>
  </si>
  <si>
    <t>N2</t>
  </si>
  <si>
    <t>N17</t>
  </si>
  <si>
    <t>Q2</t>
  </si>
  <si>
    <t>Q17</t>
  </si>
  <si>
    <t>W2</t>
  </si>
  <si>
    <t>W17</t>
  </si>
  <si>
    <t>AC2</t>
  </si>
  <si>
    <t>AC17</t>
  </si>
  <si>
    <t>AE2</t>
  </si>
  <si>
    <t>AF2</t>
  </si>
  <si>
    <t>AE17</t>
  </si>
  <si>
    <t>AF17</t>
  </si>
  <si>
    <t>AH2</t>
  </si>
  <si>
    <t>AK2</t>
  </si>
  <si>
    <t>AH17</t>
  </si>
  <si>
    <t>AK17</t>
  </si>
  <si>
    <t>AM2</t>
  </si>
  <si>
    <t>AM17</t>
  </si>
  <si>
    <t>AU2</t>
  </si>
  <si>
    <t>BA2</t>
  </si>
  <si>
    <t>AU17</t>
  </si>
  <si>
    <t>BA17</t>
  </si>
  <si>
    <t>BC2</t>
  </si>
  <si>
    <t>BI2</t>
  </si>
  <si>
    <t>BC17</t>
  </si>
  <si>
    <t>BI17</t>
  </si>
  <si>
    <t>GrafDemo11</t>
  </si>
  <si>
    <t>BL2</t>
  </si>
  <si>
    <t>BL17</t>
  </si>
  <si>
    <t>GrafDemo_Bis11</t>
  </si>
  <si>
    <t>GrafDemo12</t>
  </si>
  <si>
    <t>BN2</t>
  </si>
  <si>
    <t>BN17</t>
  </si>
  <si>
    <t>GrafDemo_Bis12</t>
  </si>
  <si>
    <t>GrafDemo13</t>
  </si>
  <si>
    <t>GrafDemo_Bis13</t>
  </si>
  <si>
    <t>GrafDemo14</t>
  </si>
  <si>
    <t>BX2</t>
  </si>
  <si>
    <t>BY2</t>
  </si>
  <si>
    <t>BX17</t>
  </si>
  <si>
    <t>BY17</t>
  </si>
  <si>
    <t>GrafDemo_Bis14</t>
  </si>
  <si>
    <t>GrafDemo15</t>
  </si>
  <si>
    <t>CA2</t>
  </si>
  <si>
    <t>CB2</t>
  </si>
  <si>
    <t>CA17</t>
  </si>
  <si>
    <t>CB17</t>
  </si>
  <si>
    <t>GrafDemo_Bis15</t>
  </si>
  <si>
    <t>GrafDemo16</t>
  </si>
  <si>
    <t>CD2</t>
  </si>
  <si>
    <t>CE2</t>
  </si>
  <si>
    <t>CD17</t>
  </si>
  <si>
    <t>CE17</t>
  </si>
  <si>
    <t>GrafDemo_Bis16</t>
  </si>
  <si>
    <t>GrafDemo17</t>
  </si>
  <si>
    <t>CG2</t>
  </si>
  <si>
    <t>CH2</t>
  </si>
  <si>
    <t>CG17</t>
  </si>
  <si>
    <t>CH17</t>
  </si>
  <si>
    <t>GrafDemo_Bis17</t>
  </si>
  <si>
    <t>GrafDemo18</t>
  </si>
  <si>
    <t>CJ2</t>
  </si>
  <si>
    <t>CM2</t>
  </si>
  <si>
    <t>CJ17</t>
  </si>
  <si>
    <t>CM17</t>
  </si>
  <si>
    <t>GrafDemo_Bis18</t>
  </si>
  <si>
    <t>GrafDemo19</t>
  </si>
  <si>
    <t>CO2</t>
  </si>
  <si>
    <t>CQ2</t>
  </si>
  <si>
    <t>CO17</t>
  </si>
  <si>
    <t>CQ17</t>
  </si>
  <si>
    <t>GrafDemo_Bis19</t>
  </si>
  <si>
    <t>GrafDemo20</t>
  </si>
  <si>
    <t>CS2</t>
  </si>
  <si>
    <t>CX2</t>
  </si>
  <si>
    <t>CS17</t>
  </si>
  <si>
    <t>CX17</t>
  </si>
  <si>
    <t>GrafDemo_Bis20</t>
  </si>
  <si>
    <t>GrafDemo21</t>
  </si>
  <si>
    <t>CZ2</t>
  </si>
  <si>
    <t>CZ17</t>
  </si>
  <si>
    <t>GrafDemo_Bis21</t>
  </si>
  <si>
    <t>GrafDemo22</t>
  </si>
  <si>
    <t>DB2</t>
  </si>
  <si>
    <t>DB17</t>
  </si>
  <si>
    <t>GrafDemo_Bis22</t>
  </si>
  <si>
    <t>GrafDemo23</t>
  </si>
  <si>
    <t>DD2</t>
  </si>
  <si>
    <t>DD17</t>
  </si>
  <si>
    <t>GrafDemo_Bis23</t>
  </si>
  <si>
    <t>GrafDemo24</t>
  </si>
  <si>
    <t>DF2</t>
  </si>
  <si>
    <t>DF17</t>
  </si>
  <si>
    <t>GrafDemo_Bis24</t>
  </si>
  <si>
    <t>GrafDemo25</t>
  </si>
  <si>
    <t>DH2</t>
  </si>
  <si>
    <t>DH17</t>
  </si>
  <si>
    <t>GrafDemo_Bis25</t>
  </si>
  <si>
    <t>GrafDemo26</t>
  </si>
  <si>
    <t>DJ2</t>
  </si>
  <si>
    <t>DJ17</t>
  </si>
  <si>
    <t>GrafDemo_Bis26</t>
  </si>
  <si>
    <t>GrafDemo27</t>
  </si>
  <si>
    <t>DL2</t>
  </si>
  <si>
    <t>DQ2</t>
  </si>
  <si>
    <t>DL17</t>
  </si>
  <si>
    <t>DQ17</t>
  </si>
  <si>
    <t>GrafDemo_Bis27</t>
  </si>
  <si>
    <t>GrafDemo28</t>
  </si>
  <si>
    <t>DS2</t>
  </si>
  <si>
    <t>DW2</t>
  </si>
  <si>
    <t>DS17</t>
  </si>
  <si>
    <t>DW17</t>
  </si>
  <si>
    <t>GrafDemo_Bis28</t>
  </si>
  <si>
    <t>GrafDemo29</t>
  </si>
  <si>
    <t>DY2</t>
  </si>
  <si>
    <t>DY17</t>
  </si>
  <si>
    <t>GrafDemo_Bis29</t>
  </si>
  <si>
    <t>GrafDemo30</t>
  </si>
  <si>
    <t>EA2</t>
  </si>
  <si>
    <t>EC2</t>
  </si>
  <si>
    <t>EA17</t>
  </si>
  <si>
    <t>EC17</t>
  </si>
  <si>
    <t>GrafDemo_Bis30</t>
  </si>
  <si>
    <t>GrafDemo31</t>
  </si>
  <si>
    <t>EE2</t>
  </si>
  <si>
    <t>EF2</t>
  </si>
  <si>
    <t>EE17</t>
  </si>
  <si>
    <t>EF17</t>
  </si>
  <si>
    <t>GrafDemo_Bis31</t>
  </si>
  <si>
    <t>GrafDemo32</t>
  </si>
  <si>
    <t>EH2</t>
  </si>
  <si>
    <t>EI2</t>
  </si>
  <si>
    <t>EH17</t>
  </si>
  <si>
    <t>EI17</t>
  </si>
  <si>
    <t>GrafDemo_Bis32</t>
  </si>
  <si>
    <t>GrafDemo33</t>
  </si>
  <si>
    <t>EK2</t>
  </si>
  <si>
    <t>EL2</t>
  </si>
  <si>
    <t>EK17</t>
  </si>
  <si>
    <t>EL17</t>
  </si>
  <si>
    <t>GrafDemo_Bis33</t>
  </si>
  <si>
    <t>GrafDemo34</t>
  </si>
  <si>
    <t>EN2</t>
  </si>
  <si>
    <t>ER2</t>
  </si>
  <si>
    <t>EN17</t>
  </si>
  <si>
    <t>ER17</t>
  </si>
  <si>
    <t>GrafDemo_Bis34</t>
  </si>
  <si>
    <t>GrafDemo_Uni1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</si>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</sst>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1"/>
      <name val="Arial"/>
      <family val="2"/>
    </font>
    <font>
      <b/>
      <sz val="7"/>
      <color rgb="FF000000"/>
      <name val="Arial"/>
      <family val="2"/>
    </font>
    <font>
      <sz val="7"/>
      <color rgb="FF000000"/>
      <name val="Arial"/>
      <family val="2"/>
    </font>
    <font>
      <b/>
      <sz val="14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CE"/>
        <bgColor indexed="64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 style="thin">
        <color rgb="FF808080"/>
      </left>
      <right/>
      <top style="thin">
        <color rgb="FF808080"/>
      </top>
      <bottom/>
      <diagonal/>
    </border>
    <border>
      <left/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 style="thin">
        <color theme="1" tint="0.499984740745262"/>
      </top>
      <bottom style="thin">
        <color rgb="FF808080"/>
      </bottom>
      <diagonal/>
    </border>
    <border>
      <left/>
      <right style="thin">
        <color rgb="FF808080"/>
      </right>
      <top style="thin">
        <color theme="0" tint="-0.499984740745262"/>
      </top>
      <bottom style="thin">
        <color rgb="FF808080"/>
      </bottom>
      <diagonal/>
    </border>
    <border>
      <left style="thin">
        <color rgb="FF808080"/>
      </left>
      <right/>
      <top style="thin">
        <color theme="0" tint="-0.499984740745262"/>
      </top>
      <bottom style="thin">
        <color rgb="FF808080"/>
      </bottom>
      <diagonal/>
    </border>
    <border>
      <left style="thin">
        <color rgb="FF808080"/>
      </left>
      <right/>
      <top/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291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4" fillId="15" borderId="0" xfId="0" applyFont="1" applyFill="1" applyBorder="1" applyAlignment="1">
      <alignment horizontal="center" vertical="center" wrapText="1"/>
    </xf>
    <xf numFmtId="0" fontId="25" fillId="15" borderId="0" xfId="0" applyFont="1" applyFill="1" applyBorder="1" applyAlignment="1">
      <alignment horizontal="left" vertical="center" wrapText="1"/>
    </xf>
    <xf numFmtId="1" fontId="26" fillId="16" borderId="0" xfId="0" applyNumberFormat="1" applyFont="1" applyFill="1" applyBorder="1" applyAlignment="1">
      <alignment horizontal="center" vertical="center"/>
    </xf>
    <xf numFmtId="0" fontId="24" fillId="15" borderId="14" xfId="0" applyFont="1" applyFill="1" applyBorder="1" applyAlignment="1">
      <alignment horizontal="center" vertical="center" wrapText="1"/>
    </xf>
    <xf numFmtId="0" fontId="25" fillId="15" borderId="14" xfId="0" applyFont="1" applyFill="1" applyBorder="1" applyAlignment="1">
      <alignment horizontal="left" vertical="center" wrapText="1"/>
    </xf>
    <xf numFmtId="1" fontId="26" fillId="16" borderId="15" xfId="0" applyNumberFormat="1" applyFont="1" applyFill="1" applyBorder="1" applyAlignment="1">
      <alignment horizontal="center" vertical="center"/>
    </xf>
    <xf numFmtId="1" fontId="26" fillId="16" borderId="14" xfId="0" applyNumberFormat="1" applyFont="1" applyFill="1" applyBorder="1" applyAlignment="1">
      <alignment horizontal="center" vertical="center"/>
    </xf>
    <xf numFmtId="1" fontId="26" fillId="16" borderId="12" xfId="0" applyNumberFormat="1" applyFont="1" applyFill="1" applyBorder="1" applyAlignment="1">
      <alignment horizontal="center" vertical="center"/>
    </xf>
    <xf numFmtId="0" fontId="27" fillId="15" borderId="15" xfId="0" applyFont="1" applyFill="1" applyBorder="1" applyAlignment="1">
      <alignment horizontal="center" vertical="center" wrapText="1"/>
    </xf>
    <xf numFmtId="0" fontId="25" fillId="15" borderId="15" xfId="0" applyFont="1" applyFill="1" applyBorder="1" applyAlignment="1">
      <alignment horizontal="left" vertical="center" wrapText="1"/>
    </xf>
    <xf numFmtId="1" fontId="26" fillId="19" borderId="15" xfId="0" applyNumberFormat="1" applyFont="1" applyFill="1" applyBorder="1" applyAlignment="1">
      <alignment horizontal="center" vertical="center"/>
    </xf>
    <xf numFmtId="0" fontId="27" fillId="15" borderId="14" xfId="0" applyFont="1" applyFill="1" applyBorder="1" applyAlignment="1">
      <alignment horizontal="center" vertical="center" wrapText="1"/>
    </xf>
    <xf numFmtId="1" fontId="26" fillId="19" borderId="14" xfId="0" applyNumberFormat="1" applyFont="1" applyFill="1" applyBorder="1" applyAlignment="1">
      <alignment horizontal="center" vertical="center"/>
    </xf>
    <xf numFmtId="0" fontId="27" fillId="15" borderId="0" xfId="0" applyFont="1" applyFill="1" applyBorder="1" applyAlignment="1">
      <alignment horizontal="center" vertical="center" wrapText="1"/>
    </xf>
    <xf numFmtId="1" fontId="26" fillId="19" borderId="0" xfId="0" applyNumberFormat="1" applyFont="1" applyFill="1" applyBorder="1" applyAlignment="1">
      <alignment horizontal="center" vertical="center"/>
    </xf>
    <xf numFmtId="1" fontId="28" fillId="19" borderId="14" xfId="0" applyNumberFormat="1" applyFont="1" applyFill="1" applyBorder="1" applyAlignment="1">
      <alignment horizontal="center" vertical="center"/>
    </xf>
    <xf numFmtId="0" fontId="27" fillId="15" borderId="18" xfId="0" applyFont="1" applyFill="1" applyBorder="1" applyAlignment="1">
      <alignment horizontal="center" vertical="center" wrapText="1"/>
    </xf>
    <xf numFmtId="0" fontId="25" fillId="15" borderId="18" xfId="0" applyFont="1" applyFill="1" applyBorder="1" applyAlignment="1">
      <alignment horizontal="left" vertical="center" wrapText="1"/>
    </xf>
    <xf numFmtId="0" fontId="22" fillId="21" borderId="12" xfId="0" applyFont="1" applyFill="1" applyBorder="1" applyAlignment="1">
      <alignment horizontal="center" vertical="center" wrapText="1"/>
    </xf>
    <xf numFmtId="0" fontId="27" fillId="15" borderId="12" xfId="0" applyFont="1" applyFill="1" applyBorder="1" applyAlignment="1">
      <alignment horizontal="center" vertical="center" wrapText="1"/>
    </xf>
    <xf numFmtId="1" fontId="26" fillId="19" borderId="12" xfId="0" applyNumberFormat="1" applyFont="1" applyFill="1" applyBorder="1" applyAlignment="1">
      <alignment horizontal="center" vertical="center"/>
    </xf>
    <xf numFmtId="0" fontId="24" fillId="15" borderId="15" xfId="0" applyFont="1" applyFill="1" applyBorder="1" applyAlignment="1">
      <alignment horizontal="center" vertical="center" wrapText="1"/>
    </xf>
    <xf numFmtId="0" fontId="30" fillId="15" borderId="0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left" vertical="center" wrapText="1"/>
    </xf>
    <xf numFmtId="0" fontId="30" fillId="15" borderId="14" xfId="0" applyFont="1" applyFill="1" applyBorder="1" applyAlignment="1">
      <alignment horizontal="center" vertical="center" wrapText="1"/>
    </xf>
    <xf numFmtId="0" fontId="29" fillId="15" borderId="14" xfId="0" applyFont="1" applyFill="1" applyBorder="1" applyAlignment="1">
      <alignment horizontal="left" vertical="center" wrapText="1"/>
    </xf>
    <xf numFmtId="0" fontId="30" fillId="15" borderId="15" xfId="0" applyFont="1" applyFill="1" applyBorder="1" applyAlignment="1">
      <alignment horizontal="center" vertical="center" wrapText="1"/>
    </xf>
    <xf numFmtId="0" fontId="29" fillId="15" borderId="15" xfId="0" applyFont="1" applyFill="1" applyBorder="1" applyAlignment="1">
      <alignment horizontal="left" vertical="center" wrapText="1"/>
    </xf>
    <xf numFmtId="0" fontId="32" fillId="0" borderId="22" xfId="0" applyFont="1" applyFill="1" applyBorder="1" applyAlignment="1">
      <alignment horizontal="left" vertical="center"/>
    </xf>
    <xf numFmtId="0" fontId="32" fillId="0" borderId="22" xfId="0" applyFont="1" applyFill="1" applyBorder="1" applyAlignment="1">
      <alignment horizontal="left" vertical="center" wrapText="1"/>
    </xf>
    <xf numFmtId="0" fontId="33" fillId="0" borderId="22" xfId="0" applyFont="1" applyFill="1" applyBorder="1" applyAlignment="1">
      <alignment horizontal="left" vertical="center" wrapText="1"/>
    </xf>
    <xf numFmtId="1" fontId="34" fillId="0" borderId="22" xfId="0" applyNumberFormat="1" applyFont="1" applyFill="1" applyBorder="1" applyAlignment="1">
      <alignment horizontal="center" vertical="center"/>
    </xf>
    <xf numFmtId="1" fontId="34" fillId="0" borderId="22" xfId="0" applyNumberFormat="1" applyFont="1" applyFill="1" applyBorder="1" applyAlignment="1">
      <alignment horizontal="center" vertical="center" wrapText="1"/>
    </xf>
    <xf numFmtId="0" fontId="32" fillId="0" borderId="23" xfId="0" applyFont="1" applyFill="1" applyBorder="1" applyAlignment="1">
      <alignment horizontal="left" vertical="center"/>
    </xf>
    <xf numFmtId="0" fontId="32" fillId="0" borderId="23" xfId="0" applyFont="1" applyFill="1" applyBorder="1" applyAlignment="1">
      <alignment horizontal="left" vertical="center" wrapText="1"/>
    </xf>
    <xf numFmtId="0" fontId="33" fillId="0" borderId="23" xfId="0" applyFont="1" applyFill="1" applyBorder="1" applyAlignment="1">
      <alignment horizontal="left" vertical="center" wrapText="1"/>
    </xf>
    <xf numFmtId="1" fontId="34" fillId="0" borderId="23" xfId="0" applyNumberFormat="1" applyFont="1" applyFill="1" applyBorder="1" applyAlignment="1">
      <alignment horizontal="center" vertical="center"/>
    </xf>
    <xf numFmtId="1" fontId="34" fillId="0" borderId="23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38" fillId="5" borderId="0" xfId="0" applyFont="1" applyFill="1" applyAlignment="1">
      <alignment horizontal="right" vertical="center" wrapText="1"/>
    </xf>
    <xf numFmtId="0" fontId="39" fillId="29" borderId="26" xfId="0" applyFont="1" applyFill="1" applyBorder="1" applyAlignment="1">
      <alignment vertical="center" wrapText="1"/>
    </xf>
    <xf numFmtId="0" fontId="41" fillId="0" borderId="6" xfId="0" applyFont="1" applyBorder="1" applyAlignment="1">
      <alignment horizontal="center" vertical="center" textRotation="90" wrapText="1"/>
    </xf>
    <xf numFmtId="0" fontId="42" fillId="28" borderId="25" xfId="0" applyFont="1" applyFill="1" applyBorder="1" applyAlignment="1">
      <alignment horizontal="right" vertical="center"/>
    </xf>
    <xf numFmtId="0" fontId="8" fillId="28" borderId="5" xfId="0" applyFont="1" applyFill="1" applyBorder="1" applyAlignment="1">
      <alignment horizontal="right" vertical="center"/>
    </xf>
    <xf numFmtId="0" fontId="8" fillId="28" borderId="6" xfId="0" applyFont="1" applyFill="1" applyBorder="1" applyAlignment="1">
      <alignment horizontal="center" vertical="center" wrapText="1"/>
    </xf>
    <xf numFmtId="0" fontId="42" fillId="30" borderId="25" xfId="0" applyFont="1" applyFill="1" applyBorder="1" applyAlignment="1">
      <alignment horizontal="right" vertical="center"/>
    </xf>
    <xf numFmtId="0" fontId="8" fillId="30" borderId="5" xfId="0" applyFont="1" applyFill="1" applyBorder="1" applyAlignment="1">
      <alignment horizontal="right" vertical="center"/>
    </xf>
    <xf numFmtId="0" fontId="8" fillId="30" borderId="6" xfId="0" applyFont="1" applyFill="1" applyBorder="1" applyAlignment="1">
      <alignment horizontal="center" vertical="center" wrapText="1"/>
    </xf>
    <xf numFmtId="0" fontId="43" fillId="6" borderId="25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44" fillId="5" borderId="26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4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38" fillId="28" borderId="28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47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39" fillId="29" borderId="26" xfId="0" applyNumberFormat="1" applyFont="1" applyFill="1" applyBorder="1" applyAlignment="1">
      <alignment vertical="center" wrapText="1"/>
    </xf>
    <xf numFmtId="167" fontId="8" fillId="30" borderId="6" xfId="1" applyNumberFormat="1" applyFont="1" applyFill="1" applyBorder="1" applyAlignment="1">
      <alignment horizontal="center" vertical="center" wrapText="1"/>
    </xf>
    <xf numFmtId="0" fontId="48" fillId="26" borderId="8" xfId="0" applyFont="1" applyFill="1" applyBorder="1"/>
    <xf numFmtId="0" fontId="35" fillId="25" borderId="19" xfId="0" applyFont="1" applyFill="1" applyBorder="1" applyAlignment="1">
      <alignment horizontal="center" vertical="center"/>
    </xf>
    <xf numFmtId="0" fontId="48" fillId="26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48" fillId="35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8" fillId="26" borderId="8" xfId="0" applyFont="1" applyFill="1" applyBorder="1" applyAlignment="1">
      <alignment horizontal="center" vertical="center"/>
    </xf>
    <xf numFmtId="0" fontId="48" fillId="36" borderId="8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35" fillId="25" borderId="8" xfId="0" applyFont="1" applyFill="1" applyBorder="1" applyAlignment="1">
      <alignment horizontal="center" vertical="center"/>
    </xf>
    <xf numFmtId="0" fontId="48" fillId="27" borderId="8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7" borderId="19" xfId="0" applyFont="1" applyFill="1" applyBorder="1" applyAlignment="1">
      <alignment horizontal="center" vertical="center"/>
    </xf>
    <xf numFmtId="0" fontId="7" fillId="0" borderId="0" xfId="0" applyFont="1"/>
    <xf numFmtId="0" fontId="48" fillId="26" borderId="8" xfId="0" applyFont="1" applyFill="1" applyBorder="1" applyAlignment="1">
      <alignment horizontal="center" wrapText="1"/>
    </xf>
    <xf numFmtId="0" fontId="48" fillId="35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1" xfId="0" applyBorder="1" applyAlignment="1">
      <alignment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2" xfId="0" applyBorder="1" applyAlignment="1">
      <alignment vertical="center" wrapText="1"/>
    </xf>
    <xf numFmtId="0" fontId="0" fillId="0" borderId="32" xfId="0" applyBorder="1" applyAlignment="1">
      <alignment horizontal="center" vertical="center" wrapText="1"/>
    </xf>
    <xf numFmtId="0" fontId="0" fillId="0" borderId="33" xfId="0" applyBorder="1" applyAlignment="1">
      <alignment vertical="center" wrapText="1"/>
    </xf>
    <xf numFmtId="0" fontId="0" fillId="0" borderId="33" xfId="0" applyBorder="1" applyAlignment="1">
      <alignment horizontal="center" vertical="center" wrapText="1"/>
    </xf>
    <xf numFmtId="0" fontId="0" fillId="0" borderId="34" xfId="0" applyBorder="1" applyAlignment="1">
      <alignment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vertical="center" wrapText="1"/>
    </xf>
    <xf numFmtId="0" fontId="0" fillId="0" borderId="35" xfId="0" applyBorder="1" applyAlignment="1">
      <alignment horizontal="center" vertical="center" wrapText="1"/>
    </xf>
    <xf numFmtId="0" fontId="23" fillId="14" borderId="14" xfId="0" applyFont="1" applyFill="1" applyBorder="1" applyAlignment="1">
      <alignment horizontal="center" vertical="center" wrapText="1"/>
    </xf>
    <xf numFmtId="0" fontId="39" fillId="29" borderId="38" xfId="0" applyFont="1" applyFill="1" applyBorder="1" applyAlignment="1">
      <alignment vertical="center" wrapText="1"/>
    </xf>
    <xf numFmtId="0" fontId="31" fillId="0" borderId="6" xfId="0" applyFont="1" applyBorder="1" applyAlignment="1">
      <alignment horizontal="center" vertical="center" textRotation="90" wrapText="1"/>
    </xf>
    <xf numFmtId="0" fontId="50" fillId="0" borderId="39" xfId="0" applyFont="1" applyBorder="1" applyAlignment="1">
      <alignment horizontal="center" vertical="center" textRotation="90" wrapText="1"/>
    </xf>
    <xf numFmtId="0" fontId="50" fillId="0" borderId="40" xfId="0" applyFont="1" applyBorder="1" applyAlignment="1">
      <alignment horizontal="center" vertical="center" textRotation="90" wrapText="1"/>
    </xf>
    <xf numFmtId="0" fontId="41" fillId="0" borderId="40" xfId="0" applyFont="1" applyBorder="1" applyAlignment="1">
      <alignment horizontal="center" vertical="center" textRotation="90" wrapText="1"/>
    </xf>
    <xf numFmtId="0" fontId="41" fillId="0" borderId="41" xfId="0" applyFont="1" applyBorder="1" applyAlignment="1">
      <alignment horizontal="center" vertical="center" textRotation="90" wrapText="1"/>
    </xf>
    <xf numFmtId="0" fontId="41" fillId="37" borderId="36" xfId="0" applyFont="1" applyFill="1" applyBorder="1" applyAlignment="1">
      <alignment horizontal="center" vertical="center" textRotation="90" wrapText="1"/>
    </xf>
    <xf numFmtId="0" fontId="39" fillId="29" borderId="26" xfId="0" applyFont="1" applyFill="1" applyBorder="1" applyAlignment="1">
      <alignment horizontal="center" vertical="center" wrapText="1"/>
    </xf>
    <xf numFmtId="0" fontId="41" fillId="37" borderId="28" xfId="0" applyFont="1" applyFill="1" applyBorder="1" applyAlignment="1">
      <alignment horizontal="center" vertical="center" textRotation="90" wrapText="1"/>
    </xf>
    <xf numFmtId="0" fontId="41" fillId="5" borderId="42" xfId="0" applyFont="1" applyFill="1" applyBorder="1" applyAlignment="1">
      <alignment horizontal="center" vertical="center" textRotation="90" wrapText="1"/>
    </xf>
    <xf numFmtId="0" fontId="8" fillId="28" borderId="25" xfId="0" applyFont="1" applyFill="1" applyBorder="1" applyAlignment="1">
      <alignment horizontal="right" vertical="center"/>
    </xf>
    <xf numFmtId="0" fontId="51" fillId="30" borderId="25" xfId="0" applyFont="1" applyFill="1" applyBorder="1" applyAlignment="1">
      <alignment horizontal="right" vertical="center"/>
    </xf>
    <xf numFmtId="0" fontId="51" fillId="30" borderId="5" xfId="0" applyFont="1" applyFill="1" applyBorder="1" applyAlignment="1">
      <alignment horizontal="right" vertical="center"/>
    </xf>
    <xf numFmtId="0" fontId="51" fillId="30" borderId="6" xfId="0" applyFont="1" applyFill="1" applyBorder="1" applyAlignment="1">
      <alignment horizontal="center" vertical="center" wrapText="1"/>
    </xf>
    <xf numFmtId="167" fontId="52" fillId="30" borderId="6" xfId="1" applyNumberFormat="1" applyFont="1" applyFill="1" applyBorder="1" applyAlignment="1">
      <alignment horizontal="center" vertical="center" wrapText="1"/>
    </xf>
    <xf numFmtId="0" fontId="41" fillId="37" borderId="36" xfId="0" applyFont="1" applyFill="1" applyBorder="1" applyAlignment="1">
      <alignment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35" fillId="38" borderId="0" xfId="0" applyFont="1" applyFill="1"/>
    <xf numFmtId="0" fontId="8" fillId="28" borderId="4" xfId="0" applyFont="1" applyFill="1" applyBorder="1" applyAlignment="1">
      <alignment horizontal="center" vertical="center" wrapText="1"/>
    </xf>
    <xf numFmtId="0" fontId="8" fillId="28" borderId="5" xfId="0" applyFont="1" applyFill="1" applyBorder="1" applyAlignment="1">
      <alignment horizontal="center" vertical="center" wrapText="1"/>
    </xf>
    <xf numFmtId="0" fontId="41" fillId="37" borderId="0" xfId="0" applyFont="1" applyFill="1" applyBorder="1" applyAlignment="1">
      <alignment horizontal="center" vertical="center" wrapText="1"/>
    </xf>
    <xf numFmtId="0" fontId="35" fillId="27" borderId="43" xfId="0" applyFont="1" applyFill="1" applyBorder="1" applyAlignment="1">
      <alignment horizontal="center" vertical="center"/>
    </xf>
    <xf numFmtId="0" fontId="53" fillId="26" borderId="19" xfId="0" applyFont="1" applyFill="1" applyBorder="1" applyAlignment="1">
      <alignment horizontal="center" vertical="center"/>
    </xf>
    <xf numFmtId="0" fontId="35" fillId="27" borderId="24" xfId="0" applyFont="1" applyFill="1" applyBorder="1" applyAlignment="1">
      <alignment horizontal="center" vertical="center"/>
    </xf>
    <xf numFmtId="0" fontId="35" fillId="27" borderId="8" xfId="0" applyFont="1" applyFill="1" applyBorder="1" applyAlignment="1">
      <alignment horizontal="center" vertical="center"/>
    </xf>
    <xf numFmtId="0" fontId="35" fillId="27" borderId="19" xfId="0" applyFont="1" applyFill="1" applyBorder="1" applyAlignment="1">
      <alignment horizontal="center" vertical="center"/>
    </xf>
    <xf numFmtId="0" fontId="35" fillId="27" borderId="30" xfId="0" applyFont="1" applyFill="1" applyBorder="1" applyAlignment="1">
      <alignment horizontal="center" vertical="center"/>
    </xf>
    <xf numFmtId="0" fontId="13" fillId="9" borderId="8" xfId="2" applyFont="1" applyFill="1" applyBorder="1" applyAlignment="1">
      <alignment horizontal="center"/>
    </xf>
    <xf numFmtId="0" fontId="8" fillId="28" borderId="4" xfId="0" applyFont="1" applyFill="1" applyBorder="1" applyAlignment="1">
      <alignment horizontal="center" vertical="center" wrapText="1"/>
    </xf>
    <xf numFmtId="0" fontId="8" fillId="28" borderId="5" xfId="0" applyFont="1" applyFill="1" applyBorder="1" applyAlignment="1">
      <alignment horizontal="center" vertical="center" wrapText="1"/>
    </xf>
    <xf numFmtId="0" fontId="8" fillId="28" borderId="25" xfId="0" applyFont="1" applyFill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41" fillId="37" borderId="36" xfId="0" applyFont="1" applyFill="1" applyBorder="1" applyAlignment="1">
      <alignment horizontal="center" vertical="center" wrapText="1"/>
    </xf>
    <xf numFmtId="0" fontId="41" fillId="37" borderId="18" xfId="0" applyFont="1" applyFill="1" applyBorder="1" applyAlignment="1">
      <alignment horizontal="center" vertical="center" wrapText="1"/>
    </xf>
    <xf numFmtId="0" fontId="41" fillId="37" borderId="37" xfId="0" applyFont="1" applyFill="1" applyBorder="1" applyAlignment="1">
      <alignment horizontal="center" vertical="center" wrapText="1"/>
    </xf>
    <xf numFmtId="0" fontId="38" fillId="28" borderId="36" xfId="0" applyFont="1" applyFill="1" applyBorder="1" applyAlignment="1">
      <alignment horizontal="center" vertical="center" wrapText="1"/>
    </xf>
    <xf numFmtId="0" fontId="38" fillId="28" borderId="37" xfId="0" applyFont="1" applyFill="1" applyBorder="1" applyAlignment="1">
      <alignment horizontal="center" vertical="center" wrapText="1"/>
    </xf>
    <xf numFmtId="0" fontId="38" fillId="28" borderId="18" xfId="0" applyFont="1" applyFill="1" applyBorder="1" applyAlignment="1">
      <alignment horizontal="center" vertical="center" wrapText="1"/>
    </xf>
    <xf numFmtId="0" fontId="41" fillId="37" borderId="26" xfId="0" applyFont="1" applyFill="1" applyBorder="1" applyAlignment="1">
      <alignment horizontal="center" vertical="center" wrapText="1"/>
    </xf>
    <xf numFmtId="0" fontId="41" fillId="37" borderId="0" xfId="0" applyFont="1" applyFill="1" applyBorder="1" applyAlignment="1">
      <alignment horizontal="center" vertical="center" wrapText="1"/>
    </xf>
    <xf numFmtId="0" fontId="38" fillId="28" borderId="4" xfId="0" applyFont="1" applyFill="1" applyBorder="1" applyAlignment="1">
      <alignment horizontal="center" vertical="center" wrapText="1"/>
    </xf>
    <xf numFmtId="0" fontId="38" fillId="28" borderId="25" xfId="0" applyFont="1" applyFill="1" applyBorder="1" applyAlignment="1">
      <alignment horizontal="center" vertical="center" wrapText="1"/>
    </xf>
    <xf numFmtId="0" fontId="38" fillId="28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25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0" fillId="5" borderId="27" xfId="0" applyFont="1" applyFill="1" applyBorder="1" applyAlignment="1">
      <alignment horizontal="left" vertical="center" wrapText="1"/>
    </xf>
    <xf numFmtId="0" fontId="38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25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46" fillId="31" borderId="4" xfId="0" applyFont="1" applyFill="1" applyBorder="1" applyAlignment="1">
      <alignment horizontal="right" vertical="center" wrapText="1"/>
    </xf>
    <xf numFmtId="0" fontId="46" fillId="31" borderId="25" xfId="0" applyFont="1" applyFill="1" applyBorder="1" applyAlignment="1">
      <alignment horizontal="right" vertical="center" wrapText="1"/>
    </xf>
    <xf numFmtId="0" fontId="46" fillId="31" borderId="5" xfId="0" applyFont="1" applyFill="1" applyBorder="1" applyAlignment="1">
      <alignment horizontal="right" vertical="center" wrapText="1"/>
    </xf>
    <xf numFmtId="0" fontId="46" fillId="32" borderId="4" xfId="0" applyFont="1" applyFill="1" applyBorder="1" applyAlignment="1">
      <alignment horizontal="right" vertical="center" wrapText="1"/>
    </xf>
    <xf numFmtId="0" fontId="46" fillId="32" borderId="25" xfId="0" applyFont="1" applyFill="1" applyBorder="1" applyAlignment="1">
      <alignment horizontal="right" vertical="center" wrapText="1"/>
    </xf>
    <xf numFmtId="0" fontId="46" fillId="32" borderId="5" xfId="0" applyFont="1" applyFill="1" applyBorder="1" applyAlignment="1">
      <alignment horizontal="right" vertical="center" wrapText="1"/>
    </xf>
    <xf numFmtId="0" fontId="46" fillId="33" borderId="4" xfId="0" applyFont="1" applyFill="1" applyBorder="1" applyAlignment="1">
      <alignment horizontal="right" vertical="center" wrapText="1"/>
    </xf>
    <xf numFmtId="0" fontId="46" fillId="33" borderId="25" xfId="0" applyFont="1" applyFill="1" applyBorder="1" applyAlignment="1">
      <alignment horizontal="right" vertical="center" wrapText="1"/>
    </xf>
    <xf numFmtId="0" fontId="46" fillId="33" borderId="5" xfId="0" applyFont="1" applyFill="1" applyBorder="1" applyAlignment="1">
      <alignment horizontal="right" vertical="center" wrapText="1"/>
    </xf>
    <xf numFmtId="0" fontId="46" fillId="34" borderId="4" xfId="0" applyFont="1" applyFill="1" applyBorder="1" applyAlignment="1">
      <alignment horizontal="right" vertical="center" wrapText="1"/>
    </xf>
    <xf numFmtId="0" fontId="46" fillId="34" borderId="25" xfId="0" applyFont="1" applyFill="1" applyBorder="1" applyAlignment="1">
      <alignment horizontal="right" vertical="center" wrapText="1"/>
    </xf>
    <xf numFmtId="0" fontId="46" fillId="34" borderId="5" xfId="0" applyFont="1" applyFill="1" applyBorder="1" applyAlignment="1">
      <alignment horizontal="right" vertical="center" wrapText="1"/>
    </xf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0" applyFont="1" applyBorder="1" applyAlignment="1"/>
    <xf numFmtId="2" fontId="19" fillId="2" borderId="8" xfId="4" applyNumberFormat="1" applyFont="1" applyBorder="1" applyAlignment="1"/>
    <xf numFmtId="0" fontId="7" fillId="0" borderId="8" xfId="7" applyFont="1" applyBorder="1" applyAlignment="1"/>
    <xf numFmtId="0" fontId="7" fillId="0" borderId="8" xfId="0" applyFont="1" applyBorder="1" applyAlignment="1"/>
    <xf numFmtId="0" fontId="18" fillId="3" borderId="8" xfId="5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0" fillId="0" borderId="8" xfId="7" applyFont="1" applyBorder="1" applyAlignment="1"/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48" fillId="36" borderId="19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48" fillId="35" borderId="19" xfId="0" applyFont="1" applyFill="1" applyBorder="1" applyAlignment="1">
      <alignment horizontal="center" vertical="center" wrapText="1"/>
    </xf>
    <xf numFmtId="0" fontId="48" fillId="36" borderId="20" xfId="0" applyFont="1" applyFill="1" applyBorder="1" applyAlignment="1">
      <alignment horizontal="center" vertical="center" wrapText="1"/>
    </xf>
    <xf numFmtId="0" fontId="48" fillId="36" borderId="21" xfId="0" applyFont="1" applyFill="1" applyBorder="1" applyAlignment="1">
      <alignment horizontal="center" vertical="center" wrapText="1"/>
    </xf>
    <xf numFmtId="0" fontId="48" fillId="26" borderId="24" xfId="0" applyFont="1" applyFill="1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48" fillId="26" borderId="24" xfId="0" applyFont="1" applyFill="1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48" fillId="26" borderId="30" xfId="0" applyFont="1" applyFill="1" applyBorder="1" applyAlignment="1">
      <alignment horizontal="center" vertical="center" wrapText="1"/>
    </xf>
    <xf numFmtId="0" fontId="48" fillId="35" borderId="8" xfId="0" applyFont="1" applyFill="1" applyBorder="1" applyAlignment="1">
      <alignment horizontal="center" vertical="center" wrapText="1"/>
    </xf>
    <xf numFmtId="0" fontId="48" fillId="35" borderId="20" xfId="0" applyFont="1" applyFill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0" fontId="29" fillId="23" borderId="0" xfId="0" applyFont="1" applyFill="1" applyBorder="1" applyAlignment="1">
      <alignment horizontal="center" vertical="center" wrapText="1"/>
    </xf>
    <xf numFmtId="0" fontId="29" fillId="23" borderId="14" xfId="0" applyFont="1" applyFill="1" applyBorder="1" applyAlignment="1">
      <alignment horizontal="center" vertical="center" wrapText="1"/>
    </xf>
    <xf numFmtId="0" fontId="29" fillId="23" borderId="17" xfId="0" applyFont="1" applyFill="1" applyBorder="1" applyAlignment="1">
      <alignment horizontal="center" vertical="center" textRotation="90" wrapText="1"/>
    </xf>
    <xf numFmtId="0" fontId="29" fillId="23" borderId="13" xfId="0" applyFont="1" applyFill="1" applyBorder="1" applyAlignment="1">
      <alignment horizontal="center" vertical="center" textRotation="90" wrapText="1"/>
    </xf>
    <xf numFmtId="0" fontId="29" fillId="23" borderId="16" xfId="0" applyFont="1" applyFill="1" applyBorder="1" applyAlignment="1">
      <alignment horizontal="center" vertical="center" textRotation="90" wrapText="1"/>
    </xf>
    <xf numFmtId="0" fontId="29" fillId="24" borderId="15" xfId="0" applyFont="1" applyFill="1" applyBorder="1" applyAlignment="1">
      <alignment horizontal="center" vertical="center" wrapText="1"/>
    </xf>
    <xf numFmtId="0" fontId="29" fillId="24" borderId="14" xfId="0" applyFont="1" applyFill="1" applyBorder="1" applyAlignment="1">
      <alignment horizontal="center" vertical="center" wrapText="1"/>
    </xf>
    <xf numFmtId="0" fontId="29" fillId="24" borderId="0" xfId="0" applyFont="1" applyFill="1" applyBorder="1" applyAlignment="1">
      <alignment horizontal="center" vertical="center" wrapText="1"/>
    </xf>
    <xf numFmtId="0" fontId="29" fillId="23" borderId="15" xfId="0" applyFont="1" applyFill="1" applyBorder="1" applyAlignment="1">
      <alignment horizontal="center" vertical="center" wrapText="1"/>
    </xf>
    <xf numFmtId="0" fontId="22" fillId="22" borderId="17" xfId="0" applyFont="1" applyFill="1" applyBorder="1" applyAlignment="1">
      <alignment horizontal="center" vertical="center" wrapText="1"/>
    </xf>
    <xf numFmtId="0" fontId="22" fillId="22" borderId="15" xfId="0" applyFont="1" applyFill="1" applyBorder="1" applyAlignment="1">
      <alignment horizontal="center" vertical="center" wrapText="1"/>
    </xf>
    <xf numFmtId="0" fontId="22" fillId="22" borderId="13" xfId="0" applyFont="1" applyFill="1" applyBorder="1" applyAlignment="1">
      <alignment horizontal="center" vertical="center" wrapText="1"/>
    </xf>
    <xf numFmtId="0" fontId="22" fillId="22" borderId="0" xfId="0" applyFont="1" applyFill="1" applyBorder="1" applyAlignment="1">
      <alignment horizontal="center" vertical="center" wrapText="1"/>
    </xf>
    <xf numFmtId="0" fontId="22" fillId="22" borderId="16" xfId="0" applyFont="1" applyFill="1" applyBorder="1" applyAlignment="1">
      <alignment horizontal="center" vertical="center" wrapText="1"/>
    </xf>
    <xf numFmtId="0" fontId="22" fillId="22" borderId="14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textRotation="90" wrapText="1"/>
    </xf>
    <xf numFmtId="0" fontId="22" fillId="17" borderId="13" xfId="0" applyFont="1" applyFill="1" applyBorder="1" applyAlignment="1">
      <alignment horizontal="center" vertical="center" textRotation="90" wrapText="1"/>
    </xf>
    <xf numFmtId="0" fontId="22" fillId="17" borderId="16" xfId="0" applyFont="1" applyFill="1" applyBorder="1" applyAlignment="1">
      <alignment horizontal="center" vertical="center" textRotation="90" wrapText="1"/>
    </xf>
    <xf numFmtId="0" fontId="23" fillId="18" borderId="0" xfId="0" applyFont="1" applyFill="1" applyBorder="1" applyAlignment="1">
      <alignment horizontal="center" vertical="center" wrapText="1"/>
    </xf>
    <xf numFmtId="0" fontId="23" fillId="18" borderId="14" xfId="0" applyFont="1" applyFill="1" applyBorder="1" applyAlignment="1">
      <alignment horizontal="center" vertical="center" wrapText="1"/>
    </xf>
    <xf numFmtId="0" fontId="22" fillId="20" borderId="13" xfId="0" applyFont="1" applyFill="1" applyBorder="1" applyAlignment="1">
      <alignment horizontal="center" vertical="center" textRotation="90" wrapText="1"/>
    </xf>
    <xf numFmtId="0" fontId="22" fillId="20" borderId="16" xfId="0" applyFont="1" applyFill="1" applyBorder="1" applyAlignment="1">
      <alignment horizontal="center" vertical="center" textRotation="90" wrapText="1"/>
    </xf>
    <xf numFmtId="0" fontId="22" fillId="21" borderId="18" xfId="0" applyFont="1" applyFill="1" applyBorder="1" applyAlignment="1">
      <alignment horizontal="center" vertical="center" wrapText="1"/>
    </xf>
    <xf numFmtId="0" fontId="22" fillId="21" borderId="0" xfId="0" applyFont="1" applyFill="1" applyBorder="1" applyAlignment="1">
      <alignment horizontal="center" vertical="center" wrapText="1"/>
    </xf>
    <xf numFmtId="0" fontId="22" fillId="21" borderId="15" xfId="0" applyFont="1" applyFill="1" applyBorder="1" applyAlignment="1">
      <alignment horizontal="center" vertical="center" wrapText="1"/>
    </xf>
    <xf numFmtId="0" fontId="22" fillId="21" borderId="14" xfId="0" applyFont="1" applyFill="1" applyBorder="1" applyAlignment="1">
      <alignment horizontal="center" vertical="center" wrapText="1"/>
    </xf>
    <xf numFmtId="0" fontId="22" fillId="20" borderId="15" xfId="0" applyFont="1" applyFill="1" applyBorder="1" applyAlignment="1">
      <alignment horizontal="center" vertical="center" wrapText="1"/>
    </xf>
    <xf numFmtId="0" fontId="22" fillId="20" borderId="0" xfId="0" applyFont="1" applyFill="1" applyBorder="1" applyAlignment="1">
      <alignment horizontal="center" vertical="center" wrapText="1"/>
    </xf>
    <xf numFmtId="0" fontId="22" fillId="20" borderId="14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textRotation="90" wrapText="1"/>
    </xf>
    <xf numFmtId="0" fontId="22" fillId="7" borderId="13" xfId="0" applyFont="1" applyFill="1" applyBorder="1" applyAlignment="1">
      <alignment horizontal="center" vertical="center" textRotation="90" wrapText="1"/>
    </xf>
    <xf numFmtId="0" fontId="22" fillId="7" borderId="16" xfId="0" applyFont="1" applyFill="1" applyBorder="1" applyAlignment="1">
      <alignment horizontal="center" vertical="center" textRotation="90" wrapText="1"/>
    </xf>
    <xf numFmtId="0" fontId="23" fillId="14" borderId="0" xfId="0" applyFont="1" applyFill="1" applyBorder="1" applyAlignment="1">
      <alignment horizontal="center" vertical="center" wrapText="1"/>
    </xf>
    <xf numFmtId="0" fontId="23" fillId="14" borderId="14" xfId="0" applyFont="1" applyFill="1" applyBorder="1" applyAlignment="1">
      <alignment horizontal="center" vertical="center" wrapText="1"/>
    </xf>
    <xf numFmtId="0" fontId="23" fillId="18" borderId="15" xfId="0" applyFont="1" applyFill="1" applyBorder="1" applyAlignment="1">
      <alignment horizontal="center" vertical="center" wrapText="1"/>
    </xf>
    <xf numFmtId="0" fontId="53" fillId="25" borderId="19" xfId="0" applyFont="1" applyFill="1" applyBorder="1" applyAlignment="1">
      <alignment horizontal="center" vertical="center"/>
    </xf>
    <xf numFmtId="1" fontId="4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44" xfId="0" applyBorder="1"/>
    <xf numFmtId="1" fontId="45" fillId="0" borderId="44" xfId="0" applyNumberFormat="1" applyFont="1" applyFill="1" applyBorder="1" applyAlignment="1">
      <alignment horizontal="center" vertical="center" wrapText="1"/>
    </xf>
    <xf numFmtId="1" fontId="8" fillId="0" borderId="44" xfId="0" applyNumberFormat="1" applyFont="1" applyFill="1" applyBorder="1" applyAlignment="1">
      <alignment horizontal="center" vertical="center" wrapText="1"/>
    </xf>
    <xf numFmtId="0" fontId="0" fillId="0" borderId="45" xfId="0" applyBorder="1"/>
    <xf numFmtId="1" fontId="45" fillId="0" borderId="45" xfId="0" applyNumberFormat="1" applyFont="1" applyFill="1" applyBorder="1" applyAlignment="1">
      <alignment horizontal="center" vertical="center" wrapText="1"/>
    </xf>
    <xf numFmtId="1" fontId="8" fillId="0" borderId="45" xfId="0" applyNumberFormat="1" applyFont="1" applyFill="1" applyBorder="1" applyAlignment="1">
      <alignment horizontal="center" vertical="center" wrapText="1"/>
    </xf>
    <xf numFmtId="0" fontId="0" fillId="0" borderId="46" xfId="0" applyBorder="1"/>
    <xf numFmtId="1" fontId="45" fillId="0" borderId="46" xfId="0" applyNumberFormat="1" applyFont="1" applyFill="1" applyBorder="1" applyAlignment="1">
      <alignment horizontal="center" vertical="center" wrapText="1"/>
    </xf>
    <xf numFmtId="1" fontId="8" fillId="0" borderId="46" xfId="0" applyNumberFormat="1" applyFont="1" applyFill="1" applyBorder="1" applyAlignment="1">
      <alignment horizontal="center" vertical="center" wrapText="1"/>
    </xf>
    <xf numFmtId="0" fontId="0" fillId="0" borderId="47" xfId="0" applyBorder="1"/>
    <xf numFmtId="1" fontId="45" fillId="0" borderId="47" xfId="0" applyNumberFormat="1" applyFont="1" applyFill="1" applyBorder="1" applyAlignment="1">
      <alignment horizontal="center" vertical="center" wrapText="1"/>
    </xf>
    <xf numFmtId="1" fontId="8" fillId="0" borderId="47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28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31" fillId="0" borderId="0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41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42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173024"/>
        <c:axId val="1731735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73024"/>
        <c:axId val="173173584"/>
      </c:lineChart>
      <c:catAx>
        <c:axId val="173173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173584"/>
        <c:crosses val="autoZero"/>
        <c:auto val="1"/>
        <c:lblAlgn val="ctr"/>
        <c:lblOffset val="100"/>
        <c:noMultiLvlLbl val="0"/>
      </c:catAx>
      <c:valAx>
        <c:axId val="1731735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31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3176944"/>
        <c:axId val="175017456"/>
      </c:lineChart>
      <c:catAx>
        <c:axId val="17317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017456"/>
        <c:crosses val="autoZero"/>
        <c:auto val="1"/>
        <c:lblAlgn val="ctr"/>
        <c:lblOffset val="100"/>
        <c:noMultiLvlLbl val="0"/>
      </c:catAx>
      <c:valAx>
        <c:axId val="17501745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7317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021376"/>
        <c:axId val="1750219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21376"/>
        <c:axId val="175021936"/>
      </c:lineChart>
      <c:catAx>
        <c:axId val="175021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021936"/>
        <c:crosses val="autoZero"/>
        <c:auto val="1"/>
        <c:lblAlgn val="ctr"/>
        <c:lblOffset val="100"/>
        <c:noMultiLvlLbl val="0"/>
      </c:catAx>
      <c:valAx>
        <c:axId val="1750219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02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5474160"/>
        <c:axId val="175474720"/>
      </c:lineChart>
      <c:catAx>
        <c:axId val="17547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5474720"/>
        <c:crosses val="autoZero"/>
        <c:auto val="1"/>
        <c:lblAlgn val="ctr"/>
        <c:lblOffset val="100"/>
        <c:noMultiLvlLbl val="0"/>
      </c:catAx>
      <c:valAx>
        <c:axId val="17547472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7547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478640"/>
        <c:axId val="1754792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78640"/>
        <c:axId val="175479200"/>
      </c:lineChart>
      <c:catAx>
        <c:axId val="175478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479200"/>
        <c:crosses val="autoZero"/>
        <c:auto val="1"/>
        <c:lblAlgn val="ctr"/>
        <c:lblOffset val="100"/>
        <c:noMultiLvlLbl val="0"/>
      </c:catAx>
      <c:valAx>
        <c:axId val="17547920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47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138992"/>
        <c:axId val="1751395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38992"/>
        <c:axId val="175139552"/>
      </c:lineChart>
      <c:catAx>
        <c:axId val="175138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139552"/>
        <c:crosses val="autoZero"/>
        <c:auto val="1"/>
        <c:lblAlgn val="ctr"/>
        <c:lblOffset val="100"/>
        <c:noMultiLvlLbl val="0"/>
      </c:catAx>
      <c:valAx>
        <c:axId val="1751395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13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143472"/>
        <c:axId val="1751440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143472"/>
        <c:axId val="175144032"/>
      </c:lineChart>
      <c:catAx>
        <c:axId val="175143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144032"/>
        <c:crosses val="autoZero"/>
        <c:auto val="1"/>
        <c:lblAlgn val="ctr"/>
        <c:lblOffset val="100"/>
        <c:noMultiLvlLbl val="0"/>
      </c:catAx>
      <c:valAx>
        <c:axId val="175144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14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872880"/>
        <c:axId val="1757082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872880"/>
        <c:axId val="175708272"/>
      </c:lineChart>
      <c:catAx>
        <c:axId val="1758728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708272"/>
        <c:crosses val="autoZero"/>
        <c:auto val="1"/>
        <c:lblAlgn val="ctr"/>
        <c:lblOffset val="100"/>
        <c:noMultiLvlLbl val="0"/>
      </c:catAx>
      <c:valAx>
        <c:axId val="1757082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87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5712192"/>
        <c:axId val="1757127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712192"/>
        <c:axId val="175712752"/>
      </c:lineChart>
      <c:catAx>
        <c:axId val="17571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712752"/>
        <c:crosses val="autoZero"/>
        <c:auto val="1"/>
        <c:lblAlgn val="ctr"/>
        <c:lblOffset val="100"/>
        <c:noMultiLvlLbl val="0"/>
      </c:catAx>
      <c:valAx>
        <c:axId val="175712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71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161152"/>
        <c:axId val="1761617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61152"/>
        <c:axId val="176161712"/>
      </c:lineChart>
      <c:catAx>
        <c:axId val="17616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161712"/>
        <c:crosses val="autoZero"/>
        <c:auto val="1"/>
        <c:lblAlgn val="ctr"/>
        <c:lblOffset val="100"/>
        <c:noMultiLvlLbl val="0"/>
      </c:catAx>
      <c:valAx>
        <c:axId val="1761617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16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165632"/>
        <c:axId val="17616619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165632"/>
        <c:axId val="176166192"/>
      </c:lineChart>
      <c:catAx>
        <c:axId val="176165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166192"/>
        <c:crosses val="autoZero"/>
        <c:auto val="1"/>
        <c:lblAlgn val="ctr"/>
        <c:lblOffset val="100"/>
        <c:noMultiLvlLbl val="0"/>
      </c:catAx>
      <c:valAx>
        <c:axId val="1761661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16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064800"/>
        <c:axId val="1760653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64800"/>
        <c:axId val="176065360"/>
      </c:lineChart>
      <c:catAx>
        <c:axId val="176064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065360"/>
        <c:crosses val="autoZero"/>
        <c:auto val="1"/>
        <c:lblAlgn val="ctr"/>
        <c:lblOffset val="100"/>
        <c:noMultiLvlLbl val="0"/>
      </c:catAx>
      <c:valAx>
        <c:axId val="176065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06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069280"/>
        <c:axId val="1760698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069280"/>
        <c:axId val="176069840"/>
      </c:lineChart>
      <c:catAx>
        <c:axId val="176069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069840"/>
        <c:crosses val="autoZero"/>
        <c:auto val="1"/>
        <c:lblAlgn val="ctr"/>
        <c:lblOffset val="100"/>
        <c:noMultiLvlLbl val="0"/>
      </c:catAx>
      <c:valAx>
        <c:axId val="1760698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06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6245312"/>
        <c:axId val="1762458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(Indicadores!#REF!,Indicadores!#REF!,Indicadores!#REF!)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45312"/>
        <c:axId val="176245872"/>
      </c:lineChart>
      <c:catAx>
        <c:axId val="176245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245872"/>
        <c:crosses val="autoZero"/>
        <c:auto val="1"/>
        <c:lblAlgn val="ctr"/>
        <c:lblOffset val="100"/>
        <c:noMultiLvlLbl val="0"/>
      </c:catAx>
      <c:valAx>
        <c:axId val="176245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624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76728960"/>
        <c:axId val="176729520"/>
      </c:barChart>
      <c:catAx>
        <c:axId val="176728960"/>
        <c:scaling>
          <c:orientation val="minMax"/>
        </c:scaling>
        <c:delete val="1"/>
        <c:axPos val="l"/>
        <c:majorTickMark val="none"/>
        <c:minorTickMark val="none"/>
        <c:tickLblPos val="nextTo"/>
        <c:crossAx val="176729520"/>
        <c:crosses val="autoZero"/>
        <c:auto val="1"/>
        <c:lblAlgn val="ctr"/>
        <c:lblOffset val="100"/>
        <c:noMultiLvlLbl val="0"/>
      </c:catAx>
      <c:valAx>
        <c:axId val="1767295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72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Demografia!$D$2:$H$2</c:f>
              <c:strCache>
                <c:ptCount val="5"/>
                <c:pt idx="0">
                  <c:v>2016</c:v>
                </c:pt>
                <c:pt idx="1">
                  <c:v>2015</c:v>
                </c:pt>
                <c:pt idx="2">
                  <c:v>BMK Mejores Empresas Argentina 2015</c:v>
                </c:pt>
                <c:pt idx="3">
                  <c:v>Dif. Argentina FY17 - FY16</c:v>
                </c:pt>
                <c:pt idx="4">
                  <c:v>Dif. Argentina FY17 - BMK </c:v>
                </c:pt>
              </c:strCache>
            </c:strRef>
          </c:cat>
          <c:val>
            <c:numRef>
              <c:f>Demografia!$D$17:$H$17</c:f>
              <c:numCache>
                <c:formatCode>General</c:formatCode>
                <c:ptCount val="5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Demografias'!$C$52:$G$52</c:f>
              <c:numCache>
                <c:formatCode>0</c:formatCode>
                <c:ptCount val="5"/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Demografias'!$C$50:$G$50</c:f>
              <c:numCache>
                <c:formatCode>0</c:formatCode>
                <c:ptCount val="5"/>
                <c:pt idx="0">
                  <c:v>68.66</c:v>
                </c:pt>
                <c:pt idx="1">
                  <c:v>72.650000000000006</c:v>
                </c:pt>
                <c:pt idx="2">
                  <c:v>78.88</c:v>
                </c:pt>
                <c:pt idx="3">
                  <c:v>-3.9900000000000091</c:v>
                </c:pt>
                <c:pt idx="4">
                  <c:v>-10.219999999999999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0993184"/>
        <c:axId val="4009769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Demografias'!$C$55:$G$55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Demografias'!$C$56:$G$56</c:f>
              <c:numCache>
                <c:formatCode>0</c:formatCode>
                <c:ptCount val="5"/>
                <c:pt idx="0">
                  <c:v>66.099999999999994</c:v>
                </c:pt>
                <c:pt idx="1">
                  <c:v>70.81</c:v>
                </c:pt>
                <c:pt idx="2">
                  <c:v>82.28</c:v>
                </c:pt>
                <c:pt idx="3">
                  <c:v>-4.710000000000008</c:v>
                </c:pt>
                <c:pt idx="4">
                  <c:v>-16.180000000000007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993184"/>
        <c:axId val="400976944"/>
      </c:lineChart>
      <c:catAx>
        <c:axId val="400993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0976944"/>
        <c:crosses val="autoZero"/>
        <c:auto val="1"/>
        <c:lblAlgn val="ctr"/>
        <c:lblOffset val="100"/>
        <c:noMultiLvlLbl val="0"/>
      </c:catAx>
      <c:valAx>
        <c:axId val="4009769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0993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Demografia!$J$2:$N$2</c:f>
              <c:strCache>
                <c:ptCount val="5"/>
                <c:pt idx="0">
                  <c:v>M6 y superiores</c:v>
                </c:pt>
                <c:pt idx="1">
                  <c:v>M5 o M4</c:v>
                </c:pt>
                <c:pt idx="2">
                  <c:v>M3, M2 o M1</c:v>
                </c:pt>
                <c:pt idx="3">
                  <c:v>Individual Contributor</c:v>
                </c:pt>
                <c:pt idx="4">
                  <c:v>e-Talent</c:v>
                </c:pt>
              </c:strCache>
            </c:strRef>
          </c:cat>
          <c:val>
            <c:numRef>
              <c:f>Demografia!$J$17:$N$17</c:f>
              <c:numCache>
                <c:formatCode>0.0%</c:formatCode>
                <c:ptCount val="5"/>
                <c:pt idx="0">
                  <c:v>9.1575091575091579E-3</c:v>
                </c:pt>
                <c:pt idx="1">
                  <c:v>6.2271062271062272E-2</c:v>
                </c:pt>
                <c:pt idx="2">
                  <c:v>0.1446886446886447</c:v>
                </c:pt>
                <c:pt idx="3">
                  <c:v>0.74908424908424909</c:v>
                </c:pt>
                <c:pt idx="4">
                  <c:v>3.47985347985348E-2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Demografias'!$C$116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99.14</c:v>
                </c:pt>
                <c:pt idx="1">
                  <c:v>83.43</c:v>
                </c:pt>
                <c:pt idx="2">
                  <c:v>78.489999999999995</c:v>
                </c:pt>
                <c:pt idx="3">
                  <c:v>70.23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0</c:v>
                </c:pt>
                <c:pt idx="1">
                  <c:v>81.95</c:v>
                </c:pt>
                <c:pt idx="2">
                  <c:v>73.63</c:v>
                </c:pt>
                <c:pt idx="3">
                  <c:v>65.900000000000006</c:v>
                </c:pt>
                <c:pt idx="4">
                  <c:v>77.260000000000005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5465168"/>
        <c:axId val="3854534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0</c:v>
                </c:pt>
                <c:pt idx="1">
                  <c:v>84.85</c:v>
                </c:pt>
                <c:pt idx="2">
                  <c:v>73.08</c:v>
                </c:pt>
                <c:pt idx="3">
                  <c:v>61.9</c:v>
                </c:pt>
                <c:pt idx="4">
                  <c:v>84.21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465168"/>
        <c:axId val="385453408"/>
      </c:lineChart>
      <c:catAx>
        <c:axId val="385465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85453408"/>
        <c:crosses val="autoZero"/>
        <c:auto val="1"/>
        <c:lblAlgn val="ctr"/>
        <c:lblOffset val="100"/>
        <c:noMultiLvlLbl val="0"/>
      </c:catAx>
      <c:valAx>
        <c:axId val="3854534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546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Demografia!$P$2:$Q$2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Demografia!$P$17:$Q$17</c:f>
              <c:numCache>
                <c:formatCode>0.0%</c:formatCode>
                <c:ptCount val="2"/>
                <c:pt idx="0">
                  <c:v>0.63369963369963367</c:v>
                </c:pt>
                <c:pt idx="1">
                  <c:v>0.36630036630036628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71.61</c:v>
                </c:pt>
                <c:pt idx="1">
                  <c:v>74.44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67.92</c:v>
                </c:pt>
                <c:pt idx="1">
                  <c:v>69.959999999999994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0985904"/>
        <c:axId val="4009825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65.09</c:v>
                </c:pt>
                <c:pt idx="1">
                  <c:v>67.86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985904"/>
        <c:axId val="400982544"/>
      </c:lineChart>
      <c:catAx>
        <c:axId val="400985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400982544"/>
        <c:crosses val="autoZero"/>
        <c:auto val="1"/>
        <c:lblAlgn val="ctr"/>
        <c:lblOffset val="100"/>
        <c:noMultiLvlLbl val="0"/>
      </c:catAx>
      <c:valAx>
        <c:axId val="4009825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098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Demografia!$S$2:$W$2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Demografia!$S$17:$W$17</c:f>
              <c:numCache>
                <c:formatCode>0.0%</c:formatCode>
                <c:ptCount val="5"/>
                <c:pt idx="0">
                  <c:v>4.5787545787545784E-2</c:v>
                </c:pt>
                <c:pt idx="1">
                  <c:v>0.29853479853479853</c:v>
                </c:pt>
                <c:pt idx="2">
                  <c:v>0.38278388278388276</c:v>
                </c:pt>
                <c:pt idx="3">
                  <c:v>0.23443223443223443</c:v>
                </c:pt>
                <c:pt idx="4">
                  <c:v>3.8461538461538464E-2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70.98</c:v>
                </c:pt>
                <c:pt idx="1">
                  <c:v>69.53</c:v>
                </c:pt>
                <c:pt idx="2">
                  <c:v>75.62</c:v>
                </c:pt>
                <c:pt idx="3">
                  <c:v>71.150000000000006</c:v>
                </c:pt>
                <c:pt idx="4">
                  <c:v>77.040000000000006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73.83</c:v>
                </c:pt>
                <c:pt idx="1">
                  <c:v>59.53</c:v>
                </c:pt>
                <c:pt idx="2">
                  <c:v>72.44</c:v>
                </c:pt>
                <c:pt idx="3">
                  <c:v>72.56</c:v>
                </c:pt>
                <c:pt idx="4">
                  <c:v>71.7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21270544"/>
        <c:axId val="3212688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84</c:v>
                </c:pt>
                <c:pt idx="1">
                  <c:v>57.86</c:v>
                </c:pt>
                <c:pt idx="2">
                  <c:v>67.98</c:v>
                </c:pt>
                <c:pt idx="3">
                  <c:v>70.63</c:v>
                </c:pt>
                <c:pt idx="4">
                  <c:v>61.9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270544"/>
        <c:axId val="321268864"/>
      </c:lineChart>
      <c:catAx>
        <c:axId val="321270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21268864"/>
        <c:crosses val="autoZero"/>
        <c:auto val="1"/>
        <c:lblAlgn val="ctr"/>
        <c:lblOffset val="100"/>
        <c:noMultiLvlLbl val="0"/>
      </c:catAx>
      <c:valAx>
        <c:axId val="321268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12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 en la Empresa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Demografia!$Y$2:$AC$2</c:f>
              <c:strCache>
                <c:ptCount val="5"/>
                <c:pt idx="0">
                  <c:v>Menos de 1 año</c:v>
                </c:pt>
                <c:pt idx="1">
                  <c:v>1 a 3 años</c:v>
                </c:pt>
                <c:pt idx="2">
                  <c:v>4 a 6 años</c:v>
                </c:pt>
                <c:pt idx="3">
                  <c:v>7 a 10 años</c:v>
                </c:pt>
                <c:pt idx="4">
                  <c:v>Más de 10 años</c:v>
                </c:pt>
              </c:strCache>
            </c:strRef>
          </c:cat>
          <c:val>
            <c:numRef>
              <c:f>Demografia!$Y$17:$AC$17</c:f>
              <c:numCache>
                <c:formatCode>0.0%</c:formatCode>
                <c:ptCount val="5"/>
                <c:pt idx="0">
                  <c:v>0.14102564102564102</c:v>
                </c:pt>
                <c:pt idx="1">
                  <c:v>0.39194139194139194</c:v>
                </c:pt>
                <c:pt idx="2">
                  <c:v>0.21062271062271062</c:v>
                </c:pt>
                <c:pt idx="3">
                  <c:v>0.11172161172161173</c:v>
                </c:pt>
                <c:pt idx="4">
                  <c:v>0.1446886446886447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Demografias'!$C$292:$G$292</c:f>
              <c:numCache>
                <c:formatCode>0</c:formatCode>
                <c:ptCount val="5"/>
                <c:pt idx="0">
                  <c:v>76.2</c:v>
                </c:pt>
                <c:pt idx="1">
                  <c:v>74.25</c:v>
                </c:pt>
                <c:pt idx="2">
                  <c:v>65.959999999999994</c:v>
                </c:pt>
                <c:pt idx="3">
                  <c:v>76.19</c:v>
                </c:pt>
                <c:pt idx="4">
                  <c:v>73.959999999999994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Demografias'!$C$290:$G$290</c:f>
              <c:numCache>
                <c:formatCode>0</c:formatCode>
                <c:ptCount val="5"/>
                <c:pt idx="0">
                  <c:v>71.45</c:v>
                </c:pt>
                <c:pt idx="1">
                  <c:v>66.28</c:v>
                </c:pt>
                <c:pt idx="2">
                  <c:v>65.08</c:v>
                </c:pt>
                <c:pt idx="3">
                  <c:v>70.23</c:v>
                </c:pt>
                <c:pt idx="4">
                  <c:v>76.27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7881888"/>
        <c:axId val="3178701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Demografias'!$C$295:$G$295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Demografias'!$C$296:$G$296</c:f>
              <c:numCache>
                <c:formatCode>0</c:formatCode>
                <c:ptCount val="5"/>
                <c:pt idx="0">
                  <c:v>77.63</c:v>
                </c:pt>
                <c:pt idx="1">
                  <c:v>63.59</c:v>
                </c:pt>
                <c:pt idx="2">
                  <c:v>58.41</c:v>
                </c:pt>
                <c:pt idx="3">
                  <c:v>68.849999999999994</c:v>
                </c:pt>
                <c:pt idx="4">
                  <c:v>70.510000000000005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7881888"/>
        <c:axId val="317870128"/>
      </c:lineChart>
      <c:catAx>
        <c:axId val="3178818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17870128"/>
        <c:crosses val="autoZero"/>
        <c:auto val="1"/>
        <c:lblAlgn val="ctr"/>
        <c:lblOffset val="100"/>
        <c:noMultiLvlLbl val="0"/>
      </c:catAx>
      <c:valAx>
        <c:axId val="3178701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78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Jornada Laboral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Demografia!$AE$2:$AF$2</c:f>
              <c:strCache>
                <c:ptCount val="2"/>
                <c:pt idx="0">
                  <c:v>Jornada Completa</c:v>
                </c:pt>
                <c:pt idx="1">
                  <c:v>Jornada Parcial</c:v>
                </c:pt>
              </c:strCache>
            </c:strRef>
          </c:cat>
          <c:val>
            <c:numRef>
              <c:f>Demografia!$AE$17:$AF$17</c:f>
              <c:numCache>
                <c:formatCode>0.0%</c:formatCode>
                <c:ptCount val="2"/>
                <c:pt idx="0">
                  <c:v>0.96336996336996339</c:v>
                </c:pt>
                <c:pt idx="1">
                  <c:v>3.6630036630036632E-2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Demografias'!$C$352:$D$352</c:f>
              <c:numCache>
                <c:formatCode>0</c:formatCode>
                <c:ptCount val="2"/>
                <c:pt idx="0">
                  <c:v>72.680000000000007</c:v>
                </c:pt>
                <c:pt idx="1">
                  <c:v>70.2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Demografias'!$C$350:$D$350</c:f>
              <c:numCache>
                <c:formatCode>0</c:formatCode>
                <c:ptCount val="2"/>
                <c:pt idx="0">
                  <c:v>68.42</c:v>
                </c:pt>
                <c:pt idx="1">
                  <c:v>75.09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9526800"/>
        <c:axId val="3795206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Demografias'!$C$355:$D$355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Demografias'!$C$356:$D$356</c:f>
              <c:numCache>
                <c:formatCode>0</c:formatCode>
                <c:ptCount val="2"/>
                <c:pt idx="0">
                  <c:v>65.37</c:v>
                </c:pt>
                <c:pt idx="1">
                  <c:v>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526800"/>
        <c:axId val="379520640"/>
      </c:lineChart>
      <c:catAx>
        <c:axId val="379526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379520640"/>
        <c:crosses val="autoZero"/>
        <c:auto val="1"/>
        <c:lblAlgn val="ctr"/>
        <c:lblOffset val="100"/>
        <c:noMultiLvlLbl val="0"/>
      </c:catAx>
      <c:valAx>
        <c:axId val="379520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952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de Feedback en FY16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Demografia!$AH$2:$AK$2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Demografia!$AH$17:$AK$17</c:f>
              <c:numCache>
                <c:formatCode>0.0%</c:formatCode>
                <c:ptCount val="4"/>
                <c:pt idx="0">
                  <c:v>0.365234375</c:v>
                </c:pt>
                <c:pt idx="1">
                  <c:v>0.205078125</c:v>
                </c:pt>
                <c:pt idx="2">
                  <c:v>0.267578125</c:v>
                </c:pt>
                <c:pt idx="3">
                  <c:v>0.162109375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Demografias'!$C$412:$F$412</c:f>
              <c:numCache>
                <c:formatCode>0</c:formatCode>
                <c:ptCount val="4"/>
                <c:pt idx="0">
                  <c:v>82.53</c:v>
                </c:pt>
                <c:pt idx="1">
                  <c:v>75.45</c:v>
                </c:pt>
                <c:pt idx="2">
                  <c:v>65.260000000000005</c:v>
                </c:pt>
                <c:pt idx="3">
                  <c:v>55.45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Demografias'!$C$410:$F$410</c:f>
              <c:numCache>
                <c:formatCode>0</c:formatCode>
                <c:ptCount val="4"/>
                <c:pt idx="0">
                  <c:v>82.22</c:v>
                </c:pt>
                <c:pt idx="1">
                  <c:v>72.290000000000006</c:v>
                </c:pt>
                <c:pt idx="2">
                  <c:v>60.39</c:v>
                </c:pt>
                <c:pt idx="3">
                  <c:v>48.85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15589808"/>
        <c:axId val="2155970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Demografias'!$C$415:$F$415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Demografias'!$C$416:$F$416</c:f>
              <c:numCache>
                <c:formatCode>0</c:formatCode>
                <c:ptCount val="4"/>
                <c:pt idx="0">
                  <c:v>79.680000000000007</c:v>
                </c:pt>
                <c:pt idx="1">
                  <c:v>73.33</c:v>
                </c:pt>
                <c:pt idx="2">
                  <c:v>58.39</c:v>
                </c:pt>
                <c:pt idx="3">
                  <c:v>40.96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589808"/>
        <c:axId val="215597088"/>
      </c:lineChart>
      <c:catAx>
        <c:axId val="215589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597088"/>
        <c:crosses val="autoZero"/>
        <c:auto val="1"/>
        <c:lblAlgn val="ctr"/>
        <c:lblOffset val="100"/>
        <c:noMultiLvlLbl val="0"/>
      </c:catAx>
      <c:valAx>
        <c:axId val="215597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1558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Demografia!$AM$2:$AS$2</c:f>
              <c:strCache>
                <c:ptCount val="7"/>
                <c:pt idx="0">
                  <c:v>Cloud Services</c:v>
                </c:pt>
                <c:pt idx="1">
                  <c:v>Development</c:v>
                </c:pt>
                <c:pt idx="2">
                  <c:v>GBU´s/IBU´S- Bob Weiler´s / Dontatelli´s Org</c:v>
                </c:pt>
                <c:pt idx="3">
                  <c:v>Global G&amp;A/Manufacturing (SSC &amp; Others)</c:v>
                </c:pt>
                <c:pt idx="4">
                  <c:v>Global IT</c:v>
                </c:pt>
                <c:pt idx="5">
                  <c:v>Global Sales CEO Office</c:v>
                </c:pt>
                <c:pt idx="6">
                  <c:v>Product Support</c:v>
                </c:pt>
              </c:strCache>
            </c:strRef>
          </c:cat>
          <c:val>
            <c:numRef>
              <c:f>Demografia!$AM$17:$AS$17</c:f>
              <c:numCache>
                <c:formatCode>0.0%</c:formatCode>
                <c:ptCount val="7"/>
                <c:pt idx="0">
                  <c:v>5.7851239669421489E-2</c:v>
                </c:pt>
                <c:pt idx="1">
                  <c:v>4.9586776859504134E-2</c:v>
                </c:pt>
                <c:pt idx="2">
                  <c:v>0.4462809917355372</c:v>
                </c:pt>
                <c:pt idx="3">
                  <c:v>4.1322314049586778E-2</c:v>
                </c:pt>
                <c:pt idx="4">
                  <c:v>4.1322314049586778E-2</c:v>
                </c:pt>
                <c:pt idx="5">
                  <c:v>0.33884297520661155</c:v>
                </c:pt>
                <c:pt idx="6">
                  <c:v>2.4793388429752067E-2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Demografias'!$C$472:$I$472</c:f>
              <c:numCache>
                <c:formatCode>0</c:formatCode>
                <c:ptCount val="7"/>
                <c:pt idx="0">
                  <c:v>57.47</c:v>
                </c:pt>
                <c:pt idx="1">
                  <c:v>54.46</c:v>
                </c:pt>
                <c:pt idx="2">
                  <c:v>61.25</c:v>
                </c:pt>
                <c:pt idx="3">
                  <c:v>0</c:v>
                </c:pt>
                <c:pt idx="4">
                  <c:v>0</c:v>
                </c:pt>
                <c:pt idx="5">
                  <c:v>63.07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Demografias'!$C$470:$I$470</c:f>
              <c:numCache>
                <c:formatCode>0</c:formatCode>
                <c:ptCount val="7"/>
                <c:pt idx="0">
                  <c:v>53.78</c:v>
                </c:pt>
                <c:pt idx="1">
                  <c:v>69.599999999999994</c:v>
                </c:pt>
                <c:pt idx="2">
                  <c:v>51.49</c:v>
                </c:pt>
                <c:pt idx="3">
                  <c:v>0</c:v>
                </c:pt>
                <c:pt idx="4">
                  <c:v>0</c:v>
                </c:pt>
                <c:pt idx="5">
                  <c:v>52.19</c:v>
                </c:pt>
                <c:pt idx="6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69708896"/>
        <c:axId val="369717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Demografias'!$C$475:$I$475</c:f>
              <c:numCache>
                <c:formatCode>0</c:formatCode>
                <c:ptCount val="7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  <c:pt idx="6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Demografias'!$C$476:$I$476</c:f>
              <c:numCache>
                <c:formatCode>0</c:formatCode>
                <c:ptCount val="7"/>
                <c:pt idx="0">
                  <c:v>42.86</c:v>
                </c:pt>
                <c:pt idx="1">
                  <c:v>66.67</c:v>
                </c:pt>
                <c:pt idx="2">
                  <c:v>52.94</c:v>
                </c:pt>
                <c:pt idx="3">
                  <c:v>0</c:v>
                </c:pt>
                <c:pt idx="4">
                  <c:v>0</c:v>
                </c:pt>
                <c:pt idx="5">
                  <c:v>42.51</c:v>
                </c:pt>
                <c:pt idx="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08896"/>
        <c:axId val="369717296"/>
      </c:lineChart>
      <c:catAx>
        <c:axId val="369708896"/>
        <c:scaling>
          <c:orientation val="minMax"/>
        </c:scaling>
        <c:delete val="1"/>
        <c:axPos val="b"/>
        <c:majorTickMark val="none"/>
        <c:minorTickMark val="none"/>
        <c:tickLblPos val="nextTo"/>
        <c:crossAx val="369717296"/>
        <c:crosses val="autoZero"/>
        <c:auto val="1"/>
        <c:lblAlgn val="ctr"/>
        <c:lblOffset val="100"/>
        <c:noMultiLvlLbl val="0"/>
      </c:catAx>
      <c:valAx>
        <c:axId val="369717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9708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Demografia!$AU$2:$BA$2</c:f>
              <c:strCache>
                <c:ptCount val="7"/>
                <c:pt idx="0">
                  <c:v>Eduardo Lopez´s Org (excl. Consulting)</c:v>
                </c:pt>
                <c:pt idx="1">
                  <c:v>LAD Consulting</c:v>
                </c:pt>
                <c:pt idx="2">
                  <c:v>LAD Customer Services</c:v>
                </c:pt>
                <c:pt idx="3">
                  <c:v>LAD Deal Management</c:v>
                </c:pt>
                <c:pt idx="4">
                  <c:v>LAD Education</c:v>
                </c:pt>
                <c:pt idx="5">
                  <c:v>LAD Facilities</c:v>
                </c:pt>
                <c:pt idx="6">
                  <c:v>LAD Finance &amp; Operations (Cheryl McDowell´s)</c:v>
                </c:pt>
              </c:strCache>
            </c:strRef>
          </c:cat>
          <c:val>
            <c:numRef>
              <c:f>Demografia!$AU$17:$BA$17</c:f>
              <c:numCache>
                <c:formatCode>0.0%</c:formatCode>
                <c:ptCount val="7"/>
                <c:pt idx="0">
                  <c:v>8.6956521739130432E-2</c:v>
                </c:pt>
                <c:pt idx="1">
                  <c:v>0.62055335968379444</c:v>
                </c:pt>
                <c:pt idx="2">
                  <c:v>0.16205533596837945</c:v>
                </c:pt>
                <c:pt idx="3">
                  <c:v>1.9762845849802372E-2</c:v>
                </c:pt>
                <c:pt idx="4">
                  <c:v>1.5810276679841896E-2</c:v>
                </c:pt>
                <c:pt idx="5">
                  <c:v>2.766798418972332E-2</c:v>
                </c:pt>
                <c:pt idx="6">
                  <c:v>6.7193675889328064E-2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Demografias'!$C$532:$I$532</c:f>
              <c:numCache>
                <c:formatCode>0</c:formatCode>
                <c:ptCount val="7"/>
                <c:pt idx="0">
                  <c:v>87.6</c:v>
                </c:pt>
                <c:pt idx="1">
                  <c:v>80.55</c:v>
                </c:pt>
                <c:pt idx="2">
                  <c:v>76.48</c:v>
                </c:pt>
                <c:pt idx="3">
                  <c:v>0</c:v>
                </c:pt>
                <c:pt idx="4">
                  <c:v>0</c:v>
                </c:pt>
                <c:pt idx="5">
                  <c:v>88.89</c:v>
                </c:pt>
                <c:pt idx="6">
                  <c:v>76.92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Demografias'!$C$530:$I$530</c:f>
              <c:numCache>
                <c:formatCode>0</c:formatCode>
                <c:ptCount val="7"/>
                <c:pt idx="0">
                  <c:v>82.58</c:v>
                </c:pt>
                <c:pt idx="1">
                  <c:v>72.69</c:v>
                </c:pt>
                <c:pt idx="2">
                  <c:v>79.94</c:v>
                </c:pt>
                <c:pt idx="3">
                  <c:v>0</c:v>
                </c:pt>
                <c:pt idx="4">
                  <c:v>0</c:v>
                </c:pt>
                <c:pt idx="5">
                  <c:v>80.58</c:v>
                </c:pt>
                <c:pt idx="6">
                  <c:v>59.53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0891568"/>
        <c:axId val="3908982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Demografias'!$C$535:$I$535</c:f>
              <c:numCache>
                <c:formatCode>0</c:formatCode>
                <c:ptCount val="7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  <c:pt idx="6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Demografias'!$C$536:$I$536</c:f>
              <c:numCache>
                <c:formatCode>0</c:formatCode>
                <c:ptCount val="7"/>
                <c:pt idx="0">
                  <c:v>85.71</c:v>
                </c:pt>
                <c:pt idx="1">
                  <c:v>67.95</c:v>
                </c:pt>
                <c:pt idx="2">
                  <c:v>82.93</c:v>
                </c:pt>
                <c:pt idx="3">
                  <c:v>0</c:v>
                </c:pt>
                <c:pt idx="4">
                  <c:v>0</c:v>
                </c:pt>
                <c:pt idx="5">
                  <c:v>71.430000000000007</c:v>
                </c:pt>
                <c:pt idx="6">
                  <c:v>58.82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91568"/>
        <c:axId val="390898288"/>
      </c:lineChart>
      <c:catAx>
        <c:axId val="390891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90898288"/>
        <c:crosses val="autoZero"/>
        <c:auto val="1"/>
        <c:lblAlgn val="ctr"/>
        <c:lblOffset val="100"/>
        <c:noMultiLvlLbl val="0"/>
      </c:catAx>
      <c:valAx>
        <c:axId val="390898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089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Lob3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Demografia!$BC$2:$BI$2</c:f>
              <c:strCache>
                <c:ptCount val="7"/>
                <c:pt idx="0">
                  <c:v>LAD HR</c:v>
                </c:pt>
                <c:pt idx="1">
                  <c:v>LAD Legal</c:v>
                </c:pt>
                <c:pt idx="2">
                  <c:v>LAD Licenses &amp; Systems</c:v>
                </c:pt>
                <c:pt idx="3">
                  <c:v>LAD LMS</c:v>
                </c:pt>
                <c:pt idx="4">
                  <c:v>LAD Marketing</c:v>
                </c:pt>
                <c:pt idx="5">
                  <c:v>LAD Recruiting</c:v>
                </c:pt>
                <c:pt idx="6">
                  <c:v>LAD Support</c:v>
                </c:pt>
              </c:strCache>
            </c:strRef>
          </c:cat>
          <c:val>
            <c:numRef>
              <c:f>Demografia!$BC$17:$BI$17</c:f>
              <c:numCache>
                <c:formatCode>0.0%</c:formatCode>
                <c:ptCount val="7"/>
                <c:pt idx="0">
                  <c:v>2.9069767441860465E-2</c:v>
                </c:pt>
                <c:pt idx="1">
                  <c:v>1.1627906976744186E-2</c:v>
                </c:pt>
                <c:pt idx="2">
                  <c:v>0.63953488372093026</c:v>
                </c:pt>
                <c:pt idx="3">
                  <c:v>1.1627906976744186E-2</c:v>
                </c:pt>
                <c:pt idx="4">
                  <c:v>5.232558139534884E-2</c:v>
                </c:pt>
                <c:pt idx="5">
                  <c:v>3.4883720930232558E-2</c:v>
                </c:pt>
                <c:pt idx="6">
                  <c:v>0.22093023255813954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Demografias'!$C$596:$F$596</c:f>
              <c:strCache>
                <c:ptCount val="4"/>
                <c:pt idx="0">
                  <c:v>**</c:v>
                </c:pt>
                <c:pt idx="1">
                  <c:v>**</c:v>
                </c:pt>
                <c:pt idx="2">
                  <c:v>73</c:v>
                </c:pt>
                <c:pt idx="3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Demografias'!$C$592:$I$592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75.38</c:v>
                </c:pt>
                <c:pt idx="3">
                  <c:v>0</c:v>
                </c:pt>
                <c:pt idx="4">
                  <c:v>77.62</c:v>
                </c:pt>
                <c:pt idx="5">
                  <c:v>76.150000000000006</c:v>
                </c:pt>
                <c:pt idx="6">
                  <c:v>68.61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Demografias'!$C$590:$I$590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73.709999999999994</c:v>
                </c:pt>
                <c:pt idx="3">
                  <c:v>0</c:v>
                </c:pt>
                <c:pt idx="4">
                  <c:v>76.13</c:v>
                </c:pt>
                <c:pt idx="5">
                  <c:v>72.13</c:v>
                </c:pt>
                <c:pt idx="6">
                  <c:v>60.86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406946800"/>
        <c:axId val="4069423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Demografias'!$C$595:$I$595</c:f>
              <c:numCache>
                <c:formatCode>0</c:formatCode>
                <c:ptCount val="7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  <c:pt idx="6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Demografias'!$C$596:$I$596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72.64</c:v>
                </c:pt>
                <c:pt idx="3">
                  <c:v>0</c:v>
                </c:pt>
                <c:pt idx="4">
                  <c:v>62.51</c:v>
                </c:pt>
                <c:pt idx="5">
                  <c:v>100</c:v>
                </c:pt>
                <c:pt idx="6">
                  <c:v>57.89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946800"/>
        <c:axId val="406942320"/>
      </c:lineChart>
      <c:catAx>
        <c:axId val="406946800"/>
        <c:scaling>
          <c:orientation val="minMax"/>
        </c:scaling>
        <c:delete val="1"/>
        <c:axPos val="b"/>
        <c:majorTickMark val="none"/>
        <c:minorTickMark val="none"/>
        <c:tickLblPos val="nextTo"/>
        <c:crossAx val="406942320"/>
        <c:crosses val="autoZero"/>
        <c:auto val="1"/>
        <c:lblAlgn val="ctr"/>
        <c:lblOffset val="100"/>
        <c:noMultiLvlLbl val="0"/>
      </c:catAx>
      <c:valAx>
        <c:axId val="4069423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0694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Demografia!$BK$2:$BL$2</c:f>
              <c:strCache>
                <c:ptCount val="2"/>
                <c:pt idx="0">
                  <c:v>Cloud Services-Business Development (Tony Gray´s Org)</c:v>
                </c:pt>
                <c:pt idx="1">
                  <c:v>Cloud Services-Solution Management (Bearzi´s Org)</c:v>
                </c:pt>
              </c:strCache>
            </c:strRef>
          </c:cat>
          <c:val>
            <c:numRef>
              <c:f>Demografia!$BK$17:$BL$17</c:f>
              <c:numCache>
                <c:formatCode>0.0%</c:formatCode>
                <c:ptCount val="2"/>
                <c:pt idx="0">
                  <c:v>0.14285714285714285</c:v>
                </c:pt>
                <c:pt idx="1">
                  <c:v>0.8571428571428571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Demografias'!$C$656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Demografias'!$C$652:$D$652</c:f>
              <c:numCache>
                <c:formatCode>0</c:formatCode>
                <c:ptCount val="2"/>
                <c:pt idx="0">
                  <c:v>0</c:v>
                </c:pt>
                <c:pt idx="1">
                  <c:v>59.05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Demografias'!$C$650:$D$650</c:f>
              <c:numCache>
                <c:formatCode>0</c:formatCode>
                <c:ptCount val="2"/>
                <c:pt idx="0">
                  <c:v>0</c:v>
                </c:pt>
                <c:pt idx="1">
                  <c:v>50.06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2272112"/>
        <c:axId val="3922586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Demografias'!$C$655:$D$655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Demografias'!$C$656:$D$656</c:f>
              <c:numCache>
                <c:formatCode>0</c:formatCode>
                <c:ptCount val="2"/>
                <c:pt idx="0">
                  <c:v>0</c:v>
                </c:pt>
                <c:pt idx="1">
                  <c:v>33.33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272112"/>
        <c:axId val="392258672"/>
      </c:lineChart>
      <c:catAx>
        <c:axId val="392272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92258672"/>
        <c:crosses val="autoZero"/>
        <c:auto val="1"/>
        <c:lblAlgn val="ctr"/>
        <c:lblOffset val="100"/>
        <c:noMultiLvlLbl val="0"/>
      </c:catAx>
      <c:valAx>
        <c:axId val="3922586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227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Demografia!$BN$2:$BQ$2</c:f>
              <c:strCache>
                <c:ptCount val="4"/>
                <c:pt idx="0">
                  <c:v>Development - Apps (Steve Miranda´s Org)</c:v>
                </c:pt>
                <c:pt idx="1">
                  <c:v>Development - Corporate Arquitect-Screven´s Org</c:v>
                </c:pt>
                <c:pt idx="2">
                  <c:v>Development-All Others</c:v>
                </c:pt>
                <c:pt idx="3">
                  <c:v>Development-Fusion Middleware (Singh Inderjeet´s Org)</c:v>
                </c:pt>
              </c:strCache>
            </c:strRef>
          </c:cat>
          <c:val>
            <c:numRef>
              <c:f>Demografia!$BN$17:$BQ$17</c:f>
              <c:numCache>
                <c:formatCode>0.0%</c:formatCode>
                <c:ptCount val="4"/>
                <c:pt idx="0">
                  <c:v>0.16666666666666666</c:v>
                </c:pt>
                <c:pt idx="1">
                  <c:v>0.16666666666666666</c:v>
                </c:pt>
                <c:pt idx="2">
                  <c:v>0.66666666666666663</c:v>
                </c:pt>
                <c:pt idx="3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Demografias'!$C$716:$E$716</c:f>
              <c:strCache>
                <c:ptCount val="3"/>
                <c:pt idx="0">
                  <c:v>**</c:v>
                </c:pt>
                <c:pt idx="1">
                  <c:v>**</c:v>
                </c:pt>
                <c:pt idx="2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Demografias'!$C$712:$F$712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53.71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Demografias'!$C$710:$F$710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7233968"/>
        <c:axId val="3872317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Demografias'!$C$715:$F$715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Demografias'!$C$716:$F$716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233968"/>
        <c:axId val="387231728"/>
      </c:lineChart>
      <c:catAx>
        <c:axId val="387233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87231728"/>
        <c:crosses val="autoZero"/>
        <c:auto val="1"/>
        <c:lblAlgn val="ctr"/>
        <c:lblOffset val="100"/>
        <c:noMultiLvlLbl val="0"/>
      </c:catAx>
      <c:valAx>
        <c:axId val="387231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723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Coverage Infraestructure (Donatelli´s Org)</c:v>
                </c:pt>
                <c:pt idx="1">
                  <c:v>GBU-All Others</c:v>
                </c:pt>
                <c:pt idx="2">
                  <c:v>GBU-Mike Webster´s Org</c:v>
                </c:pt>
                <c:pt idx="3">
                  <c:v>GBU-Suriano Douglas´s Org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1.8518518518518517E-2</c:v>
                </c:pt>
                <c:pt idx="1">
                  <c:v>1.8518518518518517E-2</c:v>
                </c:pt>
                <c:pt idx="2">
                  <c:v>0.64814814814814814</c:v>
                </c:pt>
                <c:pt idx="3">
                  <c:v>0.31481481481481483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Demografias'!$C$776:$D$776</c:f>
              <c:strCache>
                <c:ptCount val="2"/>
                <c:pt idx="0">
                  <c:v>**</c:v>
                </c:pt>
                <c:pt idx="1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Demografias'!$C$772:$F$772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Demografias'!$C$770:$F$770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54.29</c:v>
                </c:pt>
                <c:pt idx="3">
                  <c:v>43.81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6502672"/>
        <c:axId val="3765267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Demografias'!$C$775:$F$775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Demografias'!$C$776:$F$776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62.51</c:v>
                </c:pt>
                <c:pt idx="3">
                  <c:v>35.29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502672"/>
        <c:axId val="376526752"/>
      </c:lineChart>
      <c:catAx>
        <c:axId val="376502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76526752"/>
        <c:crosses val="autoZero"/>
        <c:auto val="1"/>
        <c:lblAlgn val="ctr"/>
        <c:lblOffset val="100"/>
        <c:noMultiLvlLbl val="0"/>
      </c:catAx>
      <c:valAx>
        <c:axId val="37652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6502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Demografia!$BX$2:$BY$2</c:f>
              <c:strCache>
                <c:ptCount val="2"/>
                <c:pt idx="0">
                  <c:v>Finance - Controller Group (Augusto Serrano Villate´s Org)</c:v>
                </c:pt>
                <c:pt idx="1">
                  <c:v>Safra Catz Org-All Others</c:v>
                </c:pt>
              </c:strCache>
            </c:strRef>
          </c:cat>
          <c:val>
            <c:numRef>
              <c:f>Demografia!$BX$17:$BY$17</c:f>
              <c:numCache>
                <c:formatCode>0.0%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Demografias'!$C$836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Demografias'!$C$832:$D$832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Demografias'!$C$830:$D$830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5682176"/>
        <c:axId val="2256855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Demografias'!$C$835:$D$835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Demografias'!$C$836:$D$836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682176"/>
        <c:axId val="225685536"/>
      </c:lineChart>
      <c:catAx>
        <c:axId val="225682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5685536"/>
        <c:crosses val="autoZero"/>
        <c:auto val="1"/>
        <c:lblAlgn val="ctr"/>
        <c:lblOffset val="100"/>
        <c:noMultiLvlLbl val="0"/>
      </c:catAx>
      <c:valAx>
        <c:axId val="225685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56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Demografia!$CA$2:$CB$2</c:f>
              <c:strCache>
                <c:ptCount val="2"/>
                <c:pt idx="0">
                  <c:v>IT - O´Shea´s org</c:v>
                </c:pt>
                <c:pt idx="1">
                  <c:v>IT- All Others</c:v>
                </c:pt>
              </c:strCache>
            </c:strRef>
          </c:cat>
          <c:val>
            <c:numRef>
              <c:f>Demografia!$CA$17:$CB$17</c:f>
              <c:numCache>
                <c:formatCode>0.0%</c:formatCode>
                <c:ptCount val="2"/>
                <c:pt idx="0">
                  <c:v>0.2</c:v>
                </c:pt>
                <c:pt idx="1">
                  <c:v>0.8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Demografias'!$C$896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Demografias'!$C$892:$D$892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Demografias'!$C$890:$D$890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4271952"/>
        <c:axId val="3942842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Demografias'!$C$895:$D$895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Demografias'!$C$896:$D$896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271952"/>
        <c:axId val="394284272"/>
      </c:lineChart>
      <c:catAx>
        <c:axId val="394271952"/>
        <c:scaling>
          <c:orientation val="minMax"/>
        </c:scaling>
        <c:delete val="1"/>
        <c:axPos val="b"/>
        <c:majorTickMark val="none"/>
        <c:minorTickMark val="none"/>
        <c:tickLblPos val="nextTo"/>
        <c:crossAx val="394284272"/>
        <c:crosses val="autoZero"/>
        <c:auto val="1"/>
        <c:lblAlgn val="ctr"/>
        <c:lblOffset val="100"/>
        <c:noMultiLvlLbl val="0"/>
      </c:catAx>
      <c:valAx>
        <c:axId val="394284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427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Demografia!$CD$2:$CE$2</c:f>
              <c:strCache>
                <c:ptCount val="2"/>
                <c:pt idx="0">
                  <c:v>Worldwide Alliances &amp; Channel (Penny Philpot´s Org)</c:v>
                </c:pt>
                <c:pt idx="1">
                  <c:v>Worldwide Operations (Jennifer Birk´s Org)</c:v>
                </c:pt>
              </c:strCache>
            </c:strRef>
          </c:cat>
          <c:val>
            <c:numRef>
              <c:f>Demografia!$CD$17:$CE$17</c:f>
              <c:numCache>
                <c:formatCode>0.0%</c:formatCode>
                <c:ptCount val="2"/>
                <c:pt idx="0">
                  <c:v>0.68292682926829273</c:v>
                </c:pt>
                <c:pt idx="1">
                  <c:v>0.31707317073170732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Demografias'!$C$952:$D$952</c:f>
              <c:numCache>
                <c:formatCode>0</c:formatCode>
                <c:ptCount val="2"/>
                <c:pt idx="0">
                  <c:v>63.07</c:v>
                </c:pt>
                <c:pt idx="1">
                  <c:v>63.07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Demografias'!$C$950:$D$950</c:f>
              <c:numCache>
                <c:formatCode>0</c:formatCode>
                <c:ptCount val="2"/>
                <c:pt idx="0">
                  <c:v>47.95</c:v>
                </c:pt>
                <c:pt idx="1">
                  <c:v>61.01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3263232"/>
        <c:axId val="3932604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Demografias'!$C$955:$D$955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Demografias'!$C$956:$D$956</c:f>
              <c:numCache>
                <c:formatCode>0</c:formatCode>
                <c:ptCount val="2"/>
                <c:pt idx="0">
                  <c:v>40.74</c:v>
                </c:pt>
                <c:pt idx="1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63232"/>
        <c:axId val="393260432"/>
      </c:lineChart>
      <c:catAx>
        <c:axId val="39326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260432"/>
        <c:crosses val="autoZero"/>
        <c:auto val="1"/>
        <c:lblAlgn val="ctr"/>
        <c:lblOffset val="100"/>
        <c:noMultiLvlLbl val="0"/>
      </c:catAx>
      <c:valAx>
        <c:axId val="393260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326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Support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Demografia!$CG$2:$CH$2</c:f>
              <c:strCache>
                <c:ptCount val="2"/>
                <c:pt idx="0">
                  <c:v>Product Support-All Others</c:v>
                </c:pt>
                <c:pt idx="1">
                  <c:v>Product Support-System Disk (Deborah Smith´s Org)</c:v>
                </c:pt>
              </c:strCache>
            </c:strRef>
          </c:cat>
          <c:val>
            <c:numRef>
              <c:f>Demografia!$CG$17:$CH$17</c:f>
              <c:numCache>
                <c:formatCode>0.0%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Demografias'!$C$1016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Demografias'!$C$1012:$D$1012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Demografias'!$C$1010:$D$1010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3250912"/>
        <c:axId val="3932615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Demografias'!$C$1015:$D$1015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Demografias'!$C$1016:$D$1016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50912"/>
        <c:axId val="393261552"/>
      </c:lineChart>
      <c:catAx>
        <c:axId val="393250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261552"/>
        <c:crosses val="autoZero"/>
        <c:auto val="1"/>
        <c:lblAlgn val="ctr"/>
        <c:lblOffset val="100"/>
        <c:noMultiLvlLbl val="0"/>
      </c:catAx>
      <c:valAx>
        <c:axId val="393261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325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Demografia!$CJ$2:$CM$2</c:f>
              <c:strCache>
                <c:ptCount val="4"/>
                <c:pt idx="0">
                  <c:v>LAD Arquitecture</c:v>
                </c:pt>
                <c:pt idx="1">
                  <c:v>LAD Customer Care</c:v>
                </c:pt>
                <c:pt idx="2">
                  <c:v>LAD Customer Success</c:v>
                </c:pt>
                <c:pt idx="3">
                  <c:v>LAD Pre-Sales Apps</c:v>
                </c:pt>
              </c:strCache>
            </c:strRef>
          </c:cat>
          <c:val>
            <c:numRef>
              <c:f>Demografia!$CJ$17:$CM$17</c:f>
              <c:numCache>
                <c:formatCode>0.0%</c:formatCode>
                <c:ptCount val="4"/>
                <c:pt idx="0">
                  <c:v>0.22727272727272727</c:v>
                </c:pt>
                <c:pt idx="1">
                  <c:v>9.0909090909090912E-2</c:v>
                </c:pt>
                <c:pt idx="2">
                  <c:v>0.18181818181818182</c:v>
                </c:pt>
                <c:pt idx="3">
                  <c:v>0.5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Demografias'!$C$1076:$E$1076</c:f>
              <c:strCache>
                <c:ptCount val="3"/>
                <c:pt idx="0">
                  <c:v>**</c:v>
                </c:pt>
                <c:pt idx="1">
                  <c:v>**</c:v>
                </c:pt>
                <c:pt idx="2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Demografias'!$C$1072:$F$1072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86.03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Demografias'!$C$1070:$F$1070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82.6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1239184"/>
        <c:axId val="3712335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Demografias'!$C$1075:$F$1075</c:f>
              <c:numCache>
                <c:formatCode>0</c:formatCode>
                <c:ptCount val="4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Demografias'!$C$1076:$F$1076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81.819999999999993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39184"/>
        <c:axId val="371233584"/>
      </c:lineChart>
      <c:catAx>
        <c:axId val="371239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71233584"/>
        <c:crosses val="autoZero"/>
        <c:auto val="1"/>
        <c:lblAlgn val="ctr"/>
        <c:lblOffset val="100"/>
        <c:noMultiLvlLbl val="0"/>
      </c:catAx>
      <c:valAx>
        <c:axId val="371233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23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Demografia!$CO$2:$CQ$2</c:f>
              <c:strCache>
                <c:ptCount val="3"/>
                <c:pt idx="0">
                  <c:v>Consulting All Others</c:v>
                </c:pt>
                <c:pt idx="1">
                  <c:v>Consulting-Delivery</c:v>
                </c:pt>
                <c:pt idx="2">
                  <c:v>Consulting-Sales</c:v>
                </c:pt>
              </c:strCache>
            </c:strRef>
          </c:cat>
          <c:val>
            <c:numRef>
              <c:f>Demografia!$CO$17:$CQ$17</c:f>
              <c:numCache>
                <c:formatCode>0.0%</c:formatCode>
                <c:ptCount val="3"/>
                <c:pt idx="0">
                  <c:v>5.0955414012738856E-2</c:v>
                </c:pt>
                <c:pt idx="1">
                  <c:v>0.88535031847133761</c:v>
                </c:pt>
                <c:pt idx="2">
                  <c:v>6.3694267515923567E-2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Demografias'!$C$1132:$E$1132</c:f>
              <c:numCache>
                <c:formatCode>0</c:formatCode>
                <c:ptCount val="3"/>
                <c:pt idx="0">
                  <c:v>82.3</c:v>
                </c:pt>
                <c:pt idx="1">
                  <c:v>82.14</c:v>
                </c:pt>
                <c:pt idx="2">
                  <c:v>91.63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Demografias'!$C$1130:$E$1130</c:f>
              <c:numCache>
                <c:formatCode>0</c:formatCode>
                <c:ptCount val="3"/>
                <c:pt idx="0">
                  <c:v>89.87</c:v>
                </c:pt>
                <c:pt idx="1">
                  <c:v>71.58</c:v>
                </c:pt>
                <c:pt idx="2">
                  <c:v>74.31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8705504"/>
        <c:axId val="3986976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Demografias'!$C$1135:$E$1135</c:f>
              <c:numCache>
                <c:formatCode>0</c:formatCode>
                <c:ptCount val="3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Demografias'!$C$1136:$E$1136</c:f>
              <c:numCache>
                <c:formatCode>0</c:formatCode>
                <c:ptCount val="3"/>
                <c:pt idx="0">
                  <c:v>87.51</c:v>
                </c:pt>
                <c:pt idx="1">
                  <c:v>66.67</c:v>
                </c:pt>
                <c:pt idx="2">
                  <c:v>70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05504"/>
        <c:axId val="398697664"/>
      </c:lineChart>
      <c:catAx>
        <c:axId val="398705504"/>
        <c:scaling>
          <c:orientation val="minMax"/>
        </c:scaling>
        <c:delete val="1"/>
        <c:axPos val="b"/>
        <c:majorTickMark val="none"/>
        <c:minorTickMark val="none"/>
        <c:tickLblPos val="nextTo"/>
        <c:crossAx val="398697664"/>
        <c:crosses val="autoZero"/>
        <c:auto val="1"/>
        <c:lblAlgn val="ctr"/>
        <c:lblOffset val="100"/>
        <c:noMultiLvlLbl val="0"/>
      </c:catAx>
      <c:valAx>
        <c:axId val="39869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870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LAD Customer Services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Demografia!$CS$2:$CX$2</c:f>
              <c:strCache>
                <c:ptCount val="6"/>
                <c:pt idx="0">
                  <c:v>Customer Services-ACS Sales</c:v>
                </c:pt>
                <c:pt idx="1">
                  <c:v>Customer Services-All Others</c:v>
                </c:pt>
                <c:pt idx="2">
                  <c:v>Customer Services-Lopes´s Org</c:v>
                </c:pt>
                <c:pt idx="3">
                  <c:v>Customer Services-Martinez´s Org</c:v>
                </c:pt>
                <c:pt idx="4">
                  <c:v>Customer Services-Operations</c:v>
                </c:pt>
                <c:pt idx="5">
                  <c:v>Customer Services-Perez´s org</c:v>
                </c:pt>
              </c:strCache>
            </c:strRef>
          </c:cat>
          <c:val>
            <c:numRef>
              <c:f>Demografia!$CS$17:$CX$17</c:f>
              <c:numCache>
                <c:formatCode>0.0%</c:formatCode>
                <c:ptCount val="6"/>
                <c:pt idx="0">
                  <c:v>0.17073170731707318</c:v>
                </c:pt>
                <c:pt idx="1">
                  <c:v>0.12195121951219512</c:v>
                </c:pt>
                <c:pt idx="2">
                  <c:v>0.17073170731707318</c:v>
                </c:pt>
                <c:pt idx="3">
                  <c:v>0.34146341463414637</c:v>
                </c:pt>
                <c:pt idx="4">
                  <c:v>0.14634146341463414</c:v>
                </c:pt>
                <c:pt idx="5">
                  <c:v>4.878048780487805E-2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Demografias'!$C$1192:$H$1192</c:f>
              <c:numCache>
                <c:formatCode>0</c:formatCode>
                <c:ptCount val="6"/>
                <c:pt idx="0">
                  <c:v>79.22</c:v>
                </c:pt>
                <c:pt idx="1">
                  <c:v>96.06</c:v>
                </c:pt>
                <c:pt idx="2">
                  <c:v>88.18</c:v>
                </c:pt>
                <c:pt idx="3">
                  <c:v>63.56</c:v>
                </c:pt>
                <c:pt idx="4">
                  <c:v>64.569999999999993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Demografias'!$C$1190:$H$1190</c:f>
              <c:numCache>
                <c:formatCode>0</c:formatCode>
                <c:ptCount val="6"/>
                <c:pt idx="0">
                  <c:v>79.06</c:v>
                </c:pt>
                <c:pt idx="1">
                  <c:v>0</c:v>
                </c:pt>
                <c:pt idx="2">
                  <c:v>87.44</c:v>
                </c:pt>
                <c:pt idx="3">
                  <c:v>85.46</c:v>
                </c:pt>
                <c:pt idx="4">
                  <c:v>56.9</c:v>
                </c:pt>
                <c:pt idx="5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3872384"/>
        <c:axId val="3938757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Demografias'!$C$1195:$H$1195</c:f>
              <c:numCache>
                <c:formatCode>0</c:formatCode>
                <c:ptCount val="6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Demografias'!$C$1196:$H$1196</c:f>
              <c:numCache>
                <c:formatCode>0</c:formatCode>
                <c:ptCount val="6"/>
                <c:pt idx="0">
                  <c:v>71.430000000000007</c:v>
                </c:pt>
                <c:pt idx="1">
                  <c:v>0</c:v>
                </c:pt>
                <c:pt idx="2">
                  <c:v>85.71</c:v>
                </c:pt>
                <c:pt idx="3">
                  <c:v>92.86</c:v>
                </c:pt>
                <c:pt idx="4">
                  <c:v>50</c:v>
                </c:pt>
                <c:pt idx="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72384"/>
        <c:axId val="393875744"/>
      </c:lineChart>
      <c:catAx>
        <c:axId val="393872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875744"/>
        <c:crosses val="autoZero"/>
        <c:auto val="1"/>
        <c:lblAlgn val="ctr"/>
        <c:lblOffset val="100"/>
        <c:noMultiLvlLbl val="0"/>
      </c:catAx>
      <c:valAx>
        <c:axId val="393875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387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LAD Deal Management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Demografia!$CZ$2</c:f>
              <c:strCache>
                <c:ptCount val="1"/>
                <c:pt idx="0">
                  <c:v>Deal Management-(Rafael Lara´Org)</c:v>
                </c:pt>
              </c:strCache>
            </c:strRef>
          </c:cat>
          <c:val>
            <c:numRef>
              <c:f>Demografia!$CZ$17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Demografias'!$B$1256</c:f>
              <c:strCache>
                <c:ptCount val="1"/>
                <c:pt idx="0">
                  <c:v>GPTW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Demografias'!$C$1245:$C$1255</c:f>
              <c:strCache>
                <c:ptCount val="11"/>
                <c:pt idx="0">
                  <c:v>**</c:v>
                </c:pt>
                <c:pt idx="1">
                  <c:v>**</c:v>
                </c:pt>
                <c:pt idx="2">
                  <c:v>**</c:v>
                </c:pt>
                <c:pt idx="3">
                  <c:v>**</c:v>
                </c:pt>
                <c:pt idx="4">
                  <c:v>**</c:v>
                </c:pt>
                <c:pt idx="5">
                  <c:v>**</c:v>
                </c:pt>
                <c:pt idx="6">
                  <c:v>5</c:v>
                </c:pt>
                <c:pt idx="7">
                  <c:v>**</c:v>
                </c:pt>
                <c:pt idx="8">
                  <c:v>4</c:v>
                </c:pt>
                <c:pt idx="9">
                  <c:v>Deal Management-(Rafael Lara´Org)</c:v>
                </c:pt>
                <c:pt idx="10">
                  <c:v>69</c:v>
                </c:pt>
              </c:strCache>
            </c:strRef>
          </c:cat>
          <c:val>
            <c:numRef>
              <c:f>'Graficos Demografias'!$C$1252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Demografias'!$C$1250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69574880"/>
        <c:axId val="3695788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Demografias'!$C$1255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Demografias'!$C$1256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574880"/>
        <c:axId val="369578800"/>
      </c:lineChart>
      <c:catAx>
        <c:axId val="3695748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9578800"/>
        <c:crosses val="autoZero"/>
        <c:auto val="1"/>
        <c:lblAlgn val="ctr"/>
        <c:lblOffset val="100"/>
        <c:noMultiLvlLbl val="0"/>
      </c:catAx>
      <c:valAx>
        <c:axId val="36957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6957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Demografia!$DB$2</c:f>
              <c:strCache>
                <c:ptCount val="1"/>
                <c:pt idx="0">
                  <c:v>Education - Oracle University</c:v>
                </c:pt>
              </c:strCache>
            </c:strRef>
          </c:cat>
          <c:val>
            <c:numRef>
              <c:f>Demografia!$DB$17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Demografias'!$B$1316</c:f>
              <c:strCache>
                <c:ptCount val="1"/>
                <c:pt idx="0">
                  <c:v>GPTW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Demografias'!$C$1305:$C$1315</c:f>
              <c:strCache>
                <c:ptCount val="11"/>
                <c:pt idx="0">
                  <c:v>**</c:v>
                </c:pt>
                <c:pt idx="1">
                  <c:v>**</c:v>
                </c:pt>
                <c:pt idx="2">
                  <c:v>**</c:v>
                </c:pt>
                <c:pt idx="3">
                  <c:v>**</c:v>
                </c:pt>
                <c:pt idx="4">
                  <c:v>**</c:v>
                </c:pt>
                <c:pt idx="5">
                  <c:v>**</c:v>
                </c:pt>
                <c:pt idx="6">
                  <c:v>4</c:v>
                </c:pt>
                <c:pt idx="7">
                  <c:v>**</c:v>
                </c:pt>
                <c:pt idx="8">
                  <c:v>5</c:v>
                </c:pt>
                <c:pt idx="9">
                  <c:v>Education - Oracle University</c:v>
                </c:pt>
                <c:pt idx="10">
                  <c:v>69</c:v>
                </c:pt>
              </c:strCache>
            </c:strRef>
          </c:cat>
          <c:val>
            <c:numRef>
              <c:f>'Graficos Demografias'!$C$1312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Demografias'!$C$1310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3377424"/>
        <c:axId val="3933675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Demografias'!$C$1315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Demografias'!$C$1316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77424"/>
        <c:axId val="393367584"/>
      </c:lineChart>
      <c:catAx>
        <c:axId val="333774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3367584"/>
        <c:crosses val="autoZero"/>
        <c:auto val="1"/>
        <c:lblAlgn val="ctr"/>
        <c:lblOffset val="100"/>
        <c:noMultiLvlLbl val="0"/>
      </c:catAx>
      <c:valAx>
        <c:axId val="3933675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337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Demografia!$DD$2</c:f>
              <c:strCache>
                <c:ptCount val="1"/>
                <c:pt idx="0">
                  <c:v>Facilities</c:v>
                </c:pt>
              </c:strCache>
            </c:strRef>
          </c:cat>
          <c:val>
            <c:numRef>
              <c:f>Demografia!$DD$17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Demografias'!$C$1365:$C$1374</c:f>
              <c:strCache>
                <c:ptCount val="10"/>
                <c:pt idx="0">
                  <c:v>90</c:v>
                </c:pt>
                <c:pt idx="1">
                  <c:v>82</c:v>
                </c:pt>
                <c:pt idx="2">
                  <c:v>73</c:v>
                </c:pt>
                <c:pt idx="3">
                  <c:v>71</c:v>
                </c:pt>
                <c:pt idx="4">
                  <c:v>83</c:v>
                </c:pt>
                <c:pt idx="5">
                  <c:v>81</c:v>
                </c:pt>
                <c:pt idx="6">
                  <c:v>7</c:v>
                </c:pt>
                <c:pt idx="7">
                  <c:v>89</c:v>
                </c:pt>
                <c:pt idx="8">
                  <c:v>9</c:v>
                </c:pt>
                <c:pt idx="9">
                  <c:v>Facilities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Demografias'!$B$1375:$B$1376</c:f>
              <c:strCache>
                <c:ptCount val="2"/>
                <c:pt idx="0">
                  <c:v>Promedio General</c:v>
                </c:pt>
                <c:pt idx="1">
                  <c:v>GPTW</c:v>
                </c:pt>
              </c:strCache>
            </c:strRef>
          </c:cat>
          <c:val>
            <c:numRef>
              <c:f>'Graficos Demografias'!$C$1372</c:f>
              <c:numCache>
                <c:formatCode>0</c:formatCode>
                <c:ptCount val="1"/>
                <c:pt idx="0">
                  <c:v>88.89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Demografias'!$C$1370</c:f>
              <c:numCache>
                <c:formatCode>0</c:formatCode>
                <c:ptCount val="1"/>
                <c:pt idx="0">
                  <c:v>80.58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71183072"/>
        <c:axId val="2122606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Demografias'!$C$1375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Demografias'!$C$1376</c:f>
              <c:numCache>
                <c:formatCode>0</c:formatCode>
                <c:ptCount val="1"/>
                <c:pt idx="0">
                  <c:v>71.430000000000007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183072"/>
        <c:axId val="212260656"/>
      </c:lineChart>
      <c:catAx>
        <c:axId val="3711830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2260656"/>
        <c:crosses val="autoZero"/>
        <c:auto val="1"/>
        <c:lblAlgn val="ctr"/>
        <c:lblOffset val="100"/>
        <c:noMultiLvlLbl val="0"/>
      </c:catAx>
      <c:valAx>
        <c:axId val="212260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7118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LAD Finance &amp; Operations (Cheryl McDowell´s)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Demografia!$DF$2</c:f>
              <c:strCache>
                <c:ptCount val="1"/>
                <c:pt idx="0">
                  <c:v>Finance - McDowell´s org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Demografia!$DF$17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Demografias'!$C$1425:$C$1434</c:f>
              <c:strCache>
                <c:ptCount val="10"/>
                <c:pt idx="0">
                  <c:v>61</c:v>
                </c:pt>
                <c:pt idx="1">
                  <c:v>62</c:v>
                </c:pt>
                <c:pt idx="2">
                  <c:v>59</c:v>
                </c:pt>
                <c:pt idx="3">
                  <c:v>57</c:v>
                </c:pt>
                <c:pt idx="4">
                  <c:v>56</c:v>
                </c:pt>
                <c:pt idx="5">
                  <c:v>60</c:v>
                </c:pt>
                <c:pt idx="6">
                  <c:v>17</c:v>
                </c:pt>
                <c:pt idx="7">
                  <c:v>77</c:v>
                </c:pt>
                <c:pt idx="8">
                  <c:v>12</c:v>
                </c:pt>
                <c:pt idx="9">
                  <c:v>Finance - McDowell´s org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Demografias'!$B$1435:$B$1436</c:f>
              <c:strCache>
                <c:ptCount val="2"/>
                <c:pt idx="0">
                  <c:v>Promedio General</c:v>
                </c:pt>
                <c:pt idx="1">
                  <c:v>GPTW</c:v>
                </c:pt>
              </c:strCache>
            </c:strRef>
          </c:cat>
          <c:val>
            <c:numRef>
              <c:f>'Graficos Demografias'!$C$1432</c:f>
              <c:numCache>
                <c:formatCode>0</c:formatCode>
                <c:ptCount val="1"/>
                <c:pt idx="0">
                  <c:v>76.92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Demografias'!$C$1430</c:f>
              <c:numCache>
                <c:formatCode>0</c:formatCode>
                <c:ptCount val="1"/>
                <c:pt idx="0">
                  <c:v>59.53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3362544"/>
        <c:axId val="3933580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Demografias'!$C$1435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Demografias'!$C$1436</c:f>
              <c:numCache>
                <c:formatCode>0</c:formatCode>
                <c:ptCount val="1"/>
                <c:pt idx="0">
                  <c:v>58.82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362544"/>
        <c:axId val="393358064"/>
      </c:lineChart>
      <c:catAx>
        <c:axId val="39336254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93358064"/>
        <c:crosses val="autoZero"/>
        <c:auto val="1"/>
        <c:lblAlgn val="ctr"/>
        <c:lblOffset val="100"/>
        <c:noMultiLvlLbl val="0"/>
      </c:catAx>
      <c:valAx>
        <c:axId val="39335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336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LAD HR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Demografia!$DH$2</c:f>
              <c:strCache>
                <c:ptCount val="1"/>
                <c:pt idx="0">
                  <c:v>LAD HR - Carolina Florez´s Org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Demografia!$DH$17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Demografias'!$B$1496</c:f>
              <c:strCache>
                <c:ptCount val="1"/>
                <c:pt idx="0">
                  <c:v>GPTW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Demografias'!$C$1485:$C$1495</c:f>
              <c:strCache>
                <c:ptCount val="11"/>
                <c:pt idx="0">
                  <c:v>**</c:v>
                </c:pt>
                <c:pt idx="1">
                  <c:v>**</c:v>
                </c:pt>
                <c:pt idx="2">
                  <c:v>**</c:v>
                </c:pt>
                <c:pt idx="3">
                  <c:v>**</c:v>
                </c:pt>
                <c:pt idx="4">
                  <c:v>**</c:v>
                </c:pt>
                <c:pt idx="5">
                  <c:v>**</c:v>
                </c:pt>
                <c:pt idx="6">
                  <c:v>5</c:v>
                </c:pt>
                <c:pt idx="7">
                  <c:v>**</c:v>
                </c:pt>
                <c:pt idx="8">
                  <c:v>5</c:v>
                </c:pt>
                <c:pt idx="9">
                  <c:v>LAD HR - Carolina Florez´s Org</c:v>
                </c:pt>
                <c:pt idx="10">
                  <c:v>69</c:v>
                </c:pt>
              </c:strCache>
            </c:strRef>
          </c:cat>
          <c:val>
            <c:numRef>
              <c:f>'Graficos Demografias'!$C$1492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Demografias'!$C$1490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481296"/>
        <c:axId val="3134756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Demografias'!$C$1495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Demografias'!$C$1496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3481296"/>
        <c:axId val="313475696"/>
      </c:lineChart>
      <c:catAx>
        <c:axId val="31348129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3475696"/>
        <c:crosses val="autoZero"/>
        <c:auto val="1"/>
        <c:lblAlgn val="ctr"/>
        <c:lblOffset val="100"/>
        <c:noMultiLvlLbl val="0"/>
      </c:catAx>
      <c:valAx>
        <c:axId val="313475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348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Demografia!$DJ$2</c:f>
              <c:strCache>
                <c:ptCount val="1"/>
                <c:pt idx="0">
                  <c:v>Legal</c:v>
                </c:pt>
              </c:strCache>
            </c:strRef>
          </c:cat>
          <c:val>
            <c:numRef>
              <c:f>Demografia!$DJ$17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Demografias'!$B$1556</c:f>
              <c:strCache>
                <c:ptCount val="1"/>
                <c:pt idx="0">
                  <c:v>GPTW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Demografias'!$C$1545:$C$1555</c:f>
              <c:strCache>
                <c:ptCount val="11"/>
                <c:pt idx="0">
                  <c:v>**</c:v>
                </c:pt>
                <c:pt idx="1">
                  <c:v>**</c:v>
                </c:pt>
                <c:pt idx="2">
                  <c:v>**</c:v>
                </c:pt>
                <c:pt idx="3">
                  <c:v>**</c:v>
                </c:pt>
                <c:pt idx="4">
                  <c:v>**</c:v>
                </c:pt>
                <c:pt idx="5">
                  <c:v>**</c:v>
                </c:pt>
                <c:pt idx="6">
                  <c:v>2</c:v>
                </c:pt>
                <c:pt idx="7">
                  <c:v>**</c:v>
                </c:pt>
                <c:pt idx="8">
                  <c:v>1</c:v>
                </c:pt>
                <c:pt idx="9">
                  <c:v>Legal</c:v>
                </c:pt>
                <c:pt idx="10">
                  <c:v>69</c:v>
                </c:pt>
              </c:strCache>
            </c:strRef>
          </c:cat>
          <c:val>
            <c:numRef>
              <c:f>'Graficos Demografias'!$C$1552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Demografias'!$C$1550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224896800"/>
        <c:axId val="2248962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Demografias'!$C$1555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Demografias'!$C$1556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4896800"/>
        <c:axId val="224896240"/>
      </c:lineChart>
      <c:catAx>
        <c:axId val="2248968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24896240"/>
        <c:crosses val="autoZero"/>
        <c:auto val="1"/>
        <c:lblAlgn val="ctr"/>
        <c:lblOffset val="100"/>
        <c:noMultiLvlLbl val="0"/>
      </c:catAx>
      <c:valAx>
        <c:axId val="224896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489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Demografia!$DL$2:$DQ$2</c:f>
              <c:strCache>
                <c:ptCount val="6"/>
                <c:pt idx="0">
                  <c:v>LAD Systems Pre-Sales</c:v>
                </c:pt>
                <c:pt idx="1">
                  <c:v>LAD Systems Sales</c:v>
                </c:pt>
                <c:pt idx="2">
                  <c:v>Licenses - Customer Experience</c:v>
                </c:pt>
                <c:pt idx="3">
                  <c:v>Licenses - DB &amp; MDW</c:v>
                </c:pt>
                <c:pt idx="4">
                  <c:v>Licenses - Innovate</c:v>
                </c:pt>
                <c:pt idx="5">
                  <c:v>Licenses - LAD Alliances</c:v>
                </c:pt>
              </c:strCache>
            </c:strRef>
          </c:cat>
          <c:val>
            <c:numRef>
              <c:f>Demografia!$DL$17:$DQ$17</c:f>
              <c:numCache>
                <c:formatCode>0.0%</c:formatCode>
                <c:ptCount val="6"/>
                <c:pt idx="0">
                  <c:v>0.08</c:v>
                </c:pt>
                <c:pt idx="1">
                  <c:v>0.16</c:v>
                </c:pt>
                <c:pt idx="2">
                  <c:v>0.22</c:v>
                </c:pt>
                <c:pt idx="3">
                  <c:v>0.34</c:v>
                </c:pt>
                <c:pt idx="4">
                  <c:v>0.02</c:v>
                </c:pt>
                <c:pt idx="5">
                  <c:v>0.18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Demografias'!$C$1616:$G$1616</c:f>
              <c:strCache>
                <c:ptCount val="5"/>
                <c:pt idx="0">
                  <c:v>**</c:v>
                </c:pt>
                <c:pt idx="1">
                  <c:v>33</c:v>
                </c:pt>
                <c:pt idx="2">
                  <c:v>82</c:v>
                </c:pt>
                <c:pt idx="3">
                  <c:v>63</c:v>
                </c:pt>
                <c:pt idx="4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Demografias'!$C$1612:$H$1612</c:f>
              <c:numCache>
                <c:formatCode>0</c:formatCode>
                <c:ptCount val="6"/>
                <c:pt idx="0">
                  <c:v>0</c:v>
                </c:pt>
                <c:pt idx="1">
                  <c:v>70.06</c:v>
                </c:pt>
                <c:pt idx="2">
                  <c:v>0</c:v>
                </c:pt>
                <c:pt idx="3">
                  <c:v>73.22</c:v>
                </c:pt>
                <c:pt idx="4">
                  <c:v>0</c:v>
                </c:pt>
                <c:pt idx="5">
                  <c:v>83.33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Demografias'!$C$1610:$H$1610</c:f>
              <c:numCache>
                <c:formatCode>0</c:formatCode>
                <c:ptCount val="6"/>
                <c:pt idx="0">
                  <c:v>0</c:v>
                </c:pt>
                <c:pt idx="1">
                  <c:v>64.510000000000005</c:v>
                </c:pt>
                <c:pt idx="2">
                  <c:v>76.8</c:v>
                </c:pt>
                <c:pt idx="3">
                  <c:v>73.099999999999994</c:v>
                </c:pt>
                <c:pt idx="4">
                  <c:v>0</c:v>
                </c:pt>
                <c:pt idx="5">
                  <c:v>81.3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8215824"/>
        <c:axId val="3194191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Demografias'!$C$1615:$H$1615</c:f>
              <c:numCache>
                <c:formatCode>0</c:formatCode>
                <c:ptCount val="6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  <c:pt idx="5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Demografias'!$C$1616:$H$1616</c:f>
              <c:numCache>
                <c:formatCode>0</c:formatCode>
                <c:ptCount val="6"/>
                <c:pt idx="0">
                  <c:v>0</c:v>
                </c:pt>
                <c:pt idx="1">
                  <c:v>33.33</c:v>
                </c:pt>
                <c:pt idx="2">
                  <c:v>81.819999999999993</c:v>
                </c:pt>
                <c:pt idx="3">
                  <c:v>62.51</c:v>
                </c:pt>
                <c:pt idx="4">
                  <c:v>0</c:v>
                </c:pt>
                <c:pt idx="5">
                  <c:v>88.89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215824"/>
        <c:axId val="319419184"/>
      </c:lineChart>
      <c:catAx>
        <c:axId val="318215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19419184"/>
        <c:crosses val="autoZero"/>
        <c:auto val="1"/>
        <c:lblAlgn val="ctr"/>
        <c:lblOffset val="100"/>
        <c:noMultiLvlLbl val="0"/>
      </c:catAx>
      <c:valAx>
        <c:axId val="319419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8215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Demografia!$DS$2:$DW$2</c:f>
              <c:strCache>
                <c:ptCount val="5"/>
                <c:pt idx="0">
                  <c:v>Licenses - Oracle Direct</c:v>
                </c:pt>
                <c:pt idx="1">
                  <c:v>Licenses - PreSales Tech</c:v>
                </c:pt>
                <c:pt idx="2">
                  <c:v>Licenses - Public Sector</c:v>
                </c:pt>
                <c:pt idx="3">
                  <c:v>Licenses- All Others</c:v>
                </c:pt>
                <c:pt idx="4">
                  <c:v>Licenses - Operation Efficiency (ERP/EPM-HCM)</c:v>
                </c:pt>
              </c:strCache>
            </c:strRef>
          </c:cat>
          <c:val>
            <c:numRef>
              <c:f>Demografia!$DS$17:$DW$17</c:f>
              <c:numCache>
                <c:formatCode>0.0%</c:formatCode>
                <c:ptCount val="5"/>
                <c:pt idx="0">
                  <c:v>0.6</c:v>
                </c:pt>
                <c:pt idx="1">
                  <c:v>0.26</c:v>
                </c:pt>
                <c:pt idx="2">
                  <c:v>0.16</c:v>
                </c:pt>
                <c:pt idx="3">
                  <c:v>0.04</c:v>
                </c:pt>
                <c:pt idx="4">
                  <c:v>0.14000000000000001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Demografias'!$C$1672:$G$1672</c:f>
              <c:numCache>
                <c:formatCode>0</c:formatCode>
                <c:ptCount val="5"/>
                <c:pt idx="0">
                  <c:v>75.2</c:v>
                </c:pt>
                <c:pt idx="1">
                  <c:v>75.98</c:v>
                </c:pt>
                <c:pt idx="2">
                  <c:v>61.08</c:v>
                </c:pt>
                <c:pt idx="3">
                  <c:v>75.39</c:v>
                </c:pt>
                <c:pt idx="4">
                  <c:v>81.03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Demografias'!$C$1670:$G$1670</c:f>
              <c:numCache>
                <c:formatCode>0</c:formatCode>
                <c:ptCount val="5"/>
                <c:pt idx="0">
                  <c:v>62.41</c:v>
                </c:pt>
                <c:pt idx="1">
                  <c:v>74.92</c:v>
                </c:pt>
                <c:pt idx="2">
                  <c:v>85.99</c:v>
                </c:pt>
                <c:pt idx="3">
                  <c:v>0</c:v>
                </c:pt>
                <c:pt idx="4">
                  <c:v>93.6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9418624"/>
        <c:axId val="3139579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Demografias'!$C$1675:$G$1675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Demografias'!$C$1676:$G$1676</c:f>
              <c:numCache>
                <c:formatCode>0</c:formatCode>
                <c:ptCount val="5"/>
                <c:pt idx="0">
                  <c:v>58.62</c:v>
                </c:pt>
                <c:pt idx="1">
                  <c:v>76.92</c:v>
                </c:pt>
                <c:pt idx="2">
                  <c:v>100</c:v>
                </c:pt>
                <c:pt idx="3">
                  <c:v>0</c:v>
                </c:pt>
                <c:pt idx="4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418624"/>
        <c:axId val="313957904"/>
      </c:lineChart>
      <c:catAx>
        <c:axId val="31941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13957904"/>
        <c:crosses val="autoZero"/>
        <c:auto val="1"/>
        <c:lblAlgn val="ctr"/>
        <c:lblOffset val="100"/>
        <c:noMultiLvlLbl val="0"/>
      </c:catAx>
      <c:valAx>
        <c:axId val="313957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941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LAD LMS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Demografia!$DY$2</c:f>
              <c:strCache>
                <c:ptCount val="1"/>
                <c:pt idx="0">
                  <c:v>LMS</c:v>
                </c:pt>
              </c:strCache>
            </c:strRef>
          </c:cat>
          <c:val>
            <c:numRef>
              <c:f>Demografia!$DY$17</c:f>
              <c:numCache>
                <c:formatCode>0.0%</c:formatCode>
                <c:ptCount val="1"/>
                <c:pt idx="0">
                  <c:v>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Demografias'!$B$1736</c:f>
              <c:strCache>
                <c:ptCount val="1"/>
                <c:pt idx="0">
                  <c:v>GPTW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'Graficos Demografias'!$C$1725:$C$1735</c:f>
              <c:strCache>
                <c:ptCount val="11"/>
                <c:pt idx="0">
                  <c:v>**</c:v>
                </c:pt>
                <c:pt idx="1">
                  <c:v>**</c:v>
                </c:pt>
                <c:pt idx="2">
                  <c:v>**</c:v>
                </c:pt>
                <c:pt idx="3">
                  <c:v>**</c:v>
                </c:pt>
                <c:pt idx="4">
                  <c:v>**</c:v>
                </c:pt>
                <c:pt idx="5">
                  <c:v>**</c:v>
                </c:pt>
                <c:pt idx="6">
                  <c:v>2</c:v>
                </c:pt>
                <c:pt idx="7">
                  <c:v>**</c:v>
                </c:pt>
                <c:pt idx="8">
                  <c:v>1</c:v>
                </c:pt>
                <c:pt idx="9">
                  <c:v>LMS</c:v>
                </c:pt>
                <c:pt idx="10">
                  <c:v>69</c:v>
                </c:pt>
              </c:strCache>
            </c:strRef>
          </c:cat>
          <c:val>
            <c:numRef>
              <c:f>'Graficos Demografias'!$C$1732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Demografias'!$C$1730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6863312"/>
        <c:axId val="31689398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Demografias'!$C$1735</c:f>
              <c:numCache>
                <c:formatCode>0</c:formatCode>
                <c:ptCount val="1"/>
                <c:pt idx="0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Demografias'!$C$1736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863312"/>
        <c:axId val="316893984"/>
      </c:lineChart>
      <c:catAx>
        <c:axId val="3168633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16893984"/>
        <c:crosses val="autoZero"/>
        <c:auto val="1"/>
        <c:lblAlgn val="ctr"/>
        <c:lblOffset val="100"/>
        <c:noMultiLvlLbl val="0"/>
      </c:catAx>
      <c:valAx>
        <c:axId val="3168939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686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Demografia!$EA$2:$EC$2</c:f>
              <c:strCache>
                <c:ptCount val="3"/>
                <c:pt idx="0">
                  <c:v>Marketing - All Others</c:v>
                </c:pt>
                <c:pt idx="1">
                  <c:v>Marketing - Borst`s org</c:v>
                </c:pt>
                <c:pt idx="2">
                  <c:v>Marketing - Corporate Communications` org</c:v>
                </c:pt>
              </c:strCache>
            </c:strRef>
          </c:cat>
          <c:val>
            <c:numRef>
              <c:f>Demografia!$EA$17:$EC$17</c:f>
              <c:numCache>
                <c:formatCode>0.0%</c:formatCode>
                <c:ptCount val="3"/>
                <c:pt idx="0">
                  <c:v>0.55555555555555558</c:v>
                </c:pt>
                <c:pt idx="1">
                  <c:v>0.33333333333333331</c:v>
                </c:pt>
                <c:pt idx="2">
                  <c:v>0.1111111111111111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Demografias'!$C$1796:$D$1796</c:f>
              <c:strCache>
                <c:ptCount val="2"/>
                <c:pt idx="0">
                  <c:v>**</c:v>
                </c:pt>
                <c:pt idx="1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Demografias'!$C$1792:$E$1792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Demografias'!$C$1790:$E$1790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6888944"/>
        <c:axId val="3168878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Demografias'!$C$1795:$E$1795</c:f>
              <c:numCache>
                <c:formatCode>0</c:formatCode>
                <c:ptCount val="3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Demografias'!$C$1796:$E$1796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888944"/>
        <c:axId val="316887824"/>
      </c:lineChart>
      <c:catAx>
        <c:axId val="316888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16887824"/>
        <c:crosses val="autoZero"/>
        <c:auto val="1"/>
        <c:lblAlgn val="ctr"/>
        <c:lblOffset val="100"/>
        <c:noMultiLvlLbl val="0"/>
      </c:catAx>
      <c:valAx>
        <c:axId val="316887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1688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Demografia!$EE$2:$EF$2</c:f>
              <c:strCache>
                <c:ptCount val="2"/>
                <c:pt idx="0">
                  <c:v>LAD Recruiting - All Others</c:v>
                </c:pt>
                <c:pt idx="1">
                  <c:v>LAD Recruiting - Valeria Delgado´s Org</c:v>
                </c:pt>
              </c:strCache>
            </c:strRef>
          </c:cat>
          <c:val>
            <c:numRef>
              <c:f>Demografia!$EE$17:$EF$17</c:f>
              <c:numCache>
                <c:formatCode>0.0%</c:formatCode>
                <c:ptCount val="2"/>
                <c:pt idx="0">
                  <c:v>0.33333333333333331</c:v>
                </c:pt>
                <c:pt idx="1">
                  <c:v>0.66666666666666663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'Graficos Demografias'!$C$1856</c:f>
              <c:strCache>
                <c:ptCount val="1"/>
                <c:pt idx="0">
                  <c:v>**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Demografias'!$C$1852:$D$1852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Demografias'!$C$1850:$D$1850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3809088"/>
        <c:axId val="3938202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Demografias'!$C$1855:$D$1855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Demografias'!$C$1856:$D$1856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09088"/>
        <c:axId val="393820288"/>
      </c:lineChart>
      <c:catAx>
        <c:axId val="393809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820288"/>
        <c:crosses val="autoZero"/>
        <c:auto val="1"/>
        <c:lblAlgn val="ctr"/>
        <c:lblOffset val="100"/>
        <c:noMultiLvlLbl val="0"/>
      </c:catAx>
      <c:valAx>
        <c:axId val="393820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380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Demografia!$EH$2:$EI$2</c:f>
              <c:strCache>
                <c:ptCount val="2"/>
                <c:pt idx="0">
                  <c:v>LAD Product Support - ACS Delivery</c:v>
                </c:pt>
                <c:pt idx="1">
                  <c:v>LAD Product Support - Systems Support</c:v>
                </c:pt>
              </c:strCache>
            </c:strRef>
          </c:cat>
          <c:val>
            <c:numRef>
              <c:f>Demografia!$EH$17:$EI$17</c:f>
              <c:numCache>
                <c:formatCode>0.0%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Demografias'!$C$1912:$D$1912</c:f>
              <c:numCache>
                <c:formatCode>0</c:formatCode>
                <c:ptCount val="2"/>
                <c:pt idx="0">
                  <c:v>62.93</c:v>
                </c:pt>
                <c:pt idx="1">
                  <c:v>74.040000000000006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Demografias'!$C$1910:$D$1910</c:f>
              <c:numCache>
                <c:formatCode>0</c:formatCode>
                <c:ptCount val="2"/>
                <c:pt idx="0">
                  <c:v>59.75</c:v>
                </c:pt>
                <c:pt idx="1">
                  <c:v>62.03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93821968"/>
        <c:axId val="39381524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Demografias'!$C$1915:$D$1915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Demografias'!$C$1916:$D$1916</c:f>
              <c:numCache>
                <c:formatCode>0</c:formatCode>
                <c:ptCount val="2"/>
                <c:pt idx="0">
                  <c:v>68.42</c:v>
                </c:pt>
                <c:pt idx="1">
                  <c:v>47.37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821968"/>
        <c:axId val="393815248"/>
      </c:lineChart>
      <c:catAx>
        <c:axId val="393821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93815248"/>
        <c:crosses val="autoZero"/>
        <c:auto val="1"/>
        <c:lblAlgn val="ctr"/>
        <c:lblOffset val="100"/>
        <c:noMultiLvlLbl val="0"/>
      </c:catAx>
      <c:valAx>
        <c:axId val="393815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9382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Demografia!$EK$2:$EL$2</c:f>
              <c:strCache>
                <c:ptCount val="2"/>
                <c:pt idx="0">
                  <c:v>Región Global</c:v>
                </c:pt>
                <c:pt idx="1">
                  <c:v>Región LAD</c:v>
                </c:pt>
              </c:strCache>
            </c:strRef>
          </c:cat>
          <c:val>
            <c:numRef>
              <c:f>Demografia!$EK$17:$EL$17</c:f>
              <c:numCache>
                <c:formatCode>0.0%</c:formatCode>
                <c:ptCount val="2"/>
                <c:pt idx="0">
                  <c:v>0.2216117216117216</c:v>
                </c:pt>
                <c:pt idx="1">
                  <c:v>0.7783882783882784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Demografias'!$C$1972:$D$1972</c:f>
              <c:numCache>
                <c:formatCode>0</c:formatCode>
                <c:ptCount val="2"/>
                <c:pt idx="0">
                  <c:v>59.69</c:v>
                </c:pt>
                <c:pt idx="1">
                  <c:v>77.31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Demografias'!$C$1970:$D$1970</c:f>
              <c:numCache>
                <c:formatCode>0</c:formatCode>
                <c:ptCount val="2"/>
                <c:pt idx="0">
                  <c:v>53.28</c:v>
                </c:pt>
                <c:pt idx="1">
                  <c:v>72.95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20877728"/>
        <c:axId val="32088276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Demografias'!$C$1975:$D$1975</c:f>
              <c:numCache>
                <c:formatCode>0</c:formatCode>
                <c:ptCount val="2"/>
                <c:pt idx="0">
                  <c:v>68.66</c:v>
                </c:pt>
                <c:pt idx="1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Demografias'!$C$1976:$D$1976</c:f>
              <c:numCache>
                <c:formatCode>0</c:formatCode>
                <c:ptCount val="2"/>
                <c:pt idx="0">
                  <c:v>48.28</c:v>
                </c:pt>
                <c:pt idx="1">
                  <c:v>71.05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877728"/>
        <c:axId val="320882768"/>
      </c:lineChart>
      <c:catAx>
        <c:axId val="320877728"/>
        <c:scaling>
          <c:orientation val="minMax"/>
        </c:scaling>
        <c:delete val="1"/>
        <c:axPos val="b"/>
        <c:majorTickMark val="none"/>
        <c:minorTickMark val="none"/>
        <c:tickLblPos val="nextTo"/>
        <c:crossAx val="320882768"/>
        <c:crosses val="autoZero"/>
        <c:auto val="1"/>
        <c:lblAlgn val="ctr"/>
        <c:lblOffset val="100"/>
        <c:noMultiLvlLbl val="0"/>
      </c:catAx>
      <c:valAx>
        <c:axId val="3208827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0877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Demografia!$EN$2:$ER$2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Demografia!$EN$17:$ER$17</c:f>
              <c:numCache>
                <c:formatCode>0.0%</c:formatCode>
                <c:ptCount val="5"/>
                <c:pt idx="0">
                  <c:v>0.26900584795321636</c:v>
                </c:pt>
                <c:pt idx="1">
                  <c:v>8.3820662768031184E-2</c:v>
                </c:pt>
                <c:pt idx="2">
                  <c:v>1.9493177387914229E-2</c:v>
                </c:pt>
                <c:pt idx="3">
                  <c:v>0.51851851851851849</c:v>
                </c:pt>
                <c:pt idx="4">
                  <c:v>0.10916179337231968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89250608"/>
        <c:axId val="389228208"/>
      </c:barChart>
      <c:catAx>
        <c:axId val="389250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89228208"/>
        <c:crosses val="autoZero"/>
        <c:auto val="1"/>
        <c:lblAlgn val="ctr"/>
        <c:lblOffset val="100"/>
        <c:noMultiLvlLbl val="0"/>
      </c:catAx>
      <c:valAx>
        <c:axId val="38922820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8925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Demografias'!$C$2032:$G$2032</c:f>
              <c:numCache>
                <c:formatCode>0</c:formatCode>
                <c:ptCount val="5"/>
                <c:pt idx="0">
                  <c:v>67.489999999999995</c:v>
                </c:pt>
                <c:pt idx="1">
                  <c:v>60.86</c:v>
                </c:pt>
                <c:pt idx="2">
                  <c:v>43.1</c:v>
                </c:pt>
                <c:pt idx="3">
                  <c:v>81.81</c:v>
                </c:pt>
                <c:pt idx="4">
                  <c:v>54.92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Demografias'!$C$2030:$G$2030</c:f>
              <c:numCache>
                <c:formatCode>0</c:formatCode>
                <c:ptCount val="5"/>
                <c:pt idx="0">
                  <c:v>65.959999999999994</c:v>
                </c:pt>
                <c:pt idx="1">
                  <c:v>64.59</c:v>
                </c:pt>
                <c:pt idx="2">
                  <c:v>37.590000000000003</c:v>
                </c:pt>
                <c:pt idx="3">
                  <c:v>78.489999999999995</c:v>
                </c:pt>
                <c:pt idx="4">
                  <c:v>41.06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86622768"/>
        <c:axId val="3866233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Demografias'!$C$2035:$G$2035</c:f>
              <c:numCache>
                <c:formatCode>0</c:formatCode>
                <c:ptCount val="5"/>
                <c:pt idx="0">
                  <c:v>68.66</c:v>
                </c:pt>
                <c:pt idx="1">
                  <c:v>68.66</c:v>
                </c:pt>
                <c:pt idx="2">
                  <c:v>68.66</c:v>
                </c:pt>
                <c:pt idx="3">
                  <c:v>68.66</c:v>
                </c:pt>
                <c:pt idx="4">
                  <c:v>68.66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Demografias'!$C$2036:$G$2036</c:f>
              <c:numCache>
                <c:formatCode>0</c:formatCode>
                <c:ptCount val="5"/>
                <c:pt idx="0">
                  <c:v>62.32</c:v>
                </c:pt>
                <c:pt idx="1">
                  <c:v>62.79</c:v>
                </c:pt>
                <c:pt idx="2">
                  <c:v>30</c:v>
                </c:pt>
                <c:pt idx="3">
                  <c:v>78.95</c:v>
                </c:pt>
                <c:pt idx="4">
                  <c:v>28.57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622768"/>
        <c:axId val="386623328"/>
      </c:lineChart>
      <c:catAx>
        <c:axId val="386622768"/>
        <c:scaling>
          <c:orientation val="minMax"/>
        </c:scaling>
        <c:delete val="1"/>
        <c:axPos val="b"/>
        <c:majorTickMark val="none"/>
        <c:minorTickMark val="none"/>
        <c:tickLblPos val="nextTo"/>
        <c:crossAx val="386623328"/>
        <c:crosses val="autoZero"/>
        <c:auto val="1"/>
        <c:lblAlgn val="ctr"/>
        <c:lblOffset val="100"/>
        <c:noMultiLvlLbl val="0"/>
      </c:catAx>
      <c:valAx>
        <c:axId val="3866233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8662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4"/>
            <c:invertIfNegative val="0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5"/>
            <c:invertIfNegative val="0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6"/>
            <c:invertIfNegative val="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7"/>
            <c:invertIfNegative val="0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8"/>
            <c:invertIfNegative val="0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9"/>
            <c:invertIfNegative val="0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0"/>
            <c:invertIfNegative val="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(Demografia!$AM$2:$AS$2,Demografia!$AU$2:$BA$2,Demografia!$BC$2:$BI$2)</c:f>
              <c:strCache>
                <c:ptCount val="21"/>
                <c:pt idx="0">
                  <c:v>Cloud Services</c:v>
                </c:pt>
                <c:pt idx="1">
                  <c:v>Development</c:v>
                </c:pt>
                <c:pt idx="2">
                  <c:v>GBU´s/IBU´S- Bob Weiler´s / Dontatelli´s Org</c:v>
                </c:pt>
                <c:pt idx="3">
                  <c:v>Global G&amp;A/Manufacturing (SSC &amp; Others)</c:v>
                </c:pt>
                <c:pt idx="4">
                  <c:v>Global IT</c:v>
                </c:pt>
                <c:pt idx="5">
                  <c:v>Global Sales CEO Office</c:v>
                </c:pt>
                <c:pt idx="6">
                  <c:v>Product Support</c:v>
                </c:pt>
                <c:pt idx="7">
                  <c:v>Eduardo Lopez´s Org (excl. Consulting)</c:v>
                </c:pt>
                <c:pt idx="8">
                  <c:v>LAD Consulting</c:v>
                </c:pt>
                <c:pt idx="9">
                  <c:v>LAD Customer Services</c:v>
                </c:pt>
                <c:pt idx="10">
                  <c:v>LAD Deal Management</c:v>
                </c:pt>
                <c:pt idx="11">
                  <c:v>LAD Education</c:v>
                </c:pt>
                <c:pt idx="12">
                  <c:v>LAD Facilities</c:v>
                </c:pt>
                <c:pt idx="13">
                  <c:v>LAD Finance &amp; Operations (Cheryl McDowell´s)</c:v>
                </c:pt>
                <c:pt idx="14">
                  <c:v>LAD HR</c:v>
                </c:pt>
                <c:pt idx="15">
                  <c:v>LAD Legal</c:v>
                </c:pt>
                <c:pt idx="16">
                  <c:v>LAD Licenses &amp; Systems</c:v>
                </c:pt>
                <c:pt idx="17">
                  <c:v>LAD LMS</c:v>
                </c:pt>
                <c:pt idx="18">
                  <c:v>LAD Marketing</c:v>
                </c:pt>
                <c:pt idx="19">
                  <c:v>LAD Recruiting</c:v>
                </c:pt>
                <c:pt idx="20">
                  <c:v>LAD Support</c:v>
                </c:pt>
              </c:strCache>
            </c:strRef>
          </c:cat>
          <c:val>
            <c:numRef>
              <c:f>(Demografia!$AM$17:$AS$17,Demografia!$AU$17:$BA$17,Demografia!$BC$17:$BI$17)</c:f>
              <c:numCache>
                <c:formatCode>0.0%</c:formatCode>
                <c:ptCount val="21"/>
                <c:pt idx="0">
                  <c:v>5.7851239669421489E-2</c:v>
                </c:pt>
                <c:pt idx="1">
                  <c:v>4.9586776859504134E-2</c:v>
                </c:pt>
                <c:pt idx="2">
                  <c:v>0.4462809917355372</c:v>
                </c:pt>
                <c:pt idx="3">
                  <c:v>4.1322314049586778E-2</c:v>
                </c:pt>
                <c:pt idx="4">
                  <c:v>4.1322314049586778E-2</c:v>
                </c:pt>
                <c:pt idx="5">
                  <c:v>0.33884297520661155</c:v>
                </c:pt>
                <c:pt idx="6">
                  <c:v>2.4793388429752067E-2</c:v>
                </c:pt>
                <c:pt idx="7">
                  <c:v>8.6956521739130432E-2</c:v>
                </c:pt>
                <c:pt idx="8">
                  <c:v>0.62055335968379444</c:v>
                </c:pt>
                <c:pt idx="9">
                  <c:v>0.16205533596837945</c:v>
                </c:pt>
                <c:pt idx="10">
                  <c:v>1.9762845849802372E-2</c:v>
                </c:pt>
                <c:pt idx="11">
                  <c:v>1.5810276679841896E-2</c:v>
                </c:pt>
                <c:pt idx="12">
                  <c:v>2.766798418972332E-2</c:v>
                </c:pt>
                <c:pt idx="13">
                  <c:v>6.7193675889328064E-2</c:v>
                </c:pt>
                <c:pt idx="14">
                  <c:v>2.9069767441860465E-2</c:v>
                </c:pt>
                <c:pt idx="15">
                  <c:v>1.1627906976744186E-2</c:v>
                </c:pt>
                <c:pt idx="16">
                  <c:v>0.63953488372093026</c:v>
                </c:pt>
                <c:pt idx="17">
                  <c:v>1.1627906976744186E-2</c:v>
                </c:pt>
                <c:pt idx="18">
                  <c:v>5.232558139534884E-2</c:v>
                </c:pt>
                <c:pt idx="19">
                  <c:v>3.4883720930232558E-2</c:v>
                </c:pt>
                <c:pt idx="20">
                  <c:v>0.22093023255813954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73854304"/>
        <c:axId val="373841984"/>
      </c:barChart>
      <c:catAx>
        <c:axId val="373854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3841984"/>
        <c:crosses val="autoZero"/>
        <c:auto val="1"/>
        <c:lblAlgn val="ctr"/>
        <c:lblOffset val="100"/>
        <c:noMultiLvlLbl val="0"/>
      </c:catAx>
      <c:valAx>
        <c:axId val="37384198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37385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Drop" dropStyle="combo" dx="16" fmlaLink="I24" noThreeD="1" sel="2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Drop" dropStyle="combo" dx="16" fmlaLink="I25" noThreeD="1" val="0">
  <itemLst>
    <item val="Hist. + Tabla"/>
  </itemLst>
</formControlPr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Drop" dropStyle="combo" dx="16" fmlaLink="I26" noThreeD="1" sel="2" val="0">
  <itemLst>
    <item val="Barras"/>
    <item val="Torta"/>
  </itemLst>
</formControlPr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Drop" dropStyle="combo" dx="16" fmlaLink="I27" noThreeD="1" val="0">
  <itemLst>
    <item val="Hist. + Tabla"/>
  </itemLst>
</formControlPr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Drop" dropStyle="combo" dx="16" fmlaLink="I28" noThreeD="1" sel="2" val="0">
  <itemLst>
    <item val="Barras"/>
    <item val="Torta"/>
  </itemLst>
</formControlPr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Drop" dropStyle="combo" dx="16" fmlaLink="I29" noThreeD="1" val="0">
  <itemLst>
    <item val="Hist. + Tabla"/>
  </itemLst>
</formControlPr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Drop" dropStyle="combo" dx="16" fmlaLink="I30" noThreeD="1" sel="2" val="0">
  <itemLst>
    <item val="Barras"/>
    <item val="Torta"/>
  </itemLst>
</formControlPr>
</file>

<file path=xl/ctrlProps/ctrlProp61.xml><?xml version="1.0" encoding="utf-8"?>
<formControlPr xmlns="http://schemas.microsoft.com/office/spreadsheetml/2009/9/main" objectType="CheckBox" checked="Checked" lockText="1" noThreeD="1"/>
</file>

<file path=xl/ctrlProps/ctrlProp62.xml><?xml version="1.0" encoding="utf-8"?>
<formControlPr xmlns="http://schemas.microsoft.com/office/spreadsheetml/2009/9/main" objectType="Drop" dropStyle="combo" dx="16" fmlaLink="I31" noThreeD="1" val="0">
  <itemLst>
    <item val="Hist. + Tabla"/>
  </itemLst>
</formControlPr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Drop" dropStyle="combo" dx="16" fmlaLink="I32" noThreeD="1" sel="2" val="0">
  <itemLst>
    <item val="Barras"/>
    <item val="Torta"/>
  </itemLst>
</formControlPr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Drop" dropStyle="combo" dx="16" fmlaLink="I33" noThreeD="1" val="0">
  <itemLst>
    <item val="Hist. + Tabla"/>
  </itemLst>
</formControlPr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Drop" dropStyle="combo" dx="16" fmlaLink="I34" noThreeD="1" sel="2" val="0">
  <itemLst>
    <item val="Barras"/>
    <item val="Torta"/>
  </itemLst>
</formControlPr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Drop" dropStyle="combo" dx="16" fmlaLink="I35" noThreeD="1" val="0">
  <itemLst>
    <item val="Hist. + Tabla"/>
  </itemLst>
</formControlPr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Drop" dropStyle="combo" dx="16" fmlaLink="I36" noThreeD="1" sel="2" val="0">
  <itemLst>
    <item val="Barras"/>
    <item val="Torta"/>
  </itemLst>
</formControlPr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Drop" dropStyle="combo" dx="16" fmlaLink="I37" noThreeD="1" val="0">
  <itemLst>
    <item val="Hist. + Tabla"/>
  </itemLst>
</formControlPr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Drop" dropStyle="combo" dx="16" fmlaLink="I38" noThreeD="1" sel="2" val="0">
  <itemLst>
    <item val="Barras"/>
    <item val="Torta"/>
  </itemLst>
</formControlPr>
</file>

<file path=xl/ctrlProps/ctrlProp77.xml><?xml version="1.0" encoding="utf-8"?>
<formControlPr xmlns="http://schemas.microsoft.com/office/spreadsheetml/2009/9/main" objectType="CheckBox" checked="Checked" lockText="1" noThreeD="1"/>
</file>

<file path=xl/ctrlProps/ctrlProp78.xml><?xml version="1.0" encoding="utf-8"?>
<formControlPr xmlns="http://schemas.microsoft.com/office/spreadsheetml/2009/9/main" objectType="Drop" dropStyle="combo" dx="16" fmlaLink="I39" noThreeD="1" val="0">
  <itemLst>
    <item val="Hist. + Tabla"/>
  </itemLst>
</formControlPr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Drop" dropStyle="combo" dx="16" fmlaLink="I40" noThreeD="1" sel="2" val="0">
  <itemLst>
    <item val="Barras"/>
    <item val="Torta"/>
  </itemLst>
</formControlPr>
</file>

<file path=xl/ctrlProps/ctrlProp81.xml><?xml version="1.0" encoding="utf-8"?>
<formControlPr xmlns="http://schemas.microsoft.com/office/spreadsheetml/2009/9/main" objectType="CheckBox" checked="Checked" lockText="1" noThreeD="1"/>
</file>

<file path=xl/ctrlProps/ctrlProp82.xml><?xml version="1.0" encoding="utf-8"?>
<formControlPr xmlns="http://schemas.microsoft.com/office/spreadsheetml/2009/9/main" objectType="Drop" dropStyle="combo" dx="16" fmlaLink="I41" noThreeD="1" val="0">
  <itemLst>
    <item val="Hist. + Tabla"/>
  </itemLst>
</formControlPr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Drop" dropStyle="combo" dx="16" fmlaLink="I42" noThreeD="1" sel="2" val="0">
  <itemLst>
    <item val="Barras"/>
    <item val="Torta"/>
  </itemLst>
</formControlPr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Drop" dropStyle="combo" dx="16" fmlaLink="I43" noThreeD="1" val="0">
  <itemLst>
    <item val="Hist. + Tabla"/>
  </itemLst>
</formControlPr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Drop" dropStyle="combo" dx="16" fmlaLink="I44" noThreeD="1" sel="2" val="0">
  <itemLst>
    <item val="Barras"/>
    <item val="Torta"/>
  </itemLst>
</formControlPr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Drop" dropStyle="combo" dx="16" fmlaLink="I45" noThreeD="1" val="0">
  <itemLst>
    <item val="Hist. + Tabla"/>
  </itemLst>
</formControlPr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Drop" dropStyle="combo" dx="16" fmlaLink="I46" noThreeD="1" sel="2" val="0">
  <itemLst>
    <item val="Barras"/>
    <item val="Torta"/>
  </itemLst>
</formControlPr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Drop" dropStyle="combo" dx="16" fmlaLink="I47" noThreeD="1" val="0">
  <itemLst>
    <item val="Hist. + Tabla"/>
  </itemLst>
</formControlPr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Drop" dropStyle="combo" dx="16" fmlaLink="I48" noThreeD="1" sel="2" val="0">
  <itemLst>
    <item val="Barras"/>
    <item val="Torta"/>
  </itemLst>
</formControlPr>
</file>

<file path=xl/ctrlProps/ctrlProp97.xml><?xml version="1.0" encoding="utf-8"?>
<formControlPr xmlns="http://schemas.microsoft.com/office/spreadsheetml/2009/9/main" objectType="CheckBox" checked="Checked" lockText="1" noThreeD="1"/>
</file>

<file path=xl/ctrlProps/ctrlProp98.xml><?xml version="1.0" encoding="utf-8"?>
<formControlPr xmlns="http://schemas.microsoft.com/office/spreadsheetml/2009/9/main" objectType="Drop" dropStyle="combo" dx="16" fmlaLink="I49" noThreeD="1" val="0">
  <itemLst>
    <item val="Hist. + Tabla"/>
  </itemLst>
</formControlPr>
</file>

<file path=xl/ctrlProps/ctrlProp99.xml><?xml version="1.0" encoding="utf-8"?>
<formControlPr xmlns="http://schemas.microsoft.com/office/spreadsheetml/2009/9/main" objectType="CheckBox" checked="Checked" lockText="1" noThreeD="1"/>
</file>

<file path=xl/ctrlProps/ctrlProp100.xml><?xml version="1.0" encoding="utf-8"?>
<formControlPr xmlns="http://schemas.microsoft.com/office/spreadsheetml/2009/9/main" objectType="Drop" dropStyle="combo" dx="16" fmlaLink="I50" noThreeD="1" sel="2" val="0">
  <itemLst>
    <item val="Barras"/>
    <item val="Torta"/>
  </itemLst>
</formControlPr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Drop" dropStyle="combo" dx="16" fmlaLink="I51" noThreeD="1" val="0">
  <itemLst>
    <item val="Hist. + Tabla"/>
  </itemLst>
</formControlPr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Drop" dropStyle="combo" dx="16" fmlaLink="I52" noThreeD="1" sel="2" val="0">
  <itemLst>
    <item val="Barras"/>
    <item val="Torta"/>
  </itemLst>
</formControlPr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Drop" dropStyle="combo" dx="16" fmlaLink="I53" noThreeD="1" val="0">
  <itemLst>
    <item val="Hist. + Tabla"/>
  </itemLst>
</formControlPr>
</file>

<file path=xl/ctrlProps/ctrlProp107.xml><?xml version="1.0" encoding="utf-8"?>
<formControlPr xmlns="http://schemas.microsoft.com/office/spreadsheetml/2009/9/main" objectType="CheckBox" checked="Checked" lockText="1" noThreeD="1"/>
</file>

<file path=xl/ctrlProps/ctrlProp108.xml><?xml version="1.0" encoding="utf-8"?>
<formControlPr xmlns="http://schemas.microsoft.com/office/spreadsheetml/2009/9/main" objectType="Drop" dropStyle="combo" dx="16" fmlaLink="I54" noThreeD="1" sel="2" val="0">
  <itemLst>
    <item val="Barras"/>
    <item val="Torta"/>
  </itemLst>
</formControlPr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Drop" dropStyle="combo" dx="16" fmlaLink="I55" noThreeD="1" val="0">
  <itemLst>
    <item val="Hist. + Tabla"/>
  </itemLst>
</formControlPr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Drop" dropStyle="combo" dx="16" fmlaLink="I56" noThreeD="1" sel="2" val="0">
  <itemLst>
    <item val="Barras"/>
    <item val="Torta"/>
  </itemLst>
</formControlPr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Drop" dropStyle="combo" dx="16" fmlaLink="I57" noThreeD="1" val="0">
  <itemLst>
    <item val="Hist. + Tabla"/>
  </itemLst>
</formControlPr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Drop" dropStyle="combo" dx="16" fmlaLink="I58" noThreeD="1" sel="2" val="0">
  <itemLst>
    <item val="Barras"/>
    <item val="Torta"/>
  </itemLst>
</formControlPr>
</file>

<file path=xl/ctrlProps/ctrlProp117.xml><?xml version="1.0" encoding="utf-8"?>
<formControlPr xmlns="http://schemas.microsoft.com/office/spreadsheetml/2009/9/main" objectType="CheckBox" checked="Checked" lockText="1" noThreeD="1"/>
</file>

<file path=xl/ctrlProps/ctrlProp118.xml><?xml version="1.0" encoding="utf-8"?>
<formControlPr xmlns="http://schemas.microsoft.com/office/spreadsheetml/2009/9/main" objectType="Drop" dropStyle="combo" dx="16" fmlaLink="I59" noThreeD="1" val="0">
  <itemLst>
    <item val="Hist. + Tabla"/>
  </itemLst>
</formControlPr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Drop" dropStyle="combo" dx="16" fmlaLink="I60" noThreeD="1" sel="2" val="0">
  <itemLst>
    <item val="Barras"/>
    <item val="Torta"/>
  </itemLst>
</formControlPr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Drop" dropStyle="combo" dx="16" fmlaLink="I61" noThreeD="1" val="0">
  <itemLst>
    <item val="Hist. + Tabla"/>
  </itemLst>
</formControlPr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Drop" dropStyle="combo" dx="16" fmlaLink="I62" noThreeD="1" sel="2" val="0">
  <itemLst>
    <item val="Barras"/>
    <item val="Torta"/>
  </itemLst>
</formControlPr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Drop" dropStyle="combo" dx="16" fmlaLink="I63" noThreeD="1" val="0">
  <itemLst>
    <item val="Hist. + Tabla"/>
  </itemLst>
</formControlPr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Drop" dropStyle="combo" dx="16" fmlaLink="I64" noThreeD="1" sel="2" val="0">
  <itemLst>
    <item val="Barras"/>
    <item val="Torta"/>
  </itemLst>
</formControlPr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Drop" dropStyle="combo" dx="16" fmlaLink="I65" noThreeD="1" val="0">
  <itemLst>
    <item val="Hist. + Tabla"/>
  </itemLst>
</formControlPr>
</file>

<file path=xl/ctrlProps/ctrlProp131.xml><?xml version="1.0" encoding="utf-8"?>
<formControlPr xmlns="http://schemas.microsoft.com/office/spreadsheetml/2009/9/main" objectType="CheckBox" checked="Checked" lockText="1" noThreeD="1"/>
</file>

<file path=xl/ctrlProps/ctrlProp132.xml><?xml version="1.0" encoding="utf-8"?>
<formControlPr xmlns="http://schemas.microsoft.com/office/spreadsheetml/2009/9/main" objectType="Drop" dropStyle="combo" dx="16" fmlaLink="I66" noThreeD="1" sel="2" val="0">
  <itemLst>
    <item val="Barras"/>
    <item val="Torta"/>
  </itemLst>
</formControlPr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Drop" dropStyle="combo" dx="16" fmlaLink="I67" noThreeD="1" val="0">
  <itemLst>
    <item val="Hist. + Tabla"/>
  </itemLst>
</formControlPr>
</file>

<file path=xl/ctrlProps/ctrlProp135.xml><?xml version="1.0" encoding="utf-8"?>
<formControlPr xmlns="http://schemas.microsoft.com/office/spreadsheetml/2009/9/main" objectType="CheckBox" checked="Checked" lockText="1" noThreeD="1"/>
</file>

<file path=xl/ctrlProps/ctrlProp136.xml><?xml version="1.0" encoding="utf-8"?>
<formControlPr xmlns="http://schemas.microsoft.com/office/spreadsheetml/2009/9/main" objectType="Drop" dropStyle="combo" dx="16" fmlaLink="I68" noThreeD="1" sel="2" val="0">
  <itemLst>
    <item val="Barras"/>
    <item val="Torta"/>
  </itemLst>
</formControlPr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Drop" dropStyle="combo" dx="16" fmlaLink="I69" noThreeD="1" val="0">
  <itemLst>
    <item val="Hist. + Tabla"/>
  </itemLst>
</formControlPr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Drop" dropStyle="combo" dx="16" fmlaLink="I70" noThreeD="1" val="0">
  <itemLst>
    <item val="Barras"/>
    <item val="Torta"/>
  </itemLst>
</formControlPr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Drop" dropStyle="combo" dx="16" fmlaLink="I71" noThreeD="1" val="0">
  <itemLst>
    <item val="Hist. + Tabla"/>
  </itemLst>
</formControlPr>
</file>

<file path=xl/ctrlProps/ctrlProp143.xml><?xml version="1.0" encoding="utf-8"?>
<formControlPr xmlns="http://schemas.microsoft.com/office/spreadsheetml/2009/9/main" objectType="CheckBox" checked="Checked" lockText="1" noThreeD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Drop" dropStyle="combo" dx="16" fmlaLink="I72" noThreeD="1" val="0">
  <itemLst>
    <item val="Barras"/>
    <item val="Torta"/>
  </itemLst>
</formControlPr>
</file>

<file path=xl/ctrlProps/ctrlProp148.xml><?xml version="1.0" encoding="utf-8"?>
<formControlPr xmlns="http://schemas.microsoft.com/office/spreadsheetml/2009/9/main" objectType="CheckBox" checked="Checked" lockText="1" noThreeD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41.xml"/><Relationship Id="rId21" Type="http://schemas.openxmlformats.org/officeDocument/2006/relationships/chart" Target="../charts/chart36.xml"/><Relationship Id="rId42" Type="http://schemas.openxmlformats.org/officeDocument/2006/relationships/chart" Target="../charts/chart57.xml"/><Relationship Id="rId47" Type="http://schemas.openxmlformats.org/officeDocument/2006/relationships/chart" Target="../charts/chart62.xml"/><Relationship Id="rId63" Type="http://schemas.openxmlformats.org/officeDocument/2006/relationships/chart" Target="../charts/chart78.xml"/><Relationship Id="rId68" Type="http://schemas.openxmlformats.org/officeDocument/2006/relationships/chart" Target="../charts/chart83.xml"/><Relationship Id="rId7" Type="http://schemas.openxmlformats.org/officeDocument/2006/relationships/chart" Target="../charts/chart22.xml"/><Relationship Id="rId2" Type="http://schemas.openxmlformats.org/officeDocument/2006/relationships/chart" Target="../charts/chart17.xml"/><Relationship Id="rId16" Type="http://schemas.openxmlformats.org/officeDocument/2006/relationships/chart" Target="../charts/chart31.xml"/><Relationship Id="rId29" Type="http://schemas.openxmlformats.org/officeDocument/2006/relationships/chart" Target="../charts/chart44.xml"/><Relationship Id="rId11" Type="http://schemas.openxmlformats.org/officeDocument/2006/relationships/chart" Target="../charts/chart26.xml"/><Relationship Id="rId24" Type="http://schemas.openxmlformats.org/officeDocument/2006/relationships/chart" Target="../charts/chart39.xml"/><Relationship Id="rId32" Type="http://schemas.openxmlformats.org/officeDocument/2006/relationships/chart" Target="../charts/chart47.xml"/><Relationship Id="rId37" Type="http://schemas.openxmlformats.org/officeDocument/2006/relationships/chart" Target="../charts/chart52.xml"/><Relationship Id="rId40" Type="http://schemas.openxmlformats.org/officeDocument/2006/relationships/chart" Target="../charts/chart55.xml"/><Relationship Id="rId45" Type="http://schemas.openxmlformats.org/officeDocument/2006/relationships/chart" Target="../charts/chart60.xml"/><Relationship Id="rId53" Type="http://schemas.openxmlformats.org/officeDocument/2006/relationships/chart" Target="../charts/chart68.xml"/><Relationship Id="rId58" Type="http://schemas.openxmlformats.org/officeDocument/2006/relationships/chart" Target="../charts/chart73.xml"/><Relationship Id="rId66" Type="http://schemas.openxmlformats.org/officeDocument/2006/relationships/chart" Target="../charts/chart81.xml"/><Relationship Id="rId5" Type="http://schemas.openxmlformats.org/officeDocument/2006/relationships/chart" Target="../charts/chart20.xml"/><Relationship Id="rId61" Type="http://schemas.openxmlformats.org/officeDocument/2006/relationships/chart" Target="../charts/chart76.xml"/><Relationship Id="rId19" Type="http://schemas.openxmlformats.org/officeDocument/2006/relationships/chart" Target="../charts/chart34.xml"/><Relationship Id="rId14" Type="http://schemas.openxmlformats.org/officeDocument/2006/relationships/chart" Target="../charts/chart29.xml"/><Relationship Id="rId22" Type="http://schemas.openxmlformats.org/officeDocument/2006/relationships/chart" Target="../charts/chart37.xml"/><Relationship Id="rId27" Type="http://schemas.openxmlformats.org/officeDocument/2006/relationships/chart" Target="../charts/chart42.xml"/><Relationship Id="rId30" Type="http://schemas.openxmlformats.org/officeDocument/2006/relationships/chart" Target="../charts/chart45.xml"/><Relationship Id="rId35" Type="http://schemas.openxmlformats.org/officeDocument/2006/relationships/chart" Target="../charts/chart50.xml"/><Relationship Id="rId43" Type="http://schemas.openxmlformats.org/officeDocument/2006/relationships/chart" Target="../charts/chart58.xml"/><Relationship Id="rId48" Type="http://schemas.openxmlformats.org/officeDocument/2006/relationships/chart" Target="../charts/chart63.xml"/><Relationship Id="rId56" Type="http://schemas.openxmlformats.org/officeDocument/2006/relationships/chart" Target="../charts/chart71.xml"/><Relationship Id="rId64" Type="http://schemas.openxmlformats.org/officeDocument/2006/relationships/chart" Target="../charts/chart79.xml"/><Relationship Id="rId69" Type="http://schemas.openxmlformats.org/officeDocument/2006/relationships/chart" Target="../charts/chart84.xml"/><Relationship Id="rId8" Type="http://schemas.openxmlformats.org/officeDocument/2006/relationships/chart" Target="../charts/chart23.xml"/><Relationship Id="rId51" Type="http://schemas.openxmlformats.org/officeDocument/2006/relationships/chart" Target="../charts/chart66.xml"/><Relationship Id="rId3" Type="http://schemas.openxmlformats.org/officeDocument/2006/relationships/chart" Target="../charts/chart18.xml"/><Relationship Id="rId12" Type="http://schemas.openxmlformats.org/officeDocument/2006/relationships/chart" Target="../charts/chart27.xml"/><Relationship Id="rId17" Type="http://schemas.openxmlformats.org/officeDocument/2006/relationships/chart" Target="../charts/chart32.xml"/><Relationship Id="rId25" Type="http://schemas.openxmlformats.org/officeDocument/2006/relationships/chart" Target="../charts/chart40.xml"/><Relationship Id="rId33" Type="http://schemas.openxmlformats.org/officeDocument/2006/relationships/chart" Target="../charts/chart48.xml"/><Relationship Id="rId38" Type="http://schemas.openxmlformats.org/officeDocument/2006/relationships/chart" Target="../charts/chart53.xml"/><Relationship Id="rId46" Type="http://schemas.openxmlformats.org/officeDocument/2006/relationships/chart" Target="../charts/chart61.xml"/><Relationship Id="rId59" Type="http://schemas.openxmlformats.org/officeDocument/2006/relationships/chart" Target="../charts/chart74.xml"/><Relationship Id="rId67" Type="http://schemas.openxmlformats.org/officeDocument/2006/relationships/chart" Target="../charts/chart82.xml"/><Relationship Id="rId20" Type="http://schemas.openxmlformats.org/officeDocument/2006/relationships/chart" Target="../charts/chart35.xml"/><Relationship Id="rId41" Type="http://schemas.openxmlformats.org/officeDocument/2006/relationships/chart" Target="../charts/chart56.xml"/><Relationship Id="rId54" Type="http://schemas.openxmlformats.org/officeDocument/2006/relationships/chart" Target="../charts/chart69.xml"/><Relationship Id="rId62" Type="http://schemas.openxmlformats.org/officeDocument/2006/relationships/chart" Target="../charts/chart77.xml"/><Relationship Id="rId1" Type="http://schemas.openxmlformats.org/officeDocument/2006/relationships/chart" Target="../charts/chart16.xml"/><Relationship Id="rId6" Type="http://schemas.openxmlformats.org/officeDocument/2006/relationships/chart" Target="../charts/chart21.xml"/><Relationship Id="rId15" Type="http://schemas.openxmlformats.org/officeDocument/2006/relationships/chart" Target="../charts/chart30.xml"/><Relationship Id="rId23" Type="http://schemas.openxmlformats.org/officeDocument/2006/relationships/chart" Target="../charts/chart38.xml"/><Relationship Id="rId28" Type="http://schemas.openxmlformats.org/officeDocument/2006/relationships/chart" Target="../charts/chart43.xml"/><Relationship Id="rId36" Type="http://schemas.openxmlformats.org/officeDocument/2006/relationships/chart" Target="../charts/chart51.xml"/><Relationship Id="rId49" Type="http://schemas.openxmlformats.org/officeDocument/2006/relationships/chart" Target="../charts/chart64.xml"/><Relationship Id="rId57" Type="http://schemas.openxmlformats.org/officeDocument/2006/relationships/chart" Target="../charts/chart72.xml"/><Relationship Id="rId10" Type="http://schemas.openxmlformats.org/officeDocument/2006/relationships/chart" Target="../charts/chart25.xml"/><Relationship Id="rId31" Type="http://schemas.openxmlformats.org/officeDocument/2006/relationships/chart" Target="../charts/chart46.xml"/><Relationship Id="rId44" Type="http://schemas.openxmlformats.org/officeDocument/2006/relationships/chart" Target="../charts/chart59.xml"/><Relationship Id="rId52" Type="http://schemas.openxmlformats.org/officeDocument/2006/relationships/chart" Target="../charts/chart67.xml"/><Relationship Id="rId60" Type="http://schemas.openxmlformats.org/officeDocument/2006/relationships/chart" Target="../charts/chart75.xml"/><Relationship Id="rId65" Type="http://schemas.openxmlformats.org/officeDocument/2006/relationships/chart" Target="../charts/chart8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Relationship Id="rId13" Type="http://schemas.openxmlformats.org/officeDocument/2006/relationships/chart" Target="../charts/chart28.xml"/><Relationship Id="rId18" Type="http://schemas.openxmlformats.org/officeDocument/2006/relationships/chart" Target="../charts/chart33.xml"/><Relationship Id="rId39" Type="http://schemas.openxmlformats.org/officeDocument/2006/relationships/chart" Target="../charts/chart54.xml"/><Relationship Id="rId34" Type="http://schemas.openxmlformats.org/officeDocument/2006/relationships/chart" Target="../charts/chart49.xml"/><Relationship Id="rId50" Type="http://schemas.openxmlformats.org/officeDocument/2006/relationships/chart" Target="../charts/chart65.xml"/><Relationship Id="rId55" Type="http://schemas.openxmlformats.org/officeDocument/2006/relationships/chart" Target="../charts/chart70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73</xdr:row>
          <xdr:rowOff>180975</xdr:rowOff>
        </xdr:from>
        <xdr:to>
          <xdr:col>8</xdr:col>
          <xdr:colOff>0</xdr:colOff>
          <xdr:row>75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77</xdr:row>
          <xdr:rowOff>9525</xdr:rowOff>
        </xdr:from>
        <xdr:to>
          <xdr:col>8</xdr:col>
          <xdr:colOff>0</xdr:colOff>
          <xdr:row>79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281</xdr:row>
      <xdr:rowOff>28575</xdr:rowOff>
    </xdr:from>
    <xdr:to>
      <xdr:col>4</xdr:col>
      <xdr:colOff>4983925</xdr:colOff>
      <xdr:row>307</xdr:row>
      <xdr:rowOff>97575</xdr:rowOff>
    </xdr:to>
    <xdr:grpSp>
      <xdr:nvGrpSpPr>
        <xdr:cNvPr id="22" name="GraficoSintesis1"/>
        <xdr:cNvGrpSpPr/>
      </xdr:nvGrpSpPr>
      <xdr:grpSpPr>
        <a:xfrm>
          <a:off x="552450" y="54673500"/>
          <a:ext cx="6946075" cy="6403125"/>
          <a:chOff x="771525" y="546735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546735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547497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55778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56794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57810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588391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3713" name="DropDowns_Demo1" hidden="1">
              <a:extLst>
                <a:ext uri="{63B3BB69-23CF-44E3-9099-C40C66FF867C}">
                  <a14:compatExt spid="_x0000_s24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3714" name="CheckBox_Demo1" hidden="1">
              <a:extLst>
                <a:ext uri="{63B3BB69-23CF-44E3-9099-C40C66FF867C}">
                  <a14:compatExt spid="_x0000_s243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3715" name="DropDowns_Demo_Bis1" hidden="1">
              <a:extLst>
                <a:ext uri="{63B3BB69-23CF-44E3-9099-C40C66FF867C}">
                  <a14:compatExt spid="_x0000_s243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3716" name="CheckBox_Demo_Bis1" hidden="1">
              <a:extLst>
                <a:ext uri="{63B3BB69-23CF-44E3-9099-C40C66FF867C}">
                  <a14:compatExt spid="_x0000_s243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3717" name="DropDowns_Demo2" hidden="1">
              <a:extLst>
                <a:ext uri="{63B3BB69-23CF-44E3-9099-C40C66FF867C}">
                  <a14:compatExt spid="_x0000_s243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3718" name="CheckBox_Demo2" hidden="1">
              <a:extLst>
                <a:ext uri="{63B3BB69-23CF-44E3-9099-C40C66FF867C}">
                  <a14:compatExt spid="_x0000_s243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3719" name="DropDowns_Demo_Bis2" hidden="1">
              <a:extLst>
                <a:ext uri="{63B3BB69-23CF-44E3-9099-C40C66FF867C}">
                  <a14:compatExt spid="_x0000_s243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3720" name="CheckBox_Demo_Bis2" hidden="1">
              <a:extLst>
                <a:ext uri="{63B3BB69-23CF-44E3-9099-C40C66FF867C}">
                  <a14:compatExt spid="_x0000_s243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3721" name="DropDowns_Demo3" hidden="1">
              <a:extLst>
                <a:ext uri="{63B3BB69-23CF-44E3-9099-C40C66FF867C}">
                  <a14:compatExt spid="_x0000_s243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3722" name="CheckBox_Demo3" hidden="1">
              <a:extLst>
                <a:ext uri="{63B3BB69-23CF-44E3-9099-C40C66FF867C}">
                  <a14:compatExt spid="_x0000_s243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3723" name="DropDowns_Demo_Bis3" hidden="1">
              <a:extLst>
                <a:ext uri="{63B3BB69-23CF-44E3-9099-C40C66FF867C}">
                  <a14:compatExt spid="_x0000_s243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3724" name="CheckBox_Demo_Bis3" hidden="1">
              <a:extLst>
                <a:ext uri="{63B3BB69-23CF-44E3-9099-C40C66FF867C}">
                  <a14:compatExt spid="_x0000_s243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3725" name="DropDowns_Demo4" hidden="1">
              <a:extLst>
                <a:ext uri="{63B3BB69-23CF-44E3-9099-C40C66FF867C}">
                  <a14:compatExt spid="_x0000_s243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3726" name="CheckBox_Demo4" hidden="1">
              <a:extLst>
                <a:ext uri="{63B3BB69-23CF-44E3-9099-C40C66FF867C}">
                  <a14:compatExt spid="_x0000_s243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3727" name="DropDowns_Demo_Bis4" hidden="1">
              <a:extLst>
                <a:ext uri="{63B3BB69-23CF-44E3-9099-C40C66FF867C}">
                  <a14:compatExt spid="_x0000_s243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3728" name="CheckBox_Demo_Bis4" hidden="1">
              <a:extLst>
                <a:ext uri="{63B3BB69-23CF-44E3-9099-C40C66FF867C}">
                  <a14:compatExt spid="_x0000_s243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3729" name="DropDowns_Demo5" hidden="1">
              <a:extLst>
                <a:ext uri="{63B3BB69-23CF-44E3-9099-C40C66FF867C}">
                  <a14:compatExt spid="_x0000_s24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3730" name="CheckBox_Demo5" hidden="1">
              <a:extLst>
                <a:ext uri="{63B3BB69-23CF-44E3-9099-C40C66FF867C}">
                  <a14:compatExt spid="_x0000_s24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3731" name="DropDowns_Demo_Bis5" hidden="1">
              <a:extLst>
                <a:ext uri="{63B3BB69-23CF-44E3-9099-C40C66FF867C}">
                  <a14:compatExt spid="_x0000_s24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3732" name="CheckBox_Demo_Bis5" hidden="1">
              <a:extLst>
                <a:ext uri="{63B3BB69-23CF-44E3-9099-C40C66FF867C}">
                  <a14:compatExt spid="_x0000_s24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3733" name="DropDowns_Demo6" hidden="1">
              <a:extLst>
                <a:ext uri="{63B3BB69-23CF-44E3-9099-C40C66FF867C}">
                  <a14:compatExt spid="_x0000_s24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3734" name="CheckBox_Demo6" hidden="1">
              <a:extLst>
                <a:ext uri="{63B3BB69-23CF-44E3-9099-C40C66FF867C}">
                  <a14:compatExt spid="_x0000_s24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3735" name="DropDowns_Demo_Bis6" hidden="1">
              <a:extLst>
                <a:ext uri="{63B3BB69-23CF-44E3-9099-C40C66FF867C}">
                  <a14:compatExt spid="_x0000_s24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3736" name="CheckBox_Demo_Bis6" hidden="1">
              <a:extLst>
                <a:ext uri="{63B3BB69-23CF-44E3-9099-C40C66FF867C}">
                  <a14:compatExt spid="_x0000_s24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3737" name="DropDowns_Demo7" hidden="1">
              <a:extLst>
                <a:ext uri="{63B3BB69-23CF-44E3-9099-C40C66FF867C}">
                  <a14:compatExt spid="_x0000_s24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3738" name="CheckBox_Demo7" hidden="1">
              <a:extLst>
                <a:ext uri="{63B3BB69-23CF-44E3-9099-C40C66FF867C}">
                  <a14:compatExt spid="_x0000_s24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3739" name="DropDowns_Demo_Bis7" hidden="1">
              <a:extLst>
                <a:ext uri="{63B3BB69-23CF-44E3-9099-C40C66FF867C}">
                  <a14:compatExt spid="_x0000_s24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3740" name="CheckBox_Demo_Bis7" hidden="1">
              <a:extLst>
                <a:ext uri="{63B3BB69-23CF-44E3-9099-C40C66FF867C}">
                  <a14:compatExt spid="_x0000_s24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3741" name="DropDowns_Demo8" hidden="1">
              <a:extLst>
                <a:ext uri="{63B3BB69-23CF-44E3-9099-C40C66FF867C}">
                  <a14:compatExt spid="_x0000_s24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3742" name="CheckBox_Demo8" hidden="1">
              <a:extLst>
                <a:ext uri="{63B3BB69-23CF-44E3-9099-C40C66FF867C}">
                  <a14:compatExt spid="_x0000_s24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3743" name="DropDowns_Demo_Bis8" hidden="1">
              <a:extLst>
                <a:ext uri="{63B3BB69-23CF-44E3-9099-C40C66FF867C}">
                  <a14:compatExt spid="_x0000_s24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3744" name="CheckBox_Demo_Bis8" hidden="1">
              <a:extLst>
                <a:ext uri="{63B3BB69-23CF-44E3-9099-C40C66FF867C}">
                  <a14:compatExt spid="_x0000_s24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3745" name="DropDowns_Demo9" hidden="1">
              <a:extLst>
                <a:ext uri="{63B3BB69-23CF-44E3-9099-C40C66FF867C}">
                  <a14:compatExt spid="_x0000_s24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3746" name="CheckBox_Demo9" hidden="1">
              <a:extLst>
                <a:ext uri="{63B3BB69-23CF-44E3-9099-C40C66FF867C}">
                  <a14:compatExt spid="_x0000_s24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3747" name="DropDowns_Demo_Bis9" hidden="1">
              <a:extLst>
                <a:ext uri="{63B3BB69-23CF-44E3-9099-C40C66FF867C}">
                  <a14:compatExt spid="_x0000_s24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3748" name="CheckBox_Demo_Bis9" hidden="1">
              <a:extLst>
                <a:ext uri="{63B3BB69-23CF-44E3-9099-C40C66FF867C}">
                  <a14:compatExt spid="_x0000_s24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3749" name="DropDowns_Demo10" hidden="1">
              <a:extLst>
                <a:ext uri="{63B3BB69-23CF-44E3-9099-C40C66FF867C}">
                  <a14:compatExt spid="_x0000_s24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3750" name="CheckBox_Demo10" hidden="1">
              <a:extLst>
                <a:ext uri="{63B3BB69-23CF-44E3-9099-C40C66FF867C}">
                  <a14:compatExt spid="_x0000_s24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3751" name="DropDowns_Demo_Bis10" hidden="1">
              <a:extLst>
                <a:ext uri="{63B3BB69-23CF-44E3-9099-C40C66FF867C}">
                  <a14:compatExt spid="_x0000_s24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3752" name="CheckBox_Demo_Bis10" hidden="1">
              <a:extLst>
                <a:ext uri="{63B3BB69-23CF-44E3-9099-C40C66FF867C}">
                  <a14:compatExt spid="_x0000_s24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43753" name="DropDowns_Demo11" hidden="1">
              <a:extLst>
                <a:ext uri="{63B3BB69-23CF-44E3-9099-C40C66FF867C}">
                  <a14:compatExt spid="_x0000_s24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43754" name="CheckBox_Demo11" hidden="1">
              <a:extLst>
                <a:ext uri="{63B3BB69-23CF-44E3-9099-C40C66FF867C}">
                  <a14:compatExt spid="_x0000_s24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43755" name="DropDowns_Demo_Bis11" hidden="1">
              <a:extLst>
                <a:ext uri="{63B3BB69-23CF-44E3-9099-C40C66FF867C}">
                  <a14:compatExt spid="_x0000_s24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43756" name="CheckBox_Demo_Bis11" hidden="1">
              <a:extLst>
                <a:ext uri="{63B3BB69-23CF-44E3-9099-C40C66FF867C}">
                  <a14:compatExt spid="_x0000_s24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43757" name="DropDowns_Demo12" hidden="1">
              <a:extLst>
                <a:ext uri="{63B3BB69-23CF-44E3-9099-C40C66FF867C}">
                  <a14:compatExt spid="_x0000_s243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43758" name="CheckBox_Demo12" hidden="1">
              <a:extLst>
                <a:ext uri="{63B3BB69-23CF-44E3-9099-C40C66FF867C}">
                  <a14:compatExt spid="_x0000_s243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26</xdr:row>
          <xdr:rowOff>0</xdr:rowOff>
        </xdr:from>
        <xdr:to>
          <xdr:col>9</xdr:col>
          <xdr:colOff>0</xdr:colOff>
          <xdr:row>27</xdr:row>
          <xdr:rowOff>0</xdr:rowOff>
        </xdr:to>
        <xdr:sp macro="" textlink="">
          <xdr:nvSpPr>
            <xdr:cNvPr id="243759" name="DropDowns_Demo_Bis12" hidden="1">
              <a:extLst>
                <a:ext uri="{63B3BB69-23CF-44E3-9099-C40C66FF867C}">
                  <a14:compatExt spid="_x0000_s243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26</xdr:row>
          <xdr:rowOff>0</xdr:rowOff>
        </xdr:from>
        <xdr:to>
          <xdr:col>9</xdr:col>
          <xdr:colOff>638175</xdr:colOff>
          <xdr:row>27</xdr:row>
          <xdr:rowOff>19050</xdr:rowOff>
        </xdr:to>
        <xdr:sp macro="" textlink="">
          <xdr:nvSpPr>
            <xdr:cNvPr id="243760" name="CheckBox_Demo_Bis12" hidden="1">
              <a:extLst>
                <a:ext uri="{63B3BB69-23CF-44E3-9099-C40C66FF867C}">
                  <a14:compatExt spid="_x0000_s243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27</xdr:row>
          <xdr:rowOff>0</xdr:rowOff>
        </xdr:from>
        <xdr:to>
          <xdr:col>9</xdr:col>
          <xdr:colOff>0</xdr:colOff>
          <xdr:row>28</xdr:row>
          <xdr:rowOff>0</xdr:rowOff>
        </xdr:to>
        <xdr:sp macro="" textlink="">
          <xdr:nvSpPr>
            <xdr:cNvPr id="243761" name="DropDowns_Demo13" hidden="1">
              <a:extLst>
                <a:ext uri="{63B3BB69-23CF-44E3-9099-C40C66FF867C}">
                  <a14:compatExt spid="_x0000_s24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27</xdr:row>
          <xdr:rowOff>0</xdr:rowOff>
        </xdr:from>
        <xdr:to>
          <xdr:col>9</xdr:col>
          <xdr:colOff>638175</xdr:colOff>
          <xdr:row>28</xdr:row>
          <xdr:rowOff>19050</xdr:rowOff>
        </xdr:to>
        <xdr:sp macro="" textlink="">
          <xdr:nvSpPr>
            <xdr:cNvPr id="243762" name="CheckBox_Demo13" hidden="1">
              <a:extLst>
                <a:ext uri="{63B3BB69-23CF-44E3-9099-C40C66FF867C}">
                  <a14:compatExt spid="_x0000_s243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28</xdr:row>
          <xdr:rowOff>0</xdr:rowOff>
        </xdr:from>
        <xdr:to>
          <xdr:col>9</xdr:col>
          <xdr:colOff>0</xdr:colOff>
          <xdr:row>29</xdr:row>
          <xdr:rowOff>0</xdr:rowOff>
        </xdr:to>
        <xdr:sp macro="" textlink="">
          <xdr:nvSpPr>
            <xdr:cNvPr id="243763" name="DropDowns_Demo_Bis13" hidden="1">
              <a:extLst>
                <a:ext uri="{63B3BB69-23CF-44E3-9099-C40C66FF867C}">
                  <a14:compatExt spid="_x0000_s243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28</xdr:row>
          <xdr:rowOff>0</xdr:rowOff>
        </xdr:from>
        <xdr:to>
          <xdr:col>9</xdr:col>
          <xdr:colOff>638175</xdr:colOff>
          <xdr:row>29</xdr:row>
          <xdr:rowOff>19050</xdr:rowOff>
        </xdr:to>
        <xdr:sp macro="" textlink="">
          <xdr:nvSpPr>
            <xdr:cNvPr id="243764" name="CheckBox_Demo_Bis13" hidden="1">
              <a:extLst>
                <a:ext uri="{63B3BB69-23CF-44E3-9099-C40C66FF867C}">
                  <a14:compatExt spid="_x0000_s243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29</xdr:row>
          <xdr:rowOff>0</xdr:rowOff>
        </xdr:from>
        <xdr:to>
          <xdr:col>9</xdr:col>
          <xdr:colOff>0</xdr:colOff>
          <xdr:row>30</xdr:row>
          <xdr:rowOff>0</xdr:rowOff>
        </xdr:to>
        <xdr:sp macro="" textlink="">
          <xdr:nvSpPr>
            <xdr:cNvPr id="243765" name="DropDowns_Demo14" hidden="1">
              <a:extLst>
                <a:ext uri="{63B3BB69-23CF-44E3-9099-C40C66FF867C}">
                  <a14:compatExt spid="_x0000_s243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29</xdr:row>
          <xdr:rowOff>0</xdr:rowOff>
        </xdr:from>
        <xdr:to>
          <xdr:col>9</xdr:col>
          <xdr:colOff>638175</xdr:colOff>
          <xdr:row>30</xdr:row>
          <xdr:rowOff>19050</xdr:rowOff>
        </xdr:to>
        <xdr:sp macro="" textlink="">
          <xdr:nvSpPr>
            <xdr:cNvPr id="243766" name="CheckBox_Demo14" hidden="1">
              <a:extLst>
                <a:ext uri="{63B3BB69-23CF-44E3-9099-C40C66FF867C}">
                  <a14:compatExt spid="_x0000_s243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30</xdr:row>
          <xdr:rowOff>0</xdr:rowOff>
        </xdr:from>
        <xdr:to>
          <xdr:col>9</xdr:col>
          <xdr:colOff>0</xdr:colOff>
          <xdr:row>31</xdr:row>
          <xdr:rowOff>0</xdr:rowOff>
        </xdr:to>
        <xdr:sp macro="" textlink="">
          <xdr:nvSpPr>
            <xdr:cNvPr id="243767" name="DropDowns_Demo_Bis14" hidden="1">
              <a:extLst>
                <a:ext uri="{63B3BB69-23CF-44E3-9099-C40C66FF867C}">
                  <a14:compatExt spid="_x0000_s243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30</xdr:row>
          <xdr:rowOff>0</xdr:rowOff>
        </xdr:from>
        <xdr:to>
          <xdr:col>9</xdr:col>
          <xdr:colOff>638175</xdr:colOff>
          <xdr:row>31</xdr:row>
          <xdr:rowOff>19050</xdr:rowOff>
        </xdr:to>
        <xdr:sp macro="" textlink="">
          <xdr:nvSpPr>
            <xdr:cNvPr id="243768" name="CheckBox_Demo_Bis14" hidden="1">
              <a:extLst>
                <a:ext uri="{63B3BB69-23CF-44E3-9099-C40C66FF867C}">
                  <a14:compatExt spid="_x0000_s243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0</xdr:rowOff>
        </xdr:from>
        <xdr:to>
          <xdr:col>9</xdr:col>
          <xdr:colOff>0</xdr:colOff>
          <xdr:row>32</xdr:row>
          <xdr:rowOff>0</xdr:rowOff>
        </xdr:to>
        <xdr:sp macro="" textlink="">
          <xdr:nvSpPr>
            <xdr:cNvPr id="243769" name="DropDowns_Demo15" hidden="1">
              <a:extLst>
                <a:ext uri="{63B3BB69-23CF-44E3-9099-C40C66FF867C}">
                  <a14:compatExt spid="_x0000_s243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31</xdr:row>
          <xdr:rowOff>0</xdr:rowOff>
        </xdr:from>
        <xdr:to>
          <xdr:col>9</xdr:col>
          <xdr:colOff>638175</xdr:colOff>
          <xdr:row>32</xdr:row>
          <xdr:rowOff>19050</xdr:rowOff>
        </xdr:to>
        <xdr:sp macro="" textlink="">
          <xdr:nvSpPr>
            <xdr:cNvPr id="243770" name="CheckBox_Demo15" hidden="1">
              <a:extLst>
                <a:ext uri="{63B3BB69-23CF-44E3-9099-C40C66FF867C}">
                  <a14:compatExt spid="_x0000_s243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 macro="" textlink="">
          <xdr:nvSpPr>
            <xdr:cNvPr id="243771" name="DropDowns_Demo_Bis15" hidden="1">
              <a:extLst>
                <a:ext uri="{63B3BB69-23CF-44E3-9099-C40C66FF867C}">
                  <a14:compatExt spid="_x0000_s243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32</xdr:row>
          <xdr:rowOff>0</xdr:rowOff>
        </xdr:from>
        <xdr:to>
          <xdr:col>9</xdr:col>
          <xdr:colOff>638175</xdr:colOff>
          <xdr:row>33</xdr:row>
          <xdr:rowOff>19050</xdr:rowOff>
        </xdr:to>
        <xdr:sp macro="" textlink="">
          <xdr:nvSpPr>
            <xdr:cNvPr id="243772" name="CheckBox_Demo_Bis15" hidden="1">
              <a:extLst>
                <a:ext uri="{63B3BB69-23CF-44E3-9099-C40C66FF867C}">
                  <a14:compatExt spid="_x0000_s243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243773" name="DropDowns_Demo16" hidden="1">
              <a:extLst>
                <a:ext uri="{63B3BB69-23CF-44E3-9099-C40C66FF867C}">
                  <a14:compatExt spid="_x0000_s243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33</xdr:row>
          <xdr:rowOff>0</xdr:rowOff>
        </xdr:from>
        <xdr:to>
          <xdr:col>9</xdr:col>
          <xdr:colOff>638175</xdr:colOff>
          <xdr:row>34</xdr:row>
          <xdr:rowOff>19050</xdr:rowOff>
        </xdr:to>
        <xdr:sp macro="" textlink="">
          <xdr:nvSpPr>
            <xdr:cNvPr id="243774" name="CheckBox_Demo16" hidden="1">
              <a:extLst>
                <a:ext uri="{63B3BB69-23CF-44E3-9099-C40C66FF867C}">
                  <a14:compatExt spid="_x0000_s243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0</xdr:rowOff>
        </xdr:from>
        <xdr:to>
          <xdr:col>9</xdr:col>
          <xdr:colOff>0</xdr:colOff>
          <xdr:row>35</xdr:row>
          <xdr:rowOff>0</xdr:rowOff>
        </xdr:to>
        <xdr:sp macro="" textlink="">
          <xdr:nvSpPr>
            <xdr:cNvPr id="243775" name="DropDowns_Demo_Bis16" hidden="1">
              <a:extLst>
                <a:ext uri="{63B3BB69-23CF-44E3-9099-C40C66FF867C}">
                  <a14:compatExt spid="_x0000_s243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34</xdr:row>
          <xdr:rowOff>0</xdr:rowOff>
        </xdr:from>
        <xdr:to>
          <xdr:col>9</xdr:col>
          <xdr:colOff>638175</xdr:colOff>
          <xdr:row>35</xdr:row>
          <xdr:rowOff>19050</xdr:rowOff>
        </xdr:to>
        <xdr:sp macro="" textlink="">
          <xdr:nvSpPr>
            <xdr:cNvPr id="243776" name="CheckBox_Demo_Bis16" hidden="1">
              <a:extLst>
                <a:ext uri="{63B3BB69-23CF-44E3-9099-C40C66FF867C}">
                  <a14:compatExt spid="_x0000_s243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35</xdr:row>
          <xdr:rowOff>0</xdr:rowOff>
        </xdr:from>
        <xdr:to>
          <xdr:col>9</xdr:col>
          <xdr:colOff>0</xdr:colOff>
          <xdr:row>36</xdr:row>
          <xdr:rowOff>0</xdr:rowOff>
        </xdr:to>
        <xdr:sp macro="" textlink="">
          <xdr:nvSpPr>
            <xdr:cNvPr id="243777" name="DropDowns_Demo17" hidden="1">
              <a:extLst>
                <a:ext uri="{63B3BB69-23CF-44E3-9099-C40C66FF867C}">
                  <a14:compatExt spid="_x0000_s243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35</xdr:row>
          <xdr:rowOff>0</xdr:rowOff>
        </xdr:from>
        <xdr:to>
          <xdr:col>9</xdr:col>
          <xdr:colOff>638175</xdr:colOff>
          <xdr:row>36</xdr:row>
          <xdr:rowOff>19050</xdr:rowOff>
        </xdr:to>
        <xdr:sp macro="" textlink="">
          <xdr:nvSpPr>
            <xdr:cNvPr id="243778" name="CheckBox_Demo17" hidden="1">
              <a:extLst>
                <a:ext uri="{63B3BB69-23CF-44E3-9099-C40C66FF867C}">
                  <a14:compatExt spid="_x0000_s243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243779" name="DropDowns_Demo_Bis17" hidden="1">
              <a:extLst>
                <a:ext uri="{63B3BB69-23CF-44E3-9099-C40C66FF867C}">
                  <a14:compatExt spid="_x0000_s243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36</xdr:row>
          <xdr:rowOff>0</xdr:rowOff>
        </xdr:from>
        <xdr:to>
          <xdr:col>9</xdr:col>
          <xdr:colOff>638175</xdr:colOff>
          <xdr:row>37</xdr:row>
          <xdr:rowOff>19050</xdr:rowOff>
        </xdr:to>
        <xdr:sp macro="" textlink="">
          <xdr:nvSpPr>
            <xdr:cNvPr id="243780" name="CheckBox_Demo_Bis17" hidden="1">
              <a:extLst>
                <a:ext uri="{63B3BB69-23CF-44E3-9099-C40C66FF867C}">
                  <a14:compatExt spid="_x0000_s243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37</xdr:row>
          <xdr:rowOff>0</xdr:rowOff>
        </xdr:from>
        <xdr:to>
          <xdr:col>9</xdr:col>
          <xdr:colOff>0</xdr:colOff>
          <xdr:row>38</xdr:row>
          <xdr:rowOff>0</xdr:rowOff>
        </xdr:to>
        <xdr:sp macro="" textlink="">
          <xdr:nvSpPr>
            <xdr:cNvPr id="243781" name="DropDowns_Demo18" hidden="1">
              <a:extLst>
                <a:ext uri="{63B3BB69-23CF-44E3-9099-C40C66FF867C}">
                  <a14:compatExt spid="_x0000_s243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37</xdr:row>
          <xdr:rowOff>0</xdr:rowOff>
        </xdr:from>
        <xdr:to>
          <xdr:col>9</xdr:col>
          <xdr:colOff>638175</xdr:colOff>
          <xdr:row>38</xdr:row>
          <xdr:rowOff>19050</xdr:rowOff>
        </xdr:to>
        <xdr:sp macro="" textlink="">
          <xdr:nvSpPr>
            <xdr:cNvPr id="243782" name="CheckBox_Demo18" hidden="1">
              <a:extLst>
                <a:ext uri="{63B3BB69-23CF-44E3-9099-C40C66FF867C}">
                  <a14:compatExt spid="_x0000_s243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9</xdr:col>
          <xdr:colOff>0</xdr:colOff>
          <xdr:row>39</xdr:row>
          <xdr:rowOff>0</xdr:rowOff>
        </xdr:to>
        <xdr:sp macro="" textlink="">
          <xdr:nvSpPr>
            <xdr:cNvPr id="243783" name="DropDowns_Demo_Bis18" hidden="1">
              <a:extLst>
                <a:ext uri="{63B3BB69-23CF-44E3-9099-C40C66FF867C}">
                  <a14:compatExt spid="_x0000_s243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38</xdr:row>
          <xdr:rowOff>0</xdr:rowOff>
        </xdr:from>
        <xdr:to>
          <xdr:col>9</xdr:col>
          <xdr:colOff>638175</xdr:colOff>
          <xdr:row>39</xdr:row>
          <xdr:rowOff>19050</xdr:rowOff>
        </xdr:to>
        <xdr:sp macro="" textlink="">
          <xdr:nvSpPr>
            <xdr:cNvPr id="243784" name="CheckBox_Demo_Bis18" hidden="1">
              <a:extLst>
                <a:ext uri="{63B3BB69-23CF-44E3-9099-C40C66FF867C}">
                  <a14:compatExt spid="_x0000_s243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39</xdr:row>
          <xdr:rowOff>0</xdr:rowOff>
        </xdr:from>
        <xdr:to>
          <xdr:col>9</xdr:col>
          <xdr:colOff>0</xdr:colOff>
          <xdr:row>40</xdr:row>
          <xdr:rowOff>0</xdr:rowOff>
        </xdr:to>
        <xdr:sp macro="" textlink="">
          <xdr:nvSpPr>
            <xdr:cNvPr id="243785" name="DropDowns_Demo19" hidden="1">
              <a:extLst>
                <a:ext uri="{63B3BB69-23CF-44E3-9099-C40C66FF867C}">
                  <a14:compatExt spid="_x0000_s243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39</xdr:row>
          <xdr:rowOff>0</xdr:rowOff>
        </xdr:from>
        <xdr:to>
          <xdr:col>9</xdr:col>
          <xdr:colOff>638175</xdr:colOff>
          <xdr:row>40</xdr:row>
          <xdr:rowOff>19050</xdr:rowOff>
        </xdr:to>
        <xdr:sp macro="" textlink="">
          <xdr:nvSpPr>
            <xdr:cNvPr id="243786" name="CheckBox_Demo19" hidden="1">
              <a:extLst>
                <a:ext uri="{63B3BB69-23CF-44E3-9099-C40C66FF867C}">
                  <a14:compatExt spid="_x0000_s243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9</xdr:col>
          <xdr:colOff>0</xdr:colOff>
          <xdr:row>41</xdr:row>
          <xdr:rowOff>0</xdr:rowOff>
        </xdr:to>
        <xdr:sp macro="" textlink="">
          <xdr:nvSpPr>
            <xdr:cNvPr id="243787" name="DropDowns_Demo_Bis19" hidden="1">
              <a:extLst>
                <a:ext uri="{63B3BB69-23CF-44E3-9099-C40C66FF867C}">
                  <a14:compatExt spid="_x0000_s243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40</xdr:row>
          <xdr:rowOff>0</xdr:rowOff>
        </xdr:from>
        <xdr:to>
          <xdr:col>9</xdr:col>
          <xdr:colOff>638175</xdr:colOff>
          <xdr:row>41</xdr:row>
          <xdr:rowOff>19050</xdr:rowOff>
        </xdr:to>
        <xdr:sp macro="" textlink="">
          <xdr:nvSpPr>
            <xdr:cNvPr id="243788" name="CheckBox_Demo_Bis19" hidden="1">
              <a:extLst>
                <a:ext uri="{63B3BB69-23CF-44E3-9099-C40C66FF867C}">
                  <a14:compatExt spid="_x0000_s243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41</xdr:row>
          <xdr:rowOff>0</xdr:rowOff>
        </xdr:from>
        <xdr:to>
          <xdr:col>9</xdr:col>
          <xdr:colOff>0</xdr:colOff>
          <xdr:row>42</xdr:row>
          <xdr:rowOff>0</xdr:rowOff>
        </xdr:to>
        <xdr:sp macro="" textlink="">
          <xdr:nvSpPr>
            <xdr:cNvPr id="243789" name="DropDowns_Demo20" hidden="1">
              <a:extLst>
                <a:ext uri="{63B3BB69-23CF-44E3-9099-C40C66FF867C}">
                  <a14:compatExt spid="_x0000_s243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41</xdr:row>
          <xdr:rowOff>0</xdr:rowOff>
        </xdr:from>
        <xdr:to>
          <xdr:col>9</xdr:col>
          <xdr:colOff>638175</xdr:colOff>
          <xdr:row>42</xdr:row>
          <xdr:rowOff>19050</xdr:rowOff>
        </xdr:to>
        <xdr:sp macro="" textlink="">
          <xdr:nvSpPr>
            <xdr:cNvPr id="243790" name="CheckBox_Demo20" hidden="1">
              <a:extLst>
                <a:ext uri="{63B3BB69-23CF-44E3-9099-C40C66FF867C}">
                  <a14:compatExt spid="_x0000_s243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9</xdr:col>
          <xdr:colOff>0</xdr:colOff>
          <xdr:row>43</xdr:row>
          <xdr:rowOff>0</xdr:rowOff>
        </xdr:to>
        <xdr:sp macro="" textlink="">
          <xdr:nvSpPr>
            <xdr:cNvPr id="243791" name="DropDowns_Demo_Bis20" hidden="1">
              <a:extLst>
                <a:ext uri="{63B3BB69-23CF-44E3-9099-C40C66FF867C}">
                  <a14:compatExt spid="_x0000_s243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42</xdr:row>
          <xdr:rowOff>0</xdr:rowOff>
        </xdr:from>
        <xdr:to>
          <xdr:col>9</xdr:col>
          <xdr:colOff>638175</xdr:colOff>
          <xdr:row>43</xdr:row>
          <xdr:rowOff>19050</xdr:rowOff>
        </xdr:to>
        <xdr:sp macro="" textlink="">
          <xdr:nvSpPr>
            <xdr:cNvPr id="243792" name="CheckBox_Demo_Bis20" hidden="1">
              <a:extLst>
                <a:ext uri="{63B3BB69-23CF-44E3-9099-C40C66FF867C}">
                  <a14:compatExt spid="_x0000_s243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43</xdr:row>
          <xdr:rowOff>0</xdr:rowOff>
        </xdr:from>
        <xdr:to>
          <xdr:col>9</xdr:col>
          <xdr:colOff>0</xdr:colOff>
          <xdr:row>44</xdr:row>
          <xdr:rowOff>0</xdr:rowOff>
        </xdr:to>
        <xdr:sp macro="" textlink="">
          <xdr:nvSpPr>
            <xdr:cNvPr id="243793" name="DropDowns_Demo21" hidden="1">
              <a:extLst>
                <a:ext uri="{63B3BB69-23CF-44E3-9099-C40C66FF867C}">
                  <a14:compatExt spid="_x0000_s24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43</xdr:row>
          <xdr:rowOff>0</xdr:rowOff>
        </xdr:from>
        <xdr:to>
          <xdr:col>9</xdr:col>
          <xdr:colOff>638175</xdr:colOff>
          <xdr:row>44</xdr:row>
          <xdr:rowOff>19050</xdr:rowOff>
        </xdr:to>
        <xdr:sp macro="" textlink="">
          <xdr:nvSpPr>
            <xdr:cNvPr id="243794" name="CheckBox_Demo21" hidden="1">
              <a:extLst>
                <a:ext uri="{63B3BB69-23CF-44E3-9099-C40C66FF867C}">
                  <a14:compatExt spid="_x0000_s24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44</xdr:row>
          <xdr:rowOff>0</xdr:rowOff>
        </xdr:from>
        <xdr:to>
          <xdr:col>9</xdr:col>
          <xdr:colOff>0</xdr:colOff>
          <xdr:row>45</xdr:row>
          <xdr:rowOff>0</xdr:rowOff>
        </xdr:to>
        <xdr:sp macro="" textlink="">
          <xdr:nvSpPr>
            <xdr:cNvPr id="243795" name="DropDowns_Demo_Bis21" hidden="1">
              <a:extLst>
                <a:ext uri="{63B3BB69-23CF-44E3-9099-C40C66FF867C}">
                  <a14:compatExt spid="_x0000_s24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44</xdr:row>
          <xdr:rowOff>0</xdr:rowOff>
        </xdr:from>
        <xdr:to>
          <xdr:col>9</xdr:col>
          <xdr:colOff>638175</xdr:colOff>
          <xdr:row>45</xdr:row>
          <xdr:rowOff>19050</xdr:rowOff>
        </xdr:to>
        <xdr:sp macro="" textlink="">
          <xdr:nvSpPr>
            <xdr:cNvPr id="243796" name="CheckBox_Demo_Bis21" hidden="1">
              <a:extLst>
                <a:ext uri="{63B3BB69-23CF-44E3-9099-C40C66FF867C}">
                  <a14:compatExt spid="_x0000_s24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45</xdr:row>
          <xdr:rowOff>0</xdr:rowOff>
        </xdr:from>
        <xdr:to>
          <xdr:col>9</xdr:col>
          <xdr:colOff>0</xdr:colOff>
          <xdr:row>46</xdr:row>
          <xdr:rowOff>0</xdr:rowOff>
        </xdr:to>
        <xdr:sp macro="" textlink="">
          <xdr:nvSpPr>
            <xdr:cNvPr id="243797" name="DropDowns_Demo22" hidden="1">
              <a:extLst>
                <a:ext uri="{63B3BB69-23CF-44E3-9099-C40C66FF867C}">
                  <a14:compatExt spid="_x0000_s24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45</xdr:row>
          <xdr:rowOff>0</xdr:rowOff>
        </xdr:from>
        <xdr:to>
          <xdr:col>9</xdr:col>
          <xdr:colOff>638175</xdr:colOff>
          <xdr:row>46</xdr:row>
          <xdr:rowOff>19050</xdr:rowOff>
        </xdr:to>
        <xdr:sp macro="" textlink="">
          <xdr:nvSpPr>
            <xdr:cNvPr id="243798" name="CheckBox_Demo22" hidden="1">
              <a:extLst>
                <a:ext uri="{63B3BB69-23CF-44E3-9099-C40C66FF867C}">
                  <a14:compatExt spid="_x0000_s24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9</xdr:col>
          <xdr:colOff>0</xdr:colOff>
          <xdr:row>47</xdr:row>
          <xdr:rowOff>0</xdr:rowOff>
        </xdr:to>
        <xdr:sp macro="" textlink="">
          <xdr:nvSpPr>
            <xdr:cNvPr id="243799" name="DropDowns_Demo_Bis22" hidden="1">
              <a:extLst>
                <a:ext uri="{63B3BB69-23CF-44E3-9099-C40C66FF867C}">
                  <a14:compatExt spid="_x0000_s24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46</xdr:row>
          <xdr:rowOff>0</xdr:rowOff>
        </xdr:from>
        <xdr:to>
          <xdr:col>9</xdr:col>
          <xdr:colOff>638175</xdr:colOff>
          <xdr:row>47</xdr:row>
          <xdr:rowOff>19050</xdr:rowOff>
        </xdr:to>
        <xdr:sp macro="" textlink="">
          <xdr:nvSpPr>
            <xdr:cNvPr id="243800" name="CheckBox_Demo_Bis22" hidden="1">
              <a:extLst>
                <a:ext uri="{63B3BB69-23CF-44E3-9099-C40C66FF867C}">
                  <a14:compatExt spid="_x0000_s24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47</xdr:row>
          <xdr:rowOff>0</xdr:rowOff>
        </xdr:from>
        <xdr:to>
          <xdr:col>9</xdr:col>
          <xdr:colOff>0</xdr:colOff>
          <xdr:row>48</xdr:row>
          <xdr:rowOff>0</xdr:rowOff>
        </xdr:to>
        <xdr:sp macro="" textlink="">
          <xdr:nvSpPr>
            <xdr:cNvPr id="243801" name="DropDowns_Demo23" hidden="1">
              <a:extLst>
                <a:ext uri="{63B3BB69-23CF-44E3-9099-C40C66FF867C}">
                  <a14:compatExt spid="_x0000_s24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47</xdr:row>
          <xdr:rowOff>0</xdr:rowOff>
        </xdr:from>
        <xdr:to>
          <xdr:col>9</xdr:col>
          <xdr:colOff>638175</xdr:colOff>
          <xdr:row>48</xdr:row>
          <xdr:rowOff>19050</xdr:rowOff>
        </xdr:to>
        <xdr:sp macro="" textlink="">
          <xdr:nvSpPr>
            <xdr:cNvPr id="243802" name="CheckBox_Demo23" hidden="1">
              <a:extLst>
                <a:ext uri="{63B3BB69-23CF-44E3-9099-C40C66FF867C}">
                  <a14:compatExt spid="_x0000_s24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48</xdr:row>
          <xdr:rowOff>0</xdr:rowOff>
        </xdr:from>
        <xdr:to>
          <xdr:col>9</xdr:col>
          <xdr:colOff>0</xdr:colOff>
          <xdr:row>49</xdr:row>
          <xdr:rowOff>0</xdr:rowOff>
        </xdr:to>
        <xdr:sp macro="" textlink="">
          <xdr:nvSpPr>
            <xdr:cNvPr id="243803" name="DropDowns_Demo_Bis23" hidden="1">
              <a:extLst>
                <a:ext uri="{63B3BB69-23CF-44E3-9099-C40C66FF867C}">
                  <a14:compatExt spid="_x0000_s24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48</xdr:row>
          <xdr:rowOff>0</xdr:rowOff>
        </xdr:from>
        <xdr:to>
          <xdr:col>9</xdr:col>
          <xdr:colOff>638175</xdr:colOff>
          <xdr:row>49</xdr:row>
          <xdr:rowOff>19050</xdr:rowOff>
        </xdr:to>
        <xdr:sp macro="" textlink="">
          <xdr:nvSpPr>
            <xdr:cNvPr id="243804" name="CheckBox_Demo_Bis23" hidden="1">
              <a:extLst>
                <a:ext uri="{63B3BB69-23CF-44E3-9099-C40C66FF867C}">
                  <a14:compatExt spid="_x0000_s24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49</xdr:row>
          <xdr:rowOff>0</xdr:rowOff>
        </xdr:from>
        <xdr:to>
          <xdr:col>9</xdr:col>
          <xdr:colOff>0</xdr:colOff>
          <xdr:row>50</xdr:row>
          <xdr:rowOff>0</xdr:rowOff>
        </xdr:to>
        <xdr:sp macro="" textlink="">
          <xdr:nvSpPr>
            <xdr:cNvPr id="243805" name="DropDowns_Demo24" hidden="1">
              <a:extLst>
                <a:ext uri="{63B3BB69-23CF-44E3-9099-C40C66FF867C}">
                  <a14:compatExt spid="_x0000_s24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49</xdr:row>
          <xdr:rowOff>0</xdr:rowOff>
        </xdr:from>
        <xdr:to>
          <xdr:col>9</xdr:col>
          <xdr:colOff>638175</xdr:colOff>
          <xdr:row>50</xdr:row>
          <xdr:rowOff>19050</xdr:rowOff>
        </xdr:to>
        <xdr:sp macro="" textlink="">
          <xdr:nvSpPr>
            <xdr:cNvPr id="243806" name="CheckBox_Demo24" hidden="1">
              <a:extLst>
                <a:ext uri="{63B3BB69-23CF-44E3-9099-C40C66FF867C}">
                  <a14:compatExt spid="_x0000_s24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50</xdr:row>
          <xdr:rowOff>0</xdr:rowOff>
        </xdr:from>
        <xdr:to>
          <xdr:col>9</xdr:col>
          <xdr:colOff>0</xdr:colOff>
          <xdr:row>51</xdr:row>
          <xdr:rowOff>0</xdr:rowOff>
        </xdr:to>
        <xdr:sp macro="" textlink="">
          <xdr:nvSpPr>
            <xdr:cNvPr id="243807" name="DropDowns_Demo_Bis24" hidden="1">
              <a:extLst>
                <a:ext uri="{63B3BB69-23CF-44E3-9099-C40C66FF867C}">
                  <a14:compatExt spid="_x0000_s24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50</xdr:row>
          <xdr:rowOff>0</xdr:rowOff>
        </xdr:from>
        <xdr:to>
          <xdr:col>9</xdr:col>
          <xdr:colOff>638175</xdr:colOff>
          <xdr:row>51</xdr:row>
          <xdr:rowOff>19050</xdr:rowOff>
        </xdr:to>
        <xdr:sp macro="" textlink="">
          <xdr:nvSpPr>
            <xdr:cNvPr id="243808" name="CheckBox_Demo_Bis24" hidden="1">
              <a:extLst>
                <a:ext uri="{63B3BB69-23CF-44E3-9099-C40C66FF867C}">
                  <a14:compatExt spid="_x0000_s24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51</xdr:row>
          <xdr:rowOff>0</xdr:rowOff>
        </xdr:from>
        <xdr:to>
          <xdr:col>9</xdr:col>
          <xdr:colOff>0</xdr:colOff>
          <xdr:row>52</xdr:row>
          <xdr:rowOff>0</xdr:rowOff>
        </xdr:to>
        <xdr:sp macro="" textlink="">
          <xdr:nvSpPr>
            <xdr:cNvPr id="243809" name="DropDowns_Demo25" hidden="1">
              <a:extLst>
                <a:ext uri="{63B3BB69-23CF-44E3-9099-C40C66FF867C}">
                  <a14:compatExt spid="_x0000_s24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51</xdr:row>
          <xdr:rowOff>0</xdr:rowOff>
        </xdr:from>
        <xdr:to>
          <xdr:col>9</xdr:col>
          <xdr:colOff>638175</xdr:colOff>
          <xdr:row>52</xdr:row>
          <xdr:rowOff>19050</xdr:rowOff>
        </xdr:to>
        <xdr:sp macro="" textlink="">
          <xdr:nvSpPr>
            <xdr:cNvPr id="243810" name="CheckBox_Demo25" hidden="1">
              <a:extLst>
                <a:ext uri="{63B3BB69-23CF-44E3-9099-C40C66FF867C}">
                  <a14:compatExt spid="_x0000_s243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52</xdr:row>
          <xdr:rowOff>0</xdr:rowOff>
        </xdr:from>
        <xdr:to>
          <xdr:col>9</xdr:col>
          <xdr:colOff>0</xdr:colOff>
          <xdr:row>53</xdr:row>
          <xdr:rowOff>0</xdr:rowOff>
        </xdr:to>
        <xdr:sp macro="" textlink="">
          <xdr:nvSpPr>
            <xdr:cNvPr id="243811" name="DropDowns_Demo_Bis25" hidden="1">
              <a:extLst>
                <a:ext uri="{63B3BB69-23CF-44E3-9099-C40C66FF867C}">
                  <a14:compatExt spid="_x0000_s24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52</xdr:row>
          <xdr:rowOff>0</xdr:rowOff>
        </xdr:from>
        <xdr:to>
          <xdr:col>9</xdr:col>
          <xdr:colOff>638175</xdr:colOff>
          <xdr:row>53</xdr:row>
          <xdr:rowOff>19050</xdr:rowOff>
        </xdr:to>
        <xdr:sp macro="" textlink="">
          <xdr:nvSpPr>
            <xdr:cNvPr id="243812" name="CheckBox_Demo_Bis25" hidden="1">
              <a:extLst>
                <a:ext uri="{63B3BB69-23CF-44E3-9099-C40C66FF867C}">
                  <a14:compatExt spid="_x0000_s24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53</xdr:row>
          <xdr:rowOff>0</xdr:rowOff>
        </xdr:from>
        <xdr:to>
          <xdr:col>9</xdr:col>
          <xdr:colOff>0</xdr:colOff>
          <xdr:row>54</xdr:row>
          <xdr:rowOff>0</xdr:rowOff>
        </xdr:to>
        <xdr:sp macro="" textlink="">
          <xdr:nvSpPr>
            <xdr:cNvPr id="243813" name="DropDowns_Demo26" hidden="1">
              <a:extLst>
                <a:ext uri="{63B3BB69-23CF-44E3-9099-C40C66FF867C}">
                  <a14:compatExt spid="_x0000_s24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53</xdr:row>
          <xdr:rowOff>0</xdr:rowOff>
        </xdr:from>
        <xdr:to>
          <xdr:col>9</xdr:col>
          <xdr:colOff>638175</xdr:colOff>
          <xdr:row>54</xdr:row>
          <xdr:rowOff>19050</xdr:rowOff>
        </xdr:to>
        <xdr:sp macro="" textlink="">
          <xdr:nvSpPr>
            <xdr:cNvPr id="243814" name="CheckBox_Demo26" hidden="1">
              <a:extLst>
                <a:ext uri="{63B3BB69-23CF-44E3-9099-C40C66FF867C}">
                  <a14:compatExt spid="_x0000_s24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54</xdr:row>
          <xdr:rowOff>0</xdr:rowOff>
        </xdr:from>
        <xdr:to>
          <xdr:col>9</xdr:col>
          <xdr:colOff>0</xdr:colOff>
          <xdr:row>55</xdr:row>
          <xdr:rowOff>0</xdr:rowOff>
        </xdr:to>
        <xdr:sp macro="" textlink="">
          <xdr:nvSpPr>
            <xdr:cNvPr id="243815" name="DropDowns_Demo_Bis26" hidden="1">
              <a:extLst>
                <a:ext uri="{63B3BB69-23CF-44E3-9099-C40C66FF867C}">
                  <a14:compatExt spid="_x0000_s243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54</xdr:row>
          <xdr:rowOff>0</xdr:rowOff>
        </xdr:from>
        <xdr:to>
          <xdr:col>9</xdr:col>
          <xdr:colOff>638175</xdr:colOff>
          <xdr:row>55</xdr:row>
          <xdr:rowOff>19050</xdr:rowOff>
        </xdr:to>
        <xdr:sp macro="" textlink="">
          <xdr:nvSpPr>
            <xdr:cNvPr id="243816" name="CheckBox_Demo_Bis26" hidden="1">
              <a:extLst>
                <a:ext uri="{63B3BB69-23CF-44E3-9099-C40C66FF867C}">
                  <a14:compatExt spid="_x0000_s24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55</xdr:row>
          <xdr:rowOff>0</xdr:rowOff>
        </xdr:from>
        <xdr:to>
          <xdr:col>9</xdr:col>
          <xdr:colOff>0</xdr:colOff>
          <xdr:row>56</xdr:row>
          <xdr:rowOff>0</xdr:rowOff>
        </xdr:to>
        <xdr:sp macro="" textlink="">
          <xdr:nvSpPr>
            <xdr:cNvPr id="243817" name="DropDowns_Demo27" hidden="1">
              <a:extLst>
                <a:ext uri="{63B3BB69-23CF-44E3-9099-C40C66FF867C}">
                  <a14:compatExt spid="_x0000_s24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55</xdr:row>
          <xdr:rowOff>0</xdr:rowOff>
        </xdr:from>
        <xdr:to>
          <xdr:col>9</xdr:col>
          <xdr:colOff>638175</xdr:colOff>
          <xdr:row>56</xdr:row>
          <xdr:rowOff>19050</xdr:rowOff>
        </xdr:to>
        <xdr:sp macro="" textlink="">
          <xdr:nvSpPr>
            <xdr:cNvPr id="243818" name="CheckBox_Demo27" hidden="1">
              <a:extLst>
                <a:ext uri="{63B3BB69-23CF-44E3-9099-C40C66FF867C}">
                  <a14:compatExt spid="_x0000_s24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56</xdr:row>
          <xdr:rowOff>0</xdr:rowOff>
        </xdr:from>
        <xdr:to>
          <xdr:col>9</xdr:col>
          <xdr:colOff>0</xdr:colOff>
          <xdr:row>57</xdr:row>
          <xdr:rowOff>0</xdr:rowOff>
        </xdr:to>
        <xdr:sp macro="" textlink="">
          <xdr:nvSpPr>
            <xdr:cNvPr id="243819" name="DropDowns_Demo_Bis27" hidden="1">
              <a:extLst>
                <a:ext uri="{63B3BB69-23CF-44E3-9099-C40C66FF867C}">
                  <a14:compatExt spid="_x0000_s243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56</xdr:row>
          <xdr:rowOff>0</xdr:rowOff>
        </xdr:from>
        <xdr:to>
          <xdr:col>9</xdr:col>
          <xdr:colOff>638175</xdr:colOff>
          <xdr:row>57</xdr:row>
          <xdr:rowOff>19050</xdr:rowOff>
        </xdr:to>
        <xdr:sp macro="" textlink="">
          <xdr:nvSpPr>
            <xdr:cNvPr id="243820" name="CheckBox_Demo_Bis27" hidden="1">
              <a:extLst>
                <a:ext uri="{63B3BB69-23CF-44E3-9099-C40C66FF867C}">
                  <a14:compatExt spid="_x0000_s24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57</xdr:row>
          <xdr:rowOff>0</xdr:rowOff>
        </xdr:from>
        <xdr:to>
          <xdr:col>9</xdr:col>
          <xdr:colOff>0</xdr:colOff>
          <xdr:row>58</xdr:row>
          <xdr:rowOff>0</xdr:rowOff>
        </xdr:to>
        <xdr:sp macro="" textlink="">
          <xdr:nvSpPr>
            <xdr:cNvPr id="243821" name="DropDowns_Demo28" hidden="1">
              <a:extLst>
                <a:ext uri="{63B3BB69-23CF-44E3-9099-C40C66FF867C}">
                  <a14:compatExt spid="_x0000_s24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57</xdr:row>
          <xdr:rowOff>0</xdr:rowOff>
        </xdr:from>
        <xdr:to>
          <xdr:col>9</xdr:col>
          <xdr:colOff>638175</xdr:colOff>
          <xdr:row>58</xdr:row>
          <xdr:rowOff>19050</xdr:rowOff>
        </xdr:to>
        <xdr:sp macro="" textlink="">
          <xdr:nvSpPr>
            <xdr:cNvPr id="243822" name="CheckBox_Demo28" hidden="1">
              <a:extLst>
                <a:ext uri="{63B3BB69-23CF-44E3-9099-C40C66FF867C}">
                  <a14:compatExt spid="_x0000_s243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58</xdr:row>
          <xdr:rowOff>0</xdr:rowOff>
        </xdr:from>
        <xdr:to>
          <xdr:col>9</xdr:col>
          <xdr:colOff>0</xdr:colOff>
          <xdr:row>59</xdr:row>
          <xdr:rowOff>0</xdr:rowOff>
        </xdr:to>
        <xdr:sp macro="" textlink="">
          <xdr:nvSpPr>
            <xdr:cNvPr id="243823" name="DropDowns_Demo_Bis28" hidden="1">
              <a:extLst>
                <a:ext uri="{63B3BB69-23CF-44E3-9099-C40C66FF867C}">
                  <a14:compatExt spid="_x0000_s24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58</xdr:row>
          <xdr:rowOff>0</xdr:rowOff>
        </xdr:from>
        <xdr:to>
          <xdr:col>9</xdr:col>
          <xdr:colOff>638175</xdr:colOff>
          <xdr:row>59</xdr:row>
          <xdr:rowOff>19050</xdr:rowOff>
        </xdr:to>
        <xdr:sp macro="" textlink="">
          <xdr:nvSpPr>
            <xdr:cNvPr id="243824" name="CheckBox_Demo_Bis28" hidden="1">
              <a:extLst>
                <a:ext uri="{63B3BB69-23CF-44E3-9099-C40C66FF867C}">
                  <a14:compatExt spid="_x0000_s243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59</xdr:row>
          <xdr:rowOff>0</xdr:rowOff>
        </xdr:from>
        <xdr:to>
          <xdr:col>9</xdr:col>
          <xdr:colOff>0</xdr:colOff>
          <xdr:row>60</xdr:row>
          <xdr:rowOff>0</xdr:rowOff>
        </xdr:to>
        <xdr:sp macro="" textlink="">
          <xdr:nvSpPr>
            <xdr:cNvPr id="243825" name="DropDowns_Demo29" hidden="1">
              <a:extLst>
                <a:ext uri="{63B3BB69-23CF-44E3-9099-C40C66FF867C}">
                  <a14:compatExt spid="_x0000_s24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59</xdr:row>
          <xdr:rowOff>0</xdr:rowOff>
        </xdr:from>
        <xdr:to>
          <xdr:col>9</xdr:col>
          <xdr:colOff>638175</xdr:colOff>
          <xdr:row>60</xdr:row>
          <xdr:rowOff>19050</xdr:rowOff>
        </xdr:to>
        <xdr:sp macro="" textlink="">
          <xdr:nvSpPr>
            <xdr:cNvPr id="243826" name="CheckBox_Demo29" hidden="1">
              <a:extLst>
                <a:ext uri="{63B3BB69-23CF-44E3-9099-C40C66FF867C}">
                  <a14:compatExt spid="_x0000_s24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60</xdr:row>
          <xdr:rowOff>0</xdr:rowOff>
        </xdr:from>
        <xdr:to>
          <xdr:col>9</xdr:col>
          <xdr:colOff>0</xdr:colOff>
          <xdr:row>61</xdr:row>
          <xdr:rowOff>0</xdr:rowOff>
        </xdr:to>
        <xdr:sp macro="" textlink="">
          <xdr:nvSpPr>
            <xdr:cNvPr id="243827" name="DropDowns_Demo_Bis29" hidden="1">
              <a:extLst>
                <a:ext uri="{63B3BB69-23CF-44E3-9099-C40C66FF867C}">
                  <a14:compatExt spid="_x0000_s243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60</xdr:row>
          <xdr:rowOff>0</xdr:rowOff>
        </xdr:from>
        <xdr:to>
          <xdr:col>9</xdr:col>
          <xdr:colOff>638175</xdr:colOff>
          <xdr:row>61</xdr:row>
          <xdr:rowOff>19050</xdr:rowOff>
        </xdr:to>
        <xdr:sp macro="" textlink="">
          <xdr:nvSpPr>
            <xdr:cNvPr id="243828" name="CheckBox_Demo_Bis29" hidden="1">
              <a:extLst>
                <a:ext uri="{63B3BB69-23CF-44E3-9099-C40C66FF867C}">
                  <a14:compatExt spid="_x0000_s24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61</xdr:row>
          <xdr:rowOff>0</xdr:rowOff>
        </xdr:from>
        <xdr:to>
          <xdr:col>9</xdr:col>
          <xdr:colOff>0</xdr:colOff>
          <xdr:row>62</xdr:row>
          <xdr:rowOff>0</xdr:rowOff>
        </xdr:to>
        <xdr:sp macro="" textlink="">
          <xdr:nvSpPr>
            <xdr:cNvPr id="243829" name="DropDowns_Demo30" hidden="1">
              <a:extLst>
                <a:ext uri="{63B3BB69-23CF-44E3-9099-C40C66FF867C}">
                  <a14:compatExt spid="_x0000_s243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61</xdr:row>
          <xdr:rowOff>0</xdr:rowOff>
        </xdr:from>
        <xdr:to>
          <xdr:col>9</xdr:col>
          <xdr:colOff>638175</xdr:colOff>
          <xdr:row>62</xdr:row>
          <xdr:rowOff>19050</xdr:rowOff>
        </xdr:to>
        <xdr:sp macro="" textlink="">
          <xdr:nvSpPr>
            <xdr:cNvPr id="243830" name="CheckBox_Demo30" hidden="1">
              <a:extLst>
                <a:ext uri="{63B3BB69-23CF-44E3-9099-C40C66FF867C}">
                  <a14:compatExt spid="_x0000_s243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62</xdr:row>
          <xdr:rowOff>0</xdr:rowOff>
        </xdr:from>
        <xdr:to>
          <xdr:col>9</xdr:col>
          <xdr:colOff>0</xdr:colOff>
          <xdr:row>63</xdr:row>
          <xdr:rowOff>0</xdr:rowOff>
        </xdr:to>
        <xdr:sp macro="" textlink="">
          <xdr:nvSpPr>
            <xdr:cNvPr id="243831" name="DropDowns_Demo_Bis30" hidden="1">
              <a:extLst>
                <a:ext uri="{63B3BB69-23CF-44E3-9099-C40C66FF867C}">
                  <a14:compatExt spid="_x0000_s243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62</xdr:row>
          <xdr:rowOff>0</xdr:rowOff>
        </xdr:from>
        <xdr:to>
          <xdr:col>9</xdr:col>
          <xdr:colOff>638175</xdr:colOff>
          <xdr:row>63</xdr:row>
          <xdr:rowOff>19050</xdr:rowOff>
        </xdr:to>
        <xdr:sp macro="" textlink="">
          <xdr:nvSpPr>
            <xdr:cNvPr id="243832" name="CheckBox_Demo_Bis30" hidden="1">
              <a:extLst>
                <a:ext uri="{63B3BB69-23CF-44E3-9099-C40C66FF867C}">
                  <a14:compatExt spid="_x0000_s243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63</xdr:row>
          <xdr:rowOff>0</xdr:rowOff>
        </xdr:from>
        <xdr:to>
          <xdr:col>9</xdr:col>
          <xdr:colOff>0</xdr:colOff>
          <xdr:row>64</xdr:row>
          <xdr:rowOff>0</xdr:rowOff>
        </xdr:to>
        <xdr:sp macro="" textlink="">
          <xdr:nvSpPr>
            <xdr:cNvPr id="243833" name="DropDowns_Demo31" hidden="1">
              <a:extLst>
                <a:ext uri="{63B3BB69-23CF-44E3-9099-C40C66FF867C}">
                  <a14:compatExt spid="_x0000_s243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63</xdr:row>
          <xdr:rowOff>0</xdr:rowOff>
        </xdr:from>
        <xdr:to>
          <xdr:col>9</xdr:col>
          <xdr:colOff>638175</xdr:colOff>
          <xdr:row>64</xdr:row>
          <xdr:rowOff>19050</xdr:rowOff>
        </xdr:to>
        <xdr:sp macro="" textlink="">
          <xdr:nvSpPr>
            <xdr:cNvPr id="243834" name="CheckBox_Demo31" hidden="1">
              <a:extLst>
                <a:ext uri="{63B3BB69-23CF-44E3-9099-C40C66FF867C}">
                  <a14:compatExt spid="_x0000_s243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64</xdr:row>
          <xdr:rowOff>0</xdr:rowOff>
        </xdr:from>
        <xdr:to>
          <xdr:col>9</xdr:col>
          <xdr:colOff>0</xdr:colOff>
          <xdr:row>65</xdr:row>
          <xdr:rowOff>0</xdr:rowOff>
        </xdr:to>
        <xdr:sp macro="" textlink="">
          <xdr:nvSpPr>
            <xdr:cNvPr id="243835" name="DropDowns_Demo_Bis31" hidden="1">
              <a:extLst>
                <a:ext uri="{63B3BB69-23CF-44E3-9099-C40C66FF867C}">
                  <a14:compatExt spid="_x0000_s243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64</xdr:row>
          <xdr:rowOff>0</xdr:rowOff>
        </xdr:from>
        <xdr:to>
          <xdr:col>9</xdr:col>
          <xdr:colOff>638175</xdr:colOff>
          <xdr:row>65</xdr:row>
          <xdr:rowOff>19050</xdr:rowOff>
        </xdr:to>
        <xdr:sp macro="" textlink="">
          <xdr:nvSpPr>
            <xdr:cNvPr id="243836" name="CheckBox_Demo_Bis31" hidden="1">
              <a:extLst>
                <a:ext uri="{63B3BB69-23CF-44E3-9099-C40C66FF867C}">
                  <a14:compatExt spid="_x0000_s243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65</xdr:row>
          <xdr:rowOff>0</xdr:rowOff>
        </xdr:from>
        <xdr:to>
          <xdr:col>9</xdr:col>
          <xdr:colOff>0</xdr:colOff>
          <xdr:row>66</xdr:row>
          <xdr:rowOff>0</xdr:rowOff>
        </xdr:to>
        <xdr:sp macro="" textlink="">
          <xdr:nvSpPr>
            <xdr:cNvPr id="243837" name="DropDowns_Demo32" hidden="1">
              <a:extLst>
                <a:ext uri="{63B3BB69-23CF-44E3-9099-C40C66FF867C}">
                  <a14:compatExt spid="_x0000_s243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65</xdr:row>
          <xdr:rowOff>0</xdr:rowOff>
        </xdr:from>
        <xdr:to>
          <xdr:col>9</xdr:col>
          <xdr:colOff>638175</xdr:colOff>
          <xdr:row>66</xdr:row>
          <xdr:rowOff>19050</xdr:rowOff>
        </xdr:to>
        <xdr:sp macro="" textlink="">
          <xdr:nvSpPr>
            <xdr:cNvPr id="243838" name="CheckBox_Demo32" hidden="1">
              <a:extLst>
                <a:ext uri="{63B3BB69-23CF-44E3-9099-C40C66FF867C}">
                  <a14:compatExt spid="_x0000_s243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66</xdr:row>
          <xdr:rowOff>0</xdr:rowOff>
        </xdr:from>
        <xdr:to>
          <xdr:col>9</xdr:col>
          <xdr:colOff>0</xdr:colOff>
          <xdr:row>67</xdr:row>
          <xdr:rowOff>0</xdr:rowOff>
        </xdr:to>
        <xdr:sp macro="" textlink="">
          <xdr:nvSpPr>
            <xdr:cNvPr id="243839" name="DropDowns_Demo_Bis32" hidden="1">
              <a:extLst>
                <a:ext uri="{63B3BB69-23CF-44E3-9099-C40C66FF867C}">
                  <a14:compatExt spid="_x0000_s243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66</xdr:row>
          <xdr:rowOff>0</xdr:rowOff>
        </xdr:from>
        <xdr:to>
          <xdr:col>9</xdr:col>
          <xdr:colOff>638175</xdr:colOff>
          <xdr:row>67</xdr:row>
          <xdr:rowOff>19050</xdr:rowOff>
        </xdr:to>
        <xdr:sp macro="" textlink="">
          <xdr:nvSpPr>
            <xdr:cNvPr id="243840" name="CheckBox_Demo_Bis32" hidden="1">
              <a:extLst>
                <a:ext uri="{63B3BB69-23CF-44E3-9099-C40C66FF867C}">
                  <a14:compatExt spid="_x0000_s243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67</xdr:row>
          <xdr:rowOff>0</xdr:rowOff>
        </xdr:from>
        <xdr:to>
          <xdr:col>9</xdr:col>
          <xdr:colOff>0</xdr:colOff>
          <xdr:row>68</xdr:row>
          <xdr:rowOff>0</xdr:rowOff>
        </xdr:to>
        <xdr:sp macro="" textlink="">
          <xdr:nvSpPr>
            <xdr:cNvPr id="243841" name="DropDowns_Demo33" hidden="1">
              <a:extLst>
                <a:ext uri="{63B3BB69-23CF-44E3-9099-C40C66FF867C}">
                  <a14:compatExt spid="_x0000_s243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67</xdr:row>
          <xdr:rowOff>0</xdr:rowOff>
        </xdr:from>
        <xdr:to>
          <xdr:col>9</xdr:col>
          <xdr:colOff>638175</xdr:colOff>
          <xdr:row>68</xdr:row>
          <xdr:rowOff>19050</xdr:rowOff>
        </xdr:to>
        <xdr:sp macro="" textlink="">
          <xdr:nvSpPr>
            <xdr:cNvPr id="243842" name="CheckBox_Demo33" hidden="1">
              <a:extLst>
                <a:ext uri="{63B3BB69-23CF-44E3-9099-C40C66FF867C}">
                  <a14:compatExt spid="_x0000_s243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68</xdr:row>
          <xdr:rowOff>0</xdr:rowOff>
        </xdr:from>
        <xdr:to>
          <xdr:col>9</xdr:col>
          <xdr:colOff>0</xdr:colOff>
          <xdr:row>69</xdr:row>
          <xdr:rowOff>0</xdr:rowOff>
        </xdr:to>
        <xdr:sp macro="" textlink="">
          <xdr:nvSpPr>
            <xdr:cNvPr id="243843" name="DropDowns_Demo_Bis33" hidden="1">
              <a:extLst>
                <a:ext uri="{63B3BB69-23CF-44E3-9099-C40C66FF867C}">
                  <a14:compatExt spid="_x0000_s243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68</xdr:row>
          <xdr:rowOff>0</xdr:rowOff>
        </xdr:from>
        <xdr:to>
          <xdr:col>9</xdr:col>
          <xdr:colOff>638175</xdr:colOff>
          <xdr:row>69</xdr:row>
          <xdr:rowOff>19050</xdr:rowOff>
        </xdr:to>
        <xdr:sp macro="" textlink="">
          <xdr:nvSpPr>
            <xdr:cNvPr id="243844" name="CheckBox_Demo_Bis33" hidden="1">
              <a:extLst>
                <a:ext uri="{63B3BB69-23CF-44E3-9099-C40C66FF867C}">
                  <a14:compatExt spid="_x0000_s243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69</xdr:row>
          <xdr:rowOff>0</xdr:rowOff>
        </xdr:from>
        <xdr:to>
          <xdr:col>9</xdr:col>
          <xdr:colOff>0</xdr:colOff>
          <xdr:row>70</xdr:row>
          <xdr:rowOff>0</xdr:rowOff>
        </xdr:to>
        <xdr:sp macro="" textlink="">
          <xdr:nvSpPr>
            <xdr:cNvPr id="243845" name="DropDowns_Demo34" hidden="1">
              <a:extLst>
                <a:ext uri="{63B3BB69-23CF-44E3-9099-C40C66FF867C}">
                  <a14:compatExt spid="_x0000_s243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69</xdr:row>
          <xdr:rowOff>0</xdr:rowOff>
        </xdr:from>
        <xdr:to>
          <xdr:col>9</xdr:col>
          <xdr:colOff>638175</xdr:colOff>
          <xdr:row>70</xdr:row>
          <xdr:rowOff>19050</xdr:rowOff>
        </xdr:to>
        <xdr:sp macro="" textlink="">
          <xdr:nvSpPr>
            <xdr:cNvPr id="243846" name="CheckBox_Demo34" hidden="1">
              <a:extLst>
                <a:ext uri="{63B3BB69-23CF-44E3-9099-C40C66FF867C}">
                  <a14:compatExt spid="_x0000_s243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70</xdr:row>
          <xdr:rowOff>0</xdr:rowOff>
        </xdr:from>
        <xdr:to>
          <xdr:col>9</xdr:col>
          <xdr:colOff>0</xdr:colOff>
          <xdr:row>71</xdr:row>
          <xdr:rowOff>0</xdr:rowOff>
        </xdr:to>
        <xdr:sp macro="" textlink="">
          <xdr:nvSpPr>
            <xdr:cNvPr id="243847" name="DropDowns_Demo_Bis34" hidden="1">
              <a:extLst>
                <a:ext uri="{63B3BB69-23CF-44E3-9099-C40C66FF867C}">
                  <a14:compatExt spid="_x0000_s243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70</xdr:row>
          <xdr:rowOff>0</xdr:rowOff>
        </xdr:from>
        <xdr:to>
          <xdr:col>9</xdr:col>
          <xdr:colOff>638175</xdr:colOff>
          <xdr:row>71</xdr:row>
          <xdr:rowOff>19050</xdr:rowOff>
        </xdr:to>
        <xdr:sp macro="" textlink="">
          <xdr:nvSpPr>
            <xdr:cNvPr id="243848" name="CheckBox_Demo_Bis34" hidden="1">
              <a:extLst>
                <a:ext uri="{63B3BB69-23CF-44E3-9099-C40C66FF867C}">
                  <a14:compatExt spid="_x0000_s243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73</xdr:row>
          <xdr:rowOff>0</xdr:rowOff>
        </xdr:from>
        <xdr:to>
          <xdr:col>9</xdr:col>
          <xdr:colOff>0</xdr:colOff>
          <xdr:row>75</xdr:row>
          <xdr:rowOff>0</xdr:rowOff>
        </xdr:to>
        <xdr:sp macro="" textlink="">
          <xdr:nvSpPr>
            <xdr:cNvPr id="243849" name="Button 137" hidden="1">
              <a:extLst>
                <a:ext uri="{63B3BB69-23CF-44E3-9099-C40C66FF867C}">
                  <a14:compatExt spid="_x0000_s243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Grafico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73</xdr:row>
          <xdr:rowOff>0</xdr:rowOff>
        </xdr:from>
        <xdr:to>
          <xdr:col>12</xdr:col>
          <xdr:colOff>0</xdr:colOff>
          <xdr:row>75</xdr:row>
          <xdr:rowOff>0</xdr:rowOff>
        </xdr:to>
        <xdr:sp macro="" textlink="">
          <xdr:nvSpPr>
            <xdr:cNvPr id="243850" name="Button 138" hidden="1">
              <a:extLst>
                <a:ext uri="{63B3BB69-23CF-44E3-9099-C40C66FF867C}">
                  <a14:compatExt spid="_x0000_s243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76</xdr:row>
          <xdr:rowOff>0</xdr:rowOff>
        </xdr:from>
        <xdr:to>
          <xdr:col>12</xdr:col>
          <xdr:colOff>0</xdr:colOff>
          <xdr:row>78</xdr:row>
          <xdr:rowOff>0</xdr:rowOff>
        </xdr:to>
        <xdr:sp macro="" textlink="">
          <xdr:nvSpPr>
            <xdr:cNvPr id="243851" name="Button 139" hidden="1">
              <a:extLst>
                <a:ext uri="{63B3BB69-23CF-44E3-9099-C40C66FF867C}">
                  <a14:compatExt spid="_x0000_s243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71</xdr:row>
          <xdr:rowOff>0</xdr:rowOff>
        </xdr:from>
        <xdr:to>
          <xdr:col>9</xdr:col>
          <xdr:colOff>0</xdr:colOff>
          <xdr:row>72</xdr:row>
          <xdr:rowOff>0</xdr:rowOff>
        </xdr:to>
        <xdr:sp macro="" textlink="">
          <xdr:nvSpPr>
            <xdr:cNvPr id="243860" name="DropDowns_Demo_Uni1" hidden="1">
              <a:extLst>
                <a:ext uri="{63B3BB69-23CF-44E3-9099-C40C66FF867C}">
                  <a14:compatExt spid="_x0000_s243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71</xdr:row>
          <xdr:rowOff>0</xdr:rowOff>
        </xdr:from>
        <xdr:to>
          <xdr:col>9</xdr:col>
          <xdr:colOff>638175</xdr:colOff>
          <xdr:row>72</xdr:row>
          <xdr:rowOff>19050</xdr:rowOff>
        </xdr:to>
        <xdr:sp macro="" textlink="">
          <xdr:nvSpPr>
            <xdr:cNvPr id="243861" name="CheckBox_Demo_Uni1" hidden="1">
              <a:extLst>
                <a:ext uri="{63B3BB69-23CF-44E3-9099-C40C66FF867C}">
                  <a14:compatExt spid="_x0000_s243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272298</xdr:colOff>
      <xdr:row>39</xdr:row>
      <xdr:rowOff>25400</xdr:rowOff>
    </xdr:from>
    <xdr:ext cx="1270000" cy="264560"/>
    <xdr:sp macro="" textlink="">
      <xdr:nvSpPr>
        <xdr:cNvPr id="4" name="CuadroTexto 3"/>
        <xdr:cNvSpPr txBox="1"/>
      </xdr:nvSpPr>
      <xdr:spPr>
        <a:xfrm>
          <a:off x="1034298" y="745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(546)</a:t>
          </a:r>
        </a:p>
      </xdr:txBody>
    </xdr:sp>
    <xdr:clientData/>
  </xdr:oneCellAnchor>
  <xdr:oneCellAnchor>
    <xdr:from>
      <xdr:col>3</xdr:col>
      <xdr:colOff>249438</xdr:colOff>
      <xdr:row>39</xdr:row>
      <xdr:rowOff>25400</xdr:rowOff>
    </xdr:from>
    <xdr:ext cx="1270000" cy="264560"/>
    <xdr:sp macro="" textlink="">
      <xdr:nvSpPr>
        <xdr:cNvPr id="5" name="CuadroTexto 4"/>
        <xdr:cNvSpPr txBox="1"/>
      </xdr:nvSpPr>
      <xdr:spPr>
        <a:xfrm>
          <a:off x="2535438" y="745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(600)</a:t>
          </a:r>
        </a:p>
      </xdr:txBody>
    </xdr:sp>
    <xdr:clientData/>
  </xdr:oneCellAnchor>
  <xdr:oneCellAnchor>
    <xdr:from>
      <xdr:col>5</xdr:col>
      <xdr:colOff>226578</xdr:colOff>
      <xdr:row>39</xdr:row>
      <xdr:rowOff>25400</xdr:rowOff>
    </xdr:from>
    <xdr:ext cx="1270000" cy="264560"/>
    <xdr:sp macro="" textlink="">
      <xdr:nvSpPr>
        <xdr:cNvPr id="6" name="CuadroTexto 5"/>
        <xdr:cNvSpPr txBox="1"/>
      </xdr:nvSpPr>
      <xdr:spPr>
        <a:xfrm>
          <a:off x="4036578" y="745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7</xdr:col>
      <xdr:colOff>203718</xdr:colOff>
      <xdr:row>39</xdr:row>
      <xdr:rowOff>76073</xdr:rowOff>
    </xdr:from>
    <xdr:ext cx="1270000" cy="264560"/>
    <xdr:sp macro="" textlink="">
      <xdr:nvSpPr>
        <xdr:cNvPr id="7" name="CuadroTexto 6"/>
        <xdr:cNvSpPr txBox="1"/>
      </xdr:nvSpPr>
      <xdr:spPr>
        <a:xfrm>
          <a:off x="5537718" y="7505573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180858</xdr:colOff>
      <xdr:row>39</xdr:row>
      <xdr:rowOff>155194</xdr:rowOff>
    </xdr:from>
    <xdr:ext cx="1270000" cy="264560"/>
    <xdr:sp macro="" textlink="">
      <xdr:nvSpPr>
        <xdr:cNvPr id="8" name="CuadroTexto 7"/>
        <xdr:cNvSpPr txBox="1"/>
      </xdr:nvSpPr>
      <xdr:spPr>
        <a:xfrm>
          <a:off x="7038858" y="7584694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142875</xdr:rowOff>
    </xdr:from>
    <xdr:to>
      <xdr:col>9</xdr:col>
      <xdr:colOff>254000</xdr:colOff>
      <xdr:row>89</xdr:row>
      <xdr:rowOff>142875</xdr:rowOff>
    </xdr:to>
    <xdr:graphicFrame macro="">
      <xdr:nvGraphicFramePr>
        <xdr:cNvPr id="9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142875</xdr:rowOff>
    </xdr:from>
    <xdr:to>
      <xdr:col>11</xdr:col>
      <xdr:colOff>165100</xdr:colOff>
      <xdr:row>102</xdr:row>
      <xdr:rowOff>104775</xdr:rowOff>
    </xdr:to>
    <xdr:graphicFrame macro="">
      <xdr:nvGraphicFramePr>
        <xdr:cNvPr id="10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104775</xdr:rowOff>
    </xdr:from>
    <xdr:ext cx="1270000" cy="264560"/>
    <xdr:sp macro="" textlink="">
      <xdr:nvSpPr>
        <xdr:cNvPr id="11" name="CuadroTexto 10"/>
        <xdr:cNvSpPr txBox="1"/>
      </xdr:nvSpPr>
      <xdr:spPr>
        <a:xfrm>
          <a:off x="1034298" y="19773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(6) (5)</a:t>
          </a:r>
        </a:p>
      </xdr:txBody>
    </xdr:sp>
    <xdr:clientData/>
  </xdr:oneCellAnchor>
  <xdr:oneCellAnchor>
    <xdr:from>
      <xdr:col>3</xdr:col>
      <xdr:colOff>249438</xdr:colOff>
      <xdr:row>101</xdr:row>
      <xdr:rowOff>104775</xdr:rowOff>
    </xdr:from>
    <xdr:ext cx="1270000" cy="264560"/>
    <xdr:sp macro="" textlink="">
      <xdr:nvSpPr>
        <xdr:cNvPr id="12" name="CuadroTexto 11"/>
        <xdr:cNvSpPr txBox="1"/>
      </xdr:nvSpPr>
      <xdr:spPr>
        <a:xfrm>
          <a:off x="2535438" y="19773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(36) (34)</a:t>
          </a:r>
        </a:p>
      </xdr:txBody>
    </xdr:sp>
    <xdr:clientData/>
  </xdr:oneCellAnchor>
  <xdr:oneCellAnchor>
    <xdr:from>
      <xdr:col>5</xdr:col>
      <xdr:colOff>226578</xdr:colOff>
      <xdr:row>101</xdr:row>
      <xdr:rowOff>104775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4036578" y="19773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(96) (79)</a:t>
          </a:r>
        </a:p>
      </xdr:txBody>
    </xdr:sp>
    <xdr:clientData/>
  </xdr:oneCellAnchor>
  <xdr:oneCellAnchor>
    <xdr:from>
      <xdr:col>7</xdr:col>
      <xdr:colOff>203718</xdr:colOff>
      <xdr:row>101</xdr:row>
      <xdr:rowOff>104775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5537718" y="19773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(458) (409)</a:t>
          </a:r>
        </a:p>
      </xdr:txBody>
    </xdr:sp>
    <xdr:clientData/>
  </xdr:oneCellAnchor>
  <xdr:oneCellAnchor>
    <xdr:from>
      <xdr:col>9</xdr:col>
      <xdr:colOff>180858</xdr:colOff>
      <xdr:row>101</xdr:row>
      <xdr:rowOff>104775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7038858" y="19773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(4) (19)</a:t>
          </a:r>
        </a:p>
      </xdr:txBody>
    </xdr:sp>
    <xdr:clientData/>
  </xdr:oneCellAnchor>
  <xdr:twoCellAnchor>
    <xdr:from>
      <xdr:col>1</xdr:col>
      <xdr:colOff>0</xdr:colOff>
      <xdr:row>123</xdr:row>
      <xdr:rowOff>101600</xdr:rowOff>
    </xdr:from>
    <xdr:to>
      <xdr:col>9</xdr:col>
      <xdr:colOff>254000</xdr:colOff>
      <xdr:row>149</xdr:row>
      <xdr:rowOff>101600</xdr:rowOff>
    </xdr:to>
    <xdr:graphicFrame macro="">
      <xdr:nvGraphicFramePr>
        <xdr:cNvPr id="1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101600</xdr:rowOff>
    </xdr:from>
    <xdr:to>
      <xdr:col>11</xdr:col>
      <xdr:colOff>165100</xdr:colOff>
      <xdr:row>162</xdr:row>
      <xdr:rowOff>63500</xdr:rowOff>
    </xdr:to>
    <xdr:graphicFrame macro="">
      <xdr:nvGraphicFramePr>
        <xdr:cNvPr id="1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63500</xdr:rowOff>
    </xdr:from>
    <xdr:ext cx="1270000" cy="264560"/>
    <xdr:sp macro="" textlink="">
      <xdr:nvSpPr>
        <xdr:cNvPr id="18" name="CuadroTexto 17"/>
        <xdr:cNvSpPr txBox="1"/>
      </xdr:nvSpPr>
      <xdr:spPr>
        <a:xfrm>
          <a:off x="1690394" y="3130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(380) (346)</a:t>
          </a:r>
        </a:p>
      </xdr:txBody>
    </xdr:sp>
    <xdr:clientData/>
  </xdr:oneCellAnchor>
  <xdr:oneCellAnchor>
    <xdr:from>
      <xdr:col>7</xdr:col>
      <xdr:colOff>109244</xdr:colOff>
      <xdr:row>161</xdr:row>
      <xdr:rowOff>63500</xdr:rowOff>
    </xdr:from>
    <xdr:ext cx="1270000" cy="264560"/>
    <xdr:sp macro="" textlink="">
      <xdr:nvSpPr>
        <xdr:cNvPr id="19" name="CuadroTexto 18"/>
        <xdr:cNvSpPr txBox="1"/>
      </xdr:nvSpPr>
      <xdr:spPr>
        <a:xfrm>
          <a:off x="5443244" y="3130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(220) (200)</a:t>
          </a:r>
        </a:p>
      </xdr:txBody>
    </xdr:sp>
    <xdr:clientData/>
  </xdr:oneCellAnchor>
  <xdr:twoCellAnchor>
    <xdr:from>
      <xdr:col>1</xdr:col>
      <xdr:colOff>0</xdr:colOff>
      <xdr:row>183</xdr:row>
      <xdr:rowOff>53975</xdr:rowOff>
    </xdr:from>
    <xdr:to>
      <xdr:col>9</xdr:col>
      <xdr:colOff>254000</xdr:colOff>
      <xdr:row>209</xdr:row>
      <xdr:rowOff>53975</xdr:rowOff>
    </xdr:to>
    <xdr:graphicFrame macro="">
      <xdr:nvGraphicFramePr>
        <xdr:cNvPr id="20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53975</xdr:rowOff>
    </xdr:from>
    <xdr:to>
      <xdr:col>11</xdr:col>
      <xdr:colOff>165100</xdr:colOff>
      <xdr:row>222</xdr:row>
      <xdr:rowOff>15875</xdr:rowOff>
    </xdr:to>
    <xdr:graphicFrame macro="">
      <xdr:nvGraphicFramePr>
        <xdr:cNvPr id="21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15875</xdr:rowOff>
    </xdr:from>
    <xdr:ext cx="1270000" cy="264560"/>
    <xdr:sp macro="" textlink="">
      <xdr:nvSpPr>
        <xdr:cNvPr id="22" name="CuadroTexto 21"/>
        <xdr:cNvSpPr txBox="1"/>
      </xdr:nvSpPr>
      <xdr:spPr>
        <a:xfrm>
          <a:off x="1034298" y="4273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(12) (25)</a:t>
          </a:r>
        </a:p>
      </xdr:txBody>
    </xdr:sp>
    <xdr:clientData/>
  </xdr:oneCellAnchor>
  <xdr:oneCellAnchor>
    <xdr:from>
      <xdr:col>3</xdr:col>
      <xdr:colOff>249438</xdr:colOff>
      <xdr:row>221</xdr:row>
      <xdr:rowOff>15875</xdr:rowOff>
    </xdr:from>
    <xdr:ext cx="1270000" cy="264560"/>
    <xdr:sp macro="" textlink="">
      <xdr:nvSpPr>
        <xdr:cNvPr id="23" name="CuadroTexto 22"/>
        <xdr:cNvSpPr txBox="1"/>
      </xdr:nvSpPr>
      <xdr:spPr>
        <a:xfrm>
          <a:off x="2535438" y="4273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(191) (163)</a:t>
          </a:r>
        </a:p>
      </xdr:txBody>
    </xdr:sp>
    <xdr:clientData/>
  </xdr:oneCellAnchor>
  <xdr:oneCellAnchor>
    <xdr:from>
      <xdr:col>5</xdr:col>
      <xdr:colOff>226578</xdr:colOff>
      <xdr:row>221</xdr:row>
      <xdr:rowOff>15875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4036578" y="4273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(248) (209)</a:t>
          </a:r>
        </a:p>
      </xdr:txBody>
    </xdr:sp>
    <xdr:clientData/>
  </xdr:oneCellAnchor>
  <xdr:oneCellAnchor>
    <xdr:from>
      <xdr:col>7</xdr:col>
      <xdr:colOff>203718</xdr:colOff>
      <xdr:row>221</xdr:row>
      <xdr:rowOff>15875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5537718" y="4273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(128)</a:t>
          </a:r>
        </a:p>
      </xdr:txBody>
    </xdr:sp>
    <xdr:clientData/>
  </xdr:oneCellAnchor>
  <xdr:oneCellAnchor>
    <xdr:from>
      <xdr:col>9</xdr:col>
      <xdr:colOff>180858</xdr:colOff>
      <xdr:row>221</xdr:row>
      <xdr:rowOff>15875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7038858" y="42735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(17) (21)</a:t>
          </a:r>
        </a:p>
      </xdr:txBody>
    </xdr:sp>
    <xdr:clientData/>
  </xdr:oneCellAnchor>
  <xdr:twoCellAnchor>
    <xdr:from>
      <xdr:col>1</xdr:col>
      <xdr:colOff>0</xdr:colOff>
      <xdr:row>243</xdr:row>
      <xdr:rowOff>0</xdr:rowOff>
    </xdr:from>
    <xdr:to>
      <xdr:col>9</xdr:col>
      <xdr:colOff>254000</xdr:colOff>
      <xdr:row>269</xdr:row>
      <xdr:rowOff>0</xdr:rowOff>
    </xdr:to>
    <xdr:graphicFrame macro="">
      <xdr:nvGraphicFramePr>
        <xdr:cNvPr id="27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271</xdr:row>
      <xdr:rowOff>0</xdr:rowOff>
    </xdr:from>
    <xdr:to>
      <xdr:col>11</xdr:col>
      <xdr:colOff>165100</xdr:colOff>
      <xdr:row>281</xdr:row>
      <xdr:rowOff>152400</xdr:rowOff>
    </xdr:to>
    <xdr:graphicFrame macro="">
      <xdr:nvGraphicFramePr>
        <xdr:cNvPr id="28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272298</xdr:colOff>
      <xdr:row>280</xdr:row>
      <xdr:rowOff>152400</xdr:rowOff>
    </xdr:from>
    <xdr:ext cx="1270000" cy="264560"/>
    <xdr:sp macro="" textlink="">
      <xdr:nvSpPr>
        <xdr:cNvPr id="29" name="CuadroTexto 28"/>
        <xdr:cNvSpPr txBox="1"/>
      </xdr:nvSpPr>
      <xdr:spPr>
        <a:xfrm>
          <a:off x="1034298" y="542544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(78) (77)</a:t>
          </a:r>
        </a:p>
      </xdr:txBody>
    </xdr:sp>
    <xdr:clientData/>
  </xdr:oneCellAnchor>
  <xdr:oneCellAnchor>
    <xdr:from>
      <xdr:col>3</xdr:col>
      <xdr:colOff>249438</xdr:colOff>
      <xdr:row>280</xdr:row>
      <xdr:rowOff>152400</xdr:rowOff>
    </xdr:from>
    <xdr:ext cx="1270000" cy="264560"/>
    <xdr:sp macro="" textlink="">
      <xdr:nvSpPr>
        <xdr:cNvPr id="30" name="CuadroTexto 29"/>
        <xdr:cNvSpPr txBox="1"/>
      </xdr:nvSpPr>
      <xdr:spPr>
        <a:xfrm>
          <a:off x="2535438" y="542544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(213) (214)</a:t>
          </a:r>
        </a:p>
      </xdr:txBody>
    </xdr:sp>
    <xdr:clientData/>
  </xdr:oneCellAnchor>
  <xdr:oneCellAnchor>
    <xdr:from>
      <xdr:col>5</xdr:col>
      <xdr:colOff>226578</xdr:colOff>
      <xdr:row>280</xdr:row>
      <xdr:rowOff>152400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4036578" y="542544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(144) (115)</a:t>
          </a:r>
        </a:p>
      </xdr:txBody>
    </xdr:sp>
    <xdr:clientData/>
  </xdr:oneCellAnchor>
  <xdr:oneCellAnchor>
    <xdr:from>
      <xdr:col>7</xdr:col>
      <xdr:colOff>203718</xdr:colOff>
      <xdr:row>280</xdr:row>
      <xdr:rowOff>152400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5537718" y="542544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(57) (61)</a:t>
          </a:r>
        </a:p>
      </xdr:txBody>
    </xdr:sp>
    <xdr:clientData/>
  </xdr:oneCellAnchor>
  <xdr:oneCellAnchor>
    <xdr:from>
      <xdr:col>9</xdr:col>
      <xdr:colOff>180858</xdr:colOff>
      <xdr:row>280</xdr:row>
      <xdr:rowOff>152400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7038858" y="542544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(108) (79)</a:t>
          </a:r>
        </a:p>
      </xdr:txBody>
    </xdr:sp>
    <xdr:clientData/>
  </xdr:oneCellAnchor>
  <xdr:twoCellAnchor>
    <xdr:from>
      <xdr:col>1</xdr:col>
      <xdr:colOff>0</xdr:colOff>
      <xdr:row>302</xdr:row>
      <xdr:rowOff>136525</xdr:rowOff>
    </xdr:from>
    <xdr:to>
      <xdr:col>9</xdr:col>
      <xdr:colOff>254000</xdr:colOff>
      <xdr:row>328</xdr:row>
      <xdr:rowOff>136525</xdr:rowOff>
    </xdr:to>
    <xdr:graphicFrame macro="">
      <xdr:nvGraphicFramePr>
        <xdr:cNvPr id="34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136525</xdr:rowOff>
    </xdr:from>
    <xdr:to>
      <xdr:col>11</xdr:col>
      <xdr:colOff>165100</xdr:colOff>
      <xdr:row>341</xdr:row>
      <xdr:rowOff>98425</xdr:rowOff>
    </xdr:to>
    <xdr:graphicFrame macro="">
      <xdr:nvGraphicFramePr>
        <xdr:cNvPr id="35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2</xdr:col>
      <xdr:colOff>166394</xdr:colOff>
      <xdr:row>340</xdr:row>
      <xdr:rowOff>98425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1690394" y="6577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(593) (526)</a:t>
          </a:r>
        </a:p>
      </xdr:txBody>
    </xdr:sp>
    <xdr:clientData/>
  </xdr:oneCellAnchor>
  <xdr:oneCellAnchor>
    <xdr:from>
      <xdr:col>7</xdr:col>
      <xdr:colOff>109244</xdr:colOff>
      <xdr:row>340</xdr:row>
      <xdr:rowOff>98425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443244" y="6577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(7) (20)</a:t>
          </a:r>
        </a:p>
      </xdr:txBody>
    </xdr:sp>
    <xdr:clientData/>
  </xdr:oneCellAnchor>
  <xdr:twoCellAnchor>
    <xdr:from>
      <xdr:col>1</xdr:col>
      <xdr:colOff>0</xdr:colOff>
      <xdr:row>362</xdr:row>
      <xdr:rowOff>95250</xdr:rowOff>
    </xdr:from>
    <xdr:to>
      <xdr:col>9</xdr:col>
      <xdr:colOff>254000</xdr:colOff>
      <xdr:row>388</xdr:row>
      <xdr:rowOff>95250</xdr:rowOff>
    </xdr:to>
    <xdr:graphicFrame macro="">
      <xdr:nvGraphicFramePr>
        <xdr:cNvPr id="38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95250</xdr:rowOff>
    </xdr:from>
    <xdr:to>
      <xdr:col>11</xdr:col>
      <xdr:colOff>165100</xdr:colOff>
      <xdr:row>401</xdr:row>
      <xdr:rowOff>57150</xdr:rowOff>
    </xdr:to>
    <xdr:graphicFrame macro="">
      <xdr:nvGraphicFramePr>
        <xdr:cNvPr id="39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1</xdr:col>
      <xdr:colOff>381647</xdr:colOff>
      <xdr:row>400</xdr:row>
      <xdr:rowOff>57150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1143647" y="7730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(220) (187)</a:t>
          </a:r>
        </a:p>
      </xdr:txBody>
    </xdr:sp>
    <xdr:clientData/>
  </xdr:oneCellAnchor>
  <xdr:oneCellAnchor>
    <xdr:from>
      <xdr:col>3</xdr:col>
      <xdr:colOff>734072</xdr:colOff>
      <xdr:row>400</xdr:row>
      <xdr:rowOff>57150</xdr:rowOff>
    </xdr:from>
    <xdr:ext cx="1270000" cy="264560"/>
    <xdr:sp macro="" textlink="">
      <xdr:nvSpPr>
        <xdr:cNvPr id="41" name="CuadroTexto 40"/>
        <xdr:cNvSpPr txBox="1"/>
      </xdr:nvSpPr>
      <xdr:spPr>
        <a:xfrm>
          <a:off x="3020072" y="7730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(105)</a:t>
          </a:r>
        </a:p>
      </xdr:txBody>
    </xdr:sp>
    <xdr:clientData/>
  </xdr:oneCellAnchor>
  <xdr:oneCellAnchor>
    <xdr:from>
      <xdr:col>6</xdr:col>
      <xdr:colOff>324497</xdr:colOff>
      <xdr:row>400</xdr:row>
      <xdr:rowOff>57150</xdr:rowOff>
    </xdr:from>
    <xdr:ext cx="1270000" cy="264560"/>
    <xdr:sp macro="" textlink="">
      <xdr:nvSpPr>
        <xdr:cNvPr id="42" name="CuadroTexto 41"/>
        <xdr:cNvSpPr txBox="1"/>
      </xdr:nvSpPr>
      <xdr:spPr>
        <a:xfrm>
          <a:off x="4896497" y="7730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(162) (137)</a:t>
          </a:r>
        </a:p>
      </xdr:txBody>
    </xdr:sp>
    <xdr:clientData/>
  </xdr:oneCellAnchor>
  <xdr:oneCellAnchor>
    <xdr:from>
      <xdr:col>8</xdr:col>
      <xdr:colOff>676922</xdr:colOff>
      <xdr:row>400</xdr:row>
      <xdr:rowOff>57150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6772922" y="7730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(67) (83)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44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45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147327</xdr:colOff>
      <xdr:row>460</xdr:row>
      <xdr:rowOff>9525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909327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(9) (7)</a:t>
          </a:r>
        </a:p>
      </xdr:txBody>
    </xdr:sp>
    <xdr:clientData/>
  </xdr:oneCellAnchor>
  <xdr:oneCellAnchor>
    <xdr:from>
      <xdr:col>2</xdr:col>
      <xdr:colOff>457570</xdr:colOff>
      <xdr:row>460</xdr:row>
      <xdr:rowOff>9525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1981570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(61) (6)</a:t>
          </a:r>
        </a:p>
      </xdr:txBody>
    </xdr:sp>
    <xdr:clientData/>
  </xdr:oneCellAnchor>
  <xdr:oneCellAnchor>
    <xdr:from>
      <xdr:col>4</xdr:col>
      <xdr:colOff>5813</xdr:colOff>
      <xdr:row>460</xdr:row>
      <xdr:rowOff>9525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3053813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(35) (54)</a:t>
          </a:r>
        </a:p>
      </xdr:txBody>
    </xdr:sp>
    <xdr:clientData/>
  </xdr:oneCellAnchor>
  <xdr:oneCellAnchor>
    <xdr:from>
      <xdr:col>5</xdr:col>
      <xdr:colOff>316055</xdr:colOff>
      <xdr:row>460</xdr:row>
      <xdr:rowOff>9525</xdr:rowOff>
    </xdr:from>
    <xdr:ext cx="1270000" cy="264560"/>
    <xdr:sp macro="" textlink="">
      <xdr:nvSpPr>
        <xdr:cNvPr id="49" name="CuadroTexto 48"/>
        <xdr:cNvSpPr txBox="1"/>
      </xdr:nvSpPr>
      <xdr:spPr>
        <a:xfrm>
          <a:off x="4126055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(2) (5)</a:t>
          </a:r>
        </a:p>
      </xdr:txBody>
    </xdr:sp>
    <xdr:clientData/>
  </xdr:oneCellAnchor>
  <xdr:oneCellAnchor>
    <xdr:from>
      <xdr:col>6</xdr:col>
      <xdr:colOff>626298</xdr:colOff>
      <xdr:row>460</xdr:row>
      <xdr:rowOff>9525</xdr:rowOff>
    </xdr:from>
    <xdr:ext cx="1270000" cy="264560"/>
    <xdr:sp macro="" textlink="">
      <xdr:nvSpPr>
        <xdr:cNvPr id="50" name="CuadroTexto 49"/>
        <xdr:cNvSpPr txBox="1"/>
      </xdr:nvSpPr>
      <xdr:spPr>
        <a:xfrm>
          <a:off x="5198298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(3) (5)</a:t>
          </a:r>
        </a:p>
      </xdr:txBody>
    </xdr:sp>
    <xdr:clientData/>
  </xdr:oneCellAnchor>
  <xdr:oneCellAnchor>
    <xdr:from>
      <xdr:col>8</xdr:col>
      <xdr:colOff>174541</xdr:colOff>
      <xdr:row>460</xdr:row>
      <xdr:rowOff>9525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6270541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(41) (41)</a:t>
          </a:r>
        </a:p>
      </xdr:txBody>
    </xdr:sp>
    <xdr:clientData/>
  </xdr:oneCellAnchor>
  <xdr:oneCellAnchor>
    <xdr:from>
      <xdr:col>9</xdr:col>
      <xdr:colOff>484784</xdr:colOff>
      <xdr:row>460</xdr:row>
      <xdr:rowOff>9525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7342784" y="88734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53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54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147327</xdr:colOff>
      <xdr:row>519</xdr:row>
      <xdr:rowOff>152400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909327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(21) (22)</a:t>
          </a:r>
        </a:p>
      </xdr:txBody>
    </xdr:sp>
    <xdr:clientData/>
  </xdr:oneCellAnchor>
  <xdr:oneCellAnchor>
    <xdr:from>
      <xdr:col>2</xdr:col>
      <xdr:colOff>457570</xdr:colOff>
      <xdr:row>519</xdr:row>
      <xdr:rowOff>152400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1981570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(169) (157)</a:t>
          </a:r>
        </a:p>
      </xdr:txBody>
    </xdr:sp>
    <xdr:clientData/>
  </xdr:oneCellAnchor>
  <xdr:oneCellAnchor>
    <xdr:from>
      <xdr:col>4</xdr:col>
      <xdr:colOff>5813</xdr:colOff>
      <xdr:row>519</xdr:row>
      <xdr:rowOff>152400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053813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5</xdr:col>
      <xdr:colOff>316055</xdr:colOff>
      <xdr:row>519</xdr:row>
      <xdr:rowOff>152400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126055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(4) (5)</a:t>
          </a:r>
        </a:p>
      </xdr:txBody>
    </xdr:sp>
    <xdr:clientData/>
  </xdr:oneCellAnchor>
  <xdr:oneCellAnchor>
    <xdr:from>
      <xdr:col>6</xdr:col>
      <xdr:colOff>626298</xdr:colOff>
      <xdr:row>519</xdr:row>
      <xdr:rowOff>152400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198298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(4)</a:t>
          </a:r>
        </a:p>
      </xdr:txBody>
    </xdr:sp>
    <xdr:clientData/>
  </xdr:oneCellAnchor>
  <xdr:oneCellAnchor>
    <xdr:from>
      <xdr:col>8</xdr:col>
      <xdr:colOff>174541</xdr:colOff>
      <xdr:row>519</xdr:row>
      <xdr:rowOff>152400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6270541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(9) (7)</a:t>
          </a:r>
        </a:p>
      </xdr:txBody>
    </xdr:sp>
    <xdr:clientData/>
  </xdr:oneCellAnchor>
  <xdr:oneCellAnchor>
    <xdr:from>
      <xdr:col>9</xdr:col>
      <xdr:colOff>484784</xdr:colOff>
      <xdr:row>519</xdr:row>
      <xdr:rowOff>152400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7342784" y="100545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(12) (17)</a:t>
          </a:r>
        </a:p>
      </xdr:txBody>
    </xdr:sp>
    <xdr:clientData/>
  </xdr:oneCellAnchor>
  <xdr:twoCellAnchor>
    <xdr:from>
      <xdr:col>1</xdr:col>
      <xdr:colOff>0</xdr:colOff>
      <xdr:row>541</xdr:row>
      <xdr:rowOff>142875</xdr:rowOff>
    </xdr:from>
    <xdr:to>
      <xdr:col>9</xdr:col>
      <xdr:colOff>254000</xdr:colOff>
      <xdr:row>567</xdr:row>
      <xdr:rowOff>142875</xdr:rowOff>
    </xdr:to>
    <xdr:graphicFrame macro="">
      <xdr:nvGraphicFramePr>
        <xdr:cNvPr id="6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142875</xdr:rowOff>
    </xdr:from>
    <xdr:to>
      <xdr:col>11</xdr:col>
      <xdr:colOff>165100</xdr:colOff>
      <xdr:row>580</xdr:row>
      <xdr:rowOff>104775</xdr:rowOff>
    </xdr:to>
    <xdr:graphicFrame macro="">
      <xdr:nvGraphicFramePr>
        <xdr:cNvPr id="6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147327</xdr:colOff>
      <xdr:row>579</xdr:row>
      <xdr:rowOff>104775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909327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(5)</a:t>
          </a:r>
        </a:p>
      </xdr:txBody>
    </xdr:sp>
    <xdr:clientData/>
  </xdr:oneCellAnchor>
  <xdr:oneCellAnchor>
    <xdr:from>
      <xdr:col>2</xdr:col>
      <xdr:colOff>457570</xdr:colOff>
      <xdr:row>579</xdr:row>
      <xdr:rowOff>104775</xdr:rowOff>
    </xdr:from>
    <xdr:ext cx="1270000" cy="264560"/>
    <xdr:sp macro="" textlink="">
      <xdr:nvSpPr>
        <xdr:cNvPr id="65" name="CuadroTexto 64"/>
        <xdr:cNvSpPr txBox="1"/>
      </xdr:nvSpPr>
      <xdr:spPr>
        <a:xfrm>
          <a:off x="1981570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(1) (2)</a:t>
          </a:r>
        </a:p>
      </xdr:txBody>
    </xdr:sp>
    <xdr:clientData/>
  </xdr:oneCellAnchor>
  <xdr:oneCellAnchor>
    <xdr:from>
      <xdr:col>4</xdr:col>
      <xdr:colOff>5813</xdr:colOff>
      <xdr:row>579</xdr:row>
      <xdr:rowOff>104775</xdr:rowOff>
    </xdr:from>
    <xdr:ext cx="1270000" cy="264560"/>
    <xdr:sp macro="" textlink="">
      <xdr:nvSpPr>
        <xdr:cNvPr id="66" name="CuadroTexto 65"/>
        <xdr:cNvSpPr txBox="1"/>
      </xdr:nvSpPr>
      <xdr:spPr>
        <a:xfrm>
          <a:off x="3053813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(126) (110)</a:t>
          </a:r>
        </a:p>
      </xdr:txBody>
    </xdr:sp>
    <xdr:clientData/>
  </xdr:oneCellAnchor>
  <xdr:oneCellAnchor>
    <xdr:from>
      <xdr:col>5</xdr:col>
      <xdr:colOff>316055</xdr:colOff>
      <xdr:row>579</xdr:row>
      <xdr:rowOff>104775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4126055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(1) (2)</a:t>
          </a:r>
        </a:p>
      </xdr:txBody>
    </xdr:sp>
    <xdr:clientData/>
  </xdr:oneCellAnchor>
  <xdr:oneCellAnchor>
    <xdr:from>
      <xdr:col>6</xdr:col>
      <xdr:colOff>626298</xdr:colOff>
      <xdr:row>579</xdr:row>
      <xdr:rowOff>104775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5198298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(9)</a:t>
          </a:r>
        </a:p>
      </xdr:txBody>
    </xdr:sp>
    <xdr:clientData/>
  </xdr:oneCellAnchor>
  <xdr:oneCellAnchor>
    <xdr:from>
      <xdr:col>8</xdr:col>
      <xdr:colOff>174541</xdr:colOff>
      <xdr:row>579</xdr:row>
      <xdr:rowOff>104775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6270541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(6) (6)</a:t>
          </a:r>
        </a:p>
      </xdr:txBody>
    </xdr:sp>
    <xdr:clientData/>
  </xdr:oneCellAnchor>
  <xdr:oneCellAnchor>
    <xdr:from>
      <xdr:col>9</xdr:col>
      <xdr:colOff>484784</xdr:colOff>
      <xdr:row>579</xdr:row>
      <xdr:rowOff>104775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7342784" y="112356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(37) (38)</a:t>
          </a:r>
        </a:p>
      </xdr:txBody>
    </xdr:sp>
    <xdr:clientData/>
  </xdr:oneCellAnchor>
  <xdr:twoCellAnchor>
    <xdr:from>
      <xdr:col>1</xdr:col>
      <xdr:colOff>0</xdr:colOff>
      <xdr:row>601</xdr:row>
      <xdr:rowOff>101600</xdr:rowOff>
    </xdr:from>
    <xdr:to>
      <xdr:col>9</xdr:col>
      <xdr:colOff>254000</xdr:colOff>
      <xdr:row>627</xdr:row>
      <xdr:rowOff>101600</xdr:rowOff>
    </xdr:to>
    <xdr:graphicFrame macro="">
      <xdr:nvGraphicFramePr>
        <xdr:cNvPr id="71" name="GrafDemo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629</xdr:row>
      <xdr:rowOff>101600</xdr:rowOff>
    </xdr:from>
    <xdr:to>
      <xdr:col>11</xdr:col>
      <xdr:colOff>165100</xdr:colOff>
      <xdr:row>640</xdr:row>
      <xdr:rowOff>63500</xdr:rowOff>
    </xdr:to>
    <xdr:graphicFrame macro="">
      <xdr:nvGraphicFramePr>
        <xdr:cNvPr id="72" name="GrafDemo_Bis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2</xdr:col>
      <xdr:colOff>166394</xdr:colOff>
      <xdr:row>639</xdr:row>
      <xdr:rowOff>63500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690394" y="123888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(1) (1)</a:t>
          </a:r>
        </a:p>
      </xdr:txBody>
    </xdr:sp>
    <xdr:clientData/>
  </xdr:oneCellAnchor>
  <xdr:oneCellAnchor>
    <xdr:from>
      <xdr:col>7</xdr:col>
      <xdr:colOff>109244</xdr:colOff>
      <xdr:row>639</xdr:row>
      <xdr:rowOff>63500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5443244" y="123888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(8) (6)</a:t>
          </a:r>
        </a:p>
      </xdr:txBody>
    </xdr:sp>
    <xdr:clientData/>
  </xdr:oneCellAnchor>
  <xdr:twoCellAnchor>
    <xdr:from>
      <xdr:col>1</xdr:col>
      <xdr:colOff>0</xdr:colOff>
      <xdr:row>661</xdr:row>
      <xdr:rowOff>50800</xdr:rowOff>
    </xdr:from>
    <xdr:to>
      <xdr:col>9</xdr:col>
      <xdr:colOff>254000</xdr:colOff>
      <xdr:row>687</xdr:row>
      <xdr:rowOff>50800</xdr:rowOff>
    </xdr:to>
    <xdr:graphicFrame macro="">
      <xdr:nvGraphicFramePr>
        <xdr:cNvPr id="75" name="GrafDemo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689</xdr:row>
      <xdr:rowOff>50800</xdr:rowOff>
    </xdr:from>
    <xdr:to>
      <xdr:col>11</xdr:col>
      <xdr:colOff>165100</xdr:colOff>
      <xdr:row>700</xdr:row>
      <xdr:rowOff>12700</xdr:rowOff>
    </xdr:to>
    <xdr:graphicFrame macro="">
      <xdr:nvGraphicFramePr>
        <xdr:cNvPr id="76" name="GrafDemo_Bis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1</xdr:col>
      <xdr:colOff>381647</xdr:colOff>
      <xdr:row>699</xdr:row>
      <xdr:rowOff>12700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1143647" y="135839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(2) (1)</a:t>
          </a:r>
        </a:p>
      </xdr:txBody>
    </xdr:sp>
    <xdr:clientData/>
  </xdr:oneCellAnchor>
  <xdr:oneCellAnchor>
    <xdr:from>
      <xdr:col>3</xdr:col>
      <xdr:colOff>734072</xdr:colOff>
      <xdr:row>699</xdr:row>
      <xdr:rowOff>12700</xdr:rowOff>
    </xdr:from>
    <xdr:ext cx="1270000" cy="264560"/>
    <xdr:sp macro="" textlink="">
      <xdr:nvSpPr>
        <xdr:cNvPr id="78" name="CuadroTexto 77"/>
        <xdr:cNvSpPr txBox="1"/>
      </xdr:nvSpPr>
      <xdr:spPr>
        <a:xfrm>
          <a:off x="3020072" y="135839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(4) (1)</a:t>
          </a:r>
        </a:p>
      </xdr:txBody>
    </xdr:sp>
    <xdr:clientData/>
  </xdr:oneCellAnchor>
  <xdr:oneCellAnchor>
    <xdr:from>
      <xdr:col>6</xdr:col>
      <xdr:colOff>324497</xdr:colOff>
      <xdr:row>699</xdr:row>
      <xdr:rowOff>12700</xdr:rowOff>
    </xdr:from>
    <xdr:ext cx="1270000" cy="264560"/>
    <xdr:sp macro="" textlink="">
      <xdr:nvSpPr>
        <xdr:cNvPr id="79" name="CuadroTexto 78"/>
        <xdr:cNvSpPr txBox="1"/>
      </xdr:nvSpPr>
      <xdr:spPr>
        <a:xfrm>
          <a:off x="4896497" y="135839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(1) (4)</a:t>
          </a:r>
        </a:p>
      </xdr:txBody>
    </xdr:sp>
    <xdr:clientData/>
  </xdr:oneCellAnchor>
  <xdr:oneCellAnchor>
    <xdr:from>
      <xdr:col>8</xdr:col>
      <xdr:colOff>676922</xdr:colOff>
      <xdr:row>699</xdr:row>
      <xdr:rowOff>12700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6772922" y="135839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(24) (0)</a:t>
          </a:r>
        </a:p>
      </xdr:txBody>
    </xdr:sp>
    <xdr:clientData/>
  </xdr:oneCellAnchor>
  <xdr:twoCellAnchor>
    <xdr:from>
      <xdr:col>1</xdr:col>
      <xdr:colOff>0</xdr:colOff>
      <xdr:row>720</xdr:row>
      <xdr:rowOff>187325</xdr:rowOff>
    </xdr:from>
    <xdr:to>
      <xdr:col>9</xdr:col>
      <xdr:colOff>254000</xdr:colOff>
      <xdr:row>746</xdr:row>
      <xdr:rowOff>187325</xdr:rowOff>
    </xdr:to>
    <xdr:graphicFrame macro="">
      <xdr:nvGraphicFramePr>
        <xdr:cNvPr id="81" name="GrafDemo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748</xdr:row>
      <xdr:rowOff>187325</xdr:rowOff>
    </xdr:from>
    <xdr:to>
      <xdr:col>11</xdr:col>
      <xdr:colOff>165100</xdr:colOff>
      <xdr:row>759</xdr:row>
      <xdr:rowOff>149225</xdr:rowOff>
    </xdr:to>
    <xdr:graphicFrame macro="">
      <xdr:nvGraphicFramePr>
        <xdr:cNvPr id="82" name="GrafDemo_Bis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oneCellAnchor>
    <xdr:from>
      <xdr:col>1</xdr:col>
      <xdr:colOff>381647</xdr:colOff>
      <xdr:row>758</xdr:row>
      <xdr:rowOff>149225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1143647" y="147929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(1)</a:t>
          </a:r>
        </a:p>
      </xdr:txBody>
    </xdr:sp>
    <xdr:clientData/>
  </xdr:oneCellAnchor>
  <xdr:oneCellAnchor>
    <xdr:from>
      <xdr:col>3</xdr:col>
      <xdr:colOff>734072</xdr:colOff>
      <xdr:row>758</xdr:row>
      <xdr:rowOff>149225</xdr:rowOff>
    </xdr:from>
    <xdr:ext cx="1270000" cy="264560"/>
    <xdr:sp macro="" textlink="">
      <xdr:nvSpPr>
        <xdr:cNvPr id="84" name="CuadroTexto 83"/>
        <xdr:cNvSpPr txBox="1"/>
      </xdr:nvSpPr>
      <xdr:spPr>
        <a:xfrm>
          <a:off x="3020072" y="147929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(1)</a:t>
          </a:r>
        </a:p>
      </xdr:txBody>
    </xdr:sp>
    <xdr:clientData/>
  </xdr:oneCellAnchor>
  <xdr:oneCellAnchor>
    <xdr:from>
      <xdr:col>6</xdr:col>
      <xdr:colOff>324497</xdr:colOff>
      <xdr:row>758</xdr:row>
      <xdr:rowOff>149225</xdr:rowOff>
    </xdr:from>
    <xdr:ext cx="1270000" cy="264560"/>
    <xdr:sp macro="" textlink="">
      <xdr:nvSpPr>
        <xdr:cNvPr id="85" name="CuadroTexto 84"/>
        <xdr:cNvSpPr txBox="1"/>
      </xdr:nvSpPr>
      <xdr:spPr>
        <a:xfrm>
          <a:off x="4896497" y="147929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(35)</a:t>
          </a:r>
        </a:p>
      </xdr:txBody>
    </xdr:sp>
    <xdr:clientData/>
  </xdr:oneCellAnchor>
  <xdr:oneCellAnchor>
    <xdr:from>
      <xdr:col>8</xdr:col>
      <xdr:colOff>676922</xdr:colOff>
      <xdr:row>758</xdr:row>
      <xdr:rowOff>149225</xdr:rowOff>
    </xdr:from>
    <xdr:ext cx="1270000" cy="264560"/>
    <xdr:sp macro="" textlink="">
      <xdr:nvSpPr>
        <xdr:cNvPr id="86" name="CuadroTexto 85"/>
        <xdr:cNvSpPr txBox="1"/>
      </xdr:nvSpPr>
      <xdr:spPr>
        <a:xfrm>
          <a:off x="6772922" y="147929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(17)</a:t>
          </a:r>
        </a:p>
      </xdr:txBody>
    </xdr:sp>
    <xdr:clientData/>
  </xdr:oneCellAnchor>
  <xdr:twoCellAnchor>
    <xdr:from>
      <xdr:col>1</xdr:col>
      <xdr:colOff>0</xdr:colOff>
      <xdr:row>780</xdr:row>
      <xdr:rowOff>139700</xdr:rowOff>
    </xdr:from>
    <xdr:to>
      <xdr:col>9</xdr:col>
      <xdr:colOff>254000</xdr:colOff>
      <xdr:row>806</xdr:row>
      <xdr:rowOff>139700</xdr:rowOff>
    </xdr:to>
    <xdr:graphicFrame macro="">
      <xdr:nvGraphicFramePr>
        <xdr:cNvPr id="87" name="GrafDemo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</xdr:col>
      <xdr:colOff>0</xdr:colOff>
      <xdr:row>808</xdr:row>
      <xdr:rowOff>139700</xdr:rowOff>
    </xdr:from>
    <xdr:to>
      <xdr:col>11</xdr:col>
      <xdr:colOff>165100</xdr:colOff>
      <xdr:row>819</xdr:row>
      <xdr:rowOff>101600</xdr:rowOff>
    </xdr:to>
    <xdr:graphicFrame macro="">
      <xdr:nvGraphicFramePr>
        <xdr:cNvPr id="88" name="GrafDemo_Bis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oneCellAnchor>
    <xdr:from>
      <xdr:col>2</xdr:col>
      <xdr:colOff>166394</xdr:colOff>
      <xdr:row>818</xdr:row>
      <xdr:rowOff>101600</xdr:rowOff>
    </xdr:from>
    <xdr:ext cx="1270000" cy="264560"/>
    <xdr:sp macro="" textlink="">
      <xdr:nvSpPr>
        <xdr:cNvPr id="89" name="CuadroTexto 88"/>
        <xdr:cNvSpPr txBox="1"/>
      </xdr:nvSpPr>
      <xdr:spPr>
        <a:xfrm>
          <a:off x="1690394" y="159740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(4)</a:t>
          </a:r>
        </a:p>
      </xdr:txBody>
    </xdr:sp>
    <xdr:clientData/>
  </xdr:oneCellAnchor>
  <xdr:oneCellAnchor>
    <xdr:from>
      <xdr:col>7</xdr:col>
      <xdr:colOff>109244</xdr:colOff>
      <xdr:row>818</xdr:row>
      <xdr:rowOff>101600</xdr:rowOff>
    </xdr:from>
    <xdr:ext cx="1270000" cy="264560"/>
    <xdr:sp macro="" textlink="">
      <xdr:nvSpPr>
        <xdr:cNvPr id="90" name="CuadroTexto 89"/>
        <xdr:cNvSpPr txBox="1"/>
      </xdr:nvSpPr>
      <xdr:spPr>
        <a:xfrm>
          <a:off x="5443244" y="159740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(1)</a:t>
          </a:r>
        </a:p>
      </xdr:txBody>
    </xdr:sp>
    <xdr:clientData/>
  </xdr:oneCellAnchor>
  <xdr:twoCellAnchor>
    <xdr:from>
      <xdr:col>1</xdr:col>
      <xdr:colOff>0</xdr:colOff>
      <xdr:row>840</xdr:row>
      <xdr:rowOff>98425</xdr:rowOff>
    </xdr:from>
    <xdr:to>
      <xdr:col>9</xdr:col>
      <xdr:colOff>254000</xdr:colOff>
      <xdr:row>866</xdr:row>
      <xdr:rowOff>98425</xdr:rowOff>
    </xdr:to>
    <xdr:graphicFrame macro="">
      <xdr:nvGraphicFramePr>
        <xdr:cNvPr id="91" name="GrafDemo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868</xdr:row>
      <xdr:rowOff>98425</xdr:rowOff>
    </xdr:from>
    <xdr:to>
      <xdr:col>11</xdr:col>
      <xdr:colOff>165100</xdr:colOff>
      <xdr:row>879</xdr:row>
      <xdr:rowOff>60325</xdr:rowOff>
    </xdr:to>
    <xdr:graphicFrame macro="">
      <xdr:nvGraphicFramePr>
        <xdr:cNvPr id="92" name="GrafDemo_Bis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oneCellAnchor>
    <xdr:from>
      <xdr:col>2</xdr:col>
      <xdr:colOff>166394</xdr:colOff>
      <xdr:row>878</xdr:row>
      <xdr:rowOff>60325</xdr:rowOff>
    </xdr:from>
    <xdr:ext cx="1270000" cy="264560"/>
    <xdr:sp macro="" textlink="">
      <xdr:nvSpPr>
        <xdr:cNvPr id="93" name="CuadroTexto 92"/>
        <xdr:cNvSpPr txBox="1"/>
      </xdr:nvSpPr>
      <xdr:spPr>
        <a:xfrm>
          <a:off x="1690394" y="171843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(0) (1)</a:t>
          </a:r>
        </a:p>
      </xdr:txBody>
    </xdr:sp>
    <xdr:clientData/>
  </xdr:oneCellAnchor>
  <xdr:oneCellAnchor>
    <xdr:from>
      <xdr:col>7</xdr:col>
      <xdr:colOff>109244</xdr:colOff>
      <xdr:row>878</xdr:row>
      <xdr:rowOff>60325</xdr:rowOff>
    </xdr:from>
    <xdr:ext cx="1270000" cy="264560"/>
    <xdr:sp macro="" textlink="">
      <xdr:nvSpPr>
        <xdr:cNvPr id="94" name="CuadroTexto 93"/>
        <xdr:cNvSpPr txBox="1"/>
      </xdr:nvSpPr>
      <xdr:spPr>
        <a:xfrm>
          <a:off x="5443244" y="171843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(3) (4)</a:t>
          </a:r>
        </a:p>
      </xdr:txBody>
    </xdr:sp>
    <xdr:clientData/>
  </xdr:oneCellAnchor>
  <xdr:twoCellAnchor>
    <xdr:from>
      <xdr:col>1</xdr:col>
      <xdr:colOff>0</xdr:colOff>
      <xdr:row>900</xdr:row>
      <xdr:rowOff>44450</xdr:rowOff>
    </xdr:from>
    <xdr:to>
      <xdr:col>9</xdr:col>
      <xdr:colOff>254000</xdr:colOff>
      <xdr:row>926</xdr:row>
      <xdr:rowOff>44450</xdr:rowOff>
    </xdr:to>
    <xdr:graphicFrame macro="">
      <xdr:nvGraphicFramePr>
        <xdr:cNvPr id="95" name="GrafDemo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928</xdr:row>
      <xdr:rowOff>44450</xdr:rowOff>
    </xdr:from>
    <xdr:to>
      <xdr:col>11</xdr:col>
      <xdr:colOff>165100</xdr:colOff>
      <xdr:row>939</xdr:row>
      <xdr:rowOff>6350</xdr:rowOff>
    </xdr:to>
    <xdr:graphicFrame macro="">
      <xdr:nvGraphicFramePr>
        <xdr:cNvPr id="96" name="GrafDemo_Bis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oneCellAnchor>
    <xdr:from>
      <xdr:col>2</xdr:col>
      <xdr:colOff>166394</xdr:colOff>
      <xdr:row>938</xdr:row>
      <xdr:rowOff>6350</xdr:rowOff>
    </xdr:from>
    <xdr:ext cx="1270000" cy="264560"/>
    <xdr:sp macro="" textlink="">
      <xdr:nvSpPr>
        <xdr:cNvPr id="97" name="CuadroTexto 96"/>
        <xdr:cNvSpPr txBox="1"/>
      </xdr:nvSpPr>
      <xdr:spPr>
        <a:xfrm>
          <a:off x="1690394" y="183362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(41) (28)</a:t>
          </a:r>
        </a:p>
      </xdr:txBody>
    </xdr:sp>
    <xdr:clientData/>
  </xdr:oneCellAnchor>
  <xdr:oneCellAnchor>
    <xdr:from>
      <xdr:col>7</xdr:col>
      <xdr:colOff>109244</xdr:colOff>
      <xdr:row>938</xdr:row>
      <xdr:rowOff>6350</xdr:rowOff>
    </xdr:from>
    <xdr:ext cx="1270000" cy="264560"/>
    <xdr:sp macro="" textlink="">
      <xdr:nvSpPr>
        <xdr:cNvPr id="98" name="CuadroTexto 97"/>
        <xdr:cNvSpPr txBox="1"/>
      </xdr:nvSpPr>
      <xdr:spPr>
        <a:xfrm>
          <a:off x="5443244" y="183362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(41) (13)</a:t>
          </a:r>
        </a:p>
      </xdr:txBody>
    </xdr:sp>
    <xdr:clientData/>
  </xdr:oneCellAnchor>
  <xdr:twoCellAnchor>
    <xdr:from>
      <xdr:col>1</xdr:col>
      <xdr:colOff>0</xdr:colOff>
      <xdr:row>959</xdr:row>
      <xdr:rowOff>184150</xdr:rowOff>
    </xdr:from>
    <xdr:to>
      <xdr:col>9</xdr:col>
      <xdr:colOff>254000</xdr:colOff>
      <xdr:row>985</xdr:row>
      <xdr:rowOff>184150</xdr:rowOff>
    </xdr:to>
    <xdr:graphicFrame macro="">
      <xdr:nvGraphicFramePr>
        <xdr:cNvPr id="99" name="GrafDemo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</xdr:col>
      <xdr:colOff>0</xdr:colOff>
      <xdr:row>987</xdr:row>
      <xdr:rowOff>184150</xdr:rowOff>
    </xdr:from>
    <xdr:to>
      <xdr:col>11</xdr:col>
      <xdr:colOff>165100</xdr:colOff>
      <xdr:row>998</xdr:row>
      <xdr:rowOff>146050</xdr:rowOff>
    </xdr:to>
    <xdr:graphicFrame macro="">
      <xdr:nvGraphicFramePr>
        <xdr:cNvPr id="100" name="GrafDemo_Bis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oneCellAnchor>
    <xdr:from>
      <xdr:col>2</xdr:col>
      <xdr:colOff>166394</xdr:colOff>
      <xdr:row>997</xdr:row>
      <xdr:rowOff>146050</xdr:rowOff>
    </xdr:from>
    <xdr:ext cx="1270000" cy="264560"/>
    <xdr:sp macro="" textlink="">
      <xdr:nvSpPr>
        <xdr:cNvPr id="101" name="CuadroTexto 100"/>
        <xdr:cNvSpPr txBox="1"/>
      </xdr:nvSpPr>
      <xdr:spPr>
        <a:xfrm>
          <a:off x="1690394" y="19531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(2) (3)</a:t>
          </a:r>
        </a:p>
      </xdr:txBody>
    </xdr:sp>
    <xdr:clientData/>
  </xdr:oneCellAnchor>
  <xdr:oneCellAnchor>
    <xdr:from>
      <xdr:col>7</xdr:col>
      <xdr:colOff>109244</xdr:colOff>
      <xdr:row>997</xdr:row>
      <xdr:rowOff>146050</xdr:rowOff>
    </xdr:from>
    <xdr:ext cx="1270000" cy="264560"/>
    <xdr:sp macro="" textlink="">
      <xdr:nvSpPr>
        <xdr:cNvPr id="102" name="CuadroTexto 101"/>
        <xdr:cNvSpPr txBox="1"/>
      </xdr:nvSpPr>
      <xdr:spPr>
        <a:xfrm>
          <a:off x="5443244" y="19531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(0) (0)</a:t>
          </a:r>
        </a:p>
      </xdr:txBody>
    </xdr:sp>
    <xdr:clientData/>
  </xdr:oneCellAnchor>
  <xdr:twoCellAnchor>
    <xdr:from>
      <xdr:col>1</xdr:col>
      <xdr:colOff>0</xdr:colOff>
      <xdr:row>1019</xdr:row>
      <xdr:rowOff>146050</xdr:rowOff>
    </xdr:from>
    <xdr:to>
      <xdr:col>9</xdr:col>
      <xdr:colOff>254000</xdr:colOff>
      <xdr:row>1045</xdr:row>
      <xdr:rowOff>146050</xdr:rowOff>
    </xdr:to>
    <xdr:graphicFrame macro="">
      <xdr:nvGraphicFramePr>
        <xdr:cNvPr id="103" name="GrafDemo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0</xdr:colOff>
      <xdr:row>1047</xdr:row>
      <xdr:rowOff>146050</xdr:rowOff>
    </xdr:from>
    <xdr:to>
      <xdr:col>11</xdr:col>
      <xdr:colOff>165100</xdr:colOff>
      <xdr:row>1058</xdr:row>
      <xdr:rowOff>107950</xdr:rowOff>
    </xdr:to>
    <xdr:graphicFrame macro="">
      <xdr:nvGraphicFramePr>
        <xdr:cNvPr id="104" name="GrafDemo_Bis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oneCellAnchor>
    <xdr:from>
      <xdr:col>1</xdr:col>
      <xdr:colOff>381647</xdr:colOff>
      <xdr:row>1057</xdr:row>
      <xdr:rowOff>107950</xdr:rowOff>
    </xdr:from>
    <xdr:ext cx="1270000" cy="264560"/>
    <xdr:sp macro="" textlink="">
      <xdr:nvSpPr>
        <xdr:cNvPr id="105" name="CuadroTexto 104"/>
        <xdr:cNvSpPr txBox="1"/>
      </xdr:nvSpPr>
      <xdr:spPr>
        <a:xfrm>
          <a:off x="1143647" y="207276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(5)</a:t>
          </a:r>
        </a:p>
      </xdr:txBody>
    </xdr:sp>
    <xdr:clientData/>
  </xdr:oneCellAnchor>
  <xdr:oneCellAnchor>
    <xdr:from>
      <xdr:col>3</xdr:col>
      <xdr:colOff>734072</xdr:colOff>
      <xdr:row>1057</xdr:row>
      <xdr:rowOff>107950</xdr:rowOff>
    </xdr:from>
    <xdr:ext cx="1270000" cy="264560"/>
    <xdr:sp macro="" textlink="">
      <xdr:nvSpPr>
        <xdr:cNvPr id="106" name="CuadroTexto 105"/>
        <xdr:cNvSpPr txBox="1"/>
      </xdr:nvSpPr>
      <xdr:spPr>
        <a:xfrm>
          <a:off x="3020072" y="207276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(2) (2)</a:t>
          </a:r>
        </a:p>
      </xdr:txBody>
    </xdr:sp>
    <xdr:clientData/>
  </xdr:oneCellAnchor>
  <xdr:oneCellAnchor>
    <xdr:from>
      <xdr:col>6</xdr:col>
      <xdr:colOff>324497</xdr:colOff>
      <xdr:row>1057</xdr:row>
      <xdr:rowOff>107950</xdr:rowOff>
    </xdr:from>
    <xdr:ext cx="1270000" cy="264560"/>
    <xdr:sp macro="" textlink="">
      <xdr:nvSpPr>
        <xdr:cNvPr id="107" name="CuadroTexto 106"/>
        <xdr:cNvSpPr txBox="1"/>
      </xdr:nvSpPr>
      <xdr:spPr>
        <a:xfrm>
          <a:off x="4896497" y="207276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(4) (4)</a:t>
          </a:r>
        </a:p>
      </xdr:txBody>
    </xdr:sp>
    <xdr:clientData/>
  </xdr:oneCellAnchor>
  <xdr:oneCellAnchor>
    <xdr:from>
      <xdr:col>8</xdr:col>
      <xdr:colOff>676922</xdr:colOff>
      <xdr:row>1057</xdr:row>
      <xdr:rowOff>107950</xdr:rowOff>
    </xdr:from>
    <xdr:ext cx="1270000" cy="264560"/>
    <xdr:sp macro="" textlink="">
      <xdr:nvSpPr>
        <xdr:cNvPr id="108" name="CuadroTexto 107"/>
        <xdr:cNvSpPr txBox="1"/>
      </xdr:nvSpPr>
      <xdr:spPr>
        <a:xfrm>
          <a:off x="6772922" y="207276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(11)</a:t>
          </a:r>
        </a:p>
      </xdr:txBody>
    </xdr:sp>
    <xdr:clientData/>
  </xdr:oneCellAnchor>
  <xdr:twoCellAnchor>
    <xdr:from>
      <xdr:col>1</xdr:col>
      <xdr:colOff>0</xdr:colOff>
      <xdr:row>1079</xdr:row>
      <xdr:rowOff>92075</xdr:rowOff>
    </xdr:from>
    <xdr:to>
      <xdr:col>9</xdr:col>
      <xdr:colOff>254000</xdr:colOff>
      <xdr:row>1105</xdr:row>
      <xdr:rowOff>92075</xdr:rowOff>
    </xdr:to>
    <xdr:graphicFrame macro="">
      <xdr:nvGraphicFramePr>
        <xdr:cNvPr id="109" name="GrafDemo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</xdr:col>
      <xdr:colOff>0</xdr:colOff>
      <xdr:row>1107</xdr:row>
      <xdr:rowOff>92075</xdr:rowOff>
    </xdr:from>
    <xdr:to>
      <xdr:col>11</xdr:col>
      <xdr:colOff>165100</xdr:colOff>
      <xdr:row>1118</xdr:row>
      <xdr:rowOff>53975</xdr:rowOff>
    </xdr:to>
    <xdr:graphicFrame macro="">
      <xdr:nvGraphicFramePr>
        <xdr:cNvPr id="110" name="GrafDemo_Bis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oneCellAnchor>
    <xdr:from>
      <xdr:col>1</xdr:col>
      <xdr:colOff>563896</xdr:colOff>
      <xdr:row>1117</xdr:row>
      <xdr:rowOff>53975</xdr:rowOff>
    </xdr:from>
    <xdr:ext cx="1270000" cy="264560"/>
    <xdr:sp macro="" textlink="">
      <xdr:nvSpPr>
        <xdr:cNvPr id="111" name="CuadroTexto 110"/>
        <xdr:cNvSpPr txBox="1"/>
      </xdr:nvSpPr>
      <xdr:spPr>
        <a:xfrm>
          <a:off x="1325896" y="218795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(8)</a:t>
          </a:r>
        </a:p>
      </xdr:txBody>
    </xdr:sp>
    <xdr:clientData/>
  </xdr:oneCellAnchor>
  <xdr:oneCellAnchor>
    <xdr:from>
      <xdr:col>5</xdr:col>
      <xdr:colOff>17796</xdr:colOff>
      <xdr:row>1117</xdr:row>
      <xdr:rowOff>53975</xdr:rowOff>
    </xdr:from>
    <xdr:ext cx="1270000" cy="264560"/>
    <xdr:sp macro="" textlink="">
      <xdr:nvSpPr>
        <xdr:cNvPr id="112" name="CuadroTexto 111"/>
        <xdr:cNvSpPr txBox="1"/>
      </xdr:nvSpPr>
      <xdr:spPr>
        <a:xfrm>
          <a:off x="3827796" y="218795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(71) (139)</a:t>
          </a:r>
        </a:p>
      </xdr:txBody>
    </xdr:sp>
    <xdr:clientData/>
  </xdr:oneCellAnchor>
  <xdr:oneCellAnchor>
    <xdr:from>
      <xdr:col>8</xdr:col>
      <xdr:colOff>233696</xdr:colOff>
      <xdr:row>1117</xdr:row>
      <xdr:rowOff>53975</xdr:rowOff>
    </xdr:from>
    <xdr:ext cx="1270000" cy="264560"/>
    <xdr:sp macro="" textlink="">
      <xdr:nvSpPr>
        <xdr:cNvPr id="113" name="CuadroTexto 112"/>
        <xdr:cNvSpPr txBox="1"/>
      </xdr:nvSpPr>
      <xdr:spPr>
        <a:xfrm>
          <a:off x="6329696" y="218795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(7) (10)</a:t>
          </a:r>
        </a:p>
      </xdr:txBody>
    </xdr:sp>
    <xdr:clientData/>
  </xdr:oneCellAnchor>
  <xdr:twoCellAnchor>
    <xdr:from>
      <xdr:col>1</xdr:col>
      <xdr:colOff>0</xdr:colOff>
      <xdr:row>1139</xdr:row>
      <xdr:rowOff>50800</xdr:rowOff>
    </xdr:from>
    <xdr:to>
      <xdr:col>9</xdr:col>
      <xdr:colOff>254000</xdr:colOff>
      <xdr:row>1165</xdr:row>
      <xdr:rowOff>50800</xdr:rowOff>
    </xdr:to>
    <xdr:graphicFrame macro="">
      <xdr:nvGraphicFramePr>
        <xdr:cNvPr id="114" name="GrafDemo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</xdr:col>
      <xdr:colOff>0</xdr:colOff>
      <xdr:row>1167</xdr:row>
      <xdr:rowOff>50800</xdr:rowOff>
    </xdr:from>
    <xdr:to>
      <xdr:col>11</xdr:col>
      <xdr:colOff>165100</xdr:colOff>
      <xdr:row>1178</xdr:row>
      <xdr:rowOff>12700</xdr:rowOff>
    </xdr:to>
    <xdr:graphicFrame macro="">
      <xdr:nvGraphicFramePr>
        <xdr:cNvPr id="115" name="GrafDemo_Bis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oneCellAnchor>
    <xdr:from>
      <xdr:col>1</xdr:col>
      <xdr:colOff>199398</xdr:colOff>
      <xdr:row>1177</xdr:row>
      <xdr:rowOff>12700</xdr:rowOff>
    </xdr:from>
    <xdr:ext cx="1270000" cy="264560"/>
    <xdr:sp macro="" textlink="">
      <xdr:nvSpPr>
        <xdr:cNvPr id="116" name="CuadroTexto 115"/>
        <xdr:cNvSpPr txBox="1"/>
      </xdr:nvSpPr>
      <xdr:spPr>
        <a:xfrm>
          <a:off x="961398" y="230327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(8) (7)</a:t>
          </a:r>
        </a:p>
      </xdr:txBody>
    </xdr:sp>
    <xdr:clientData/>
  </xdr:oneCellAnchor>
  <xdr:oneCellAnchor>
    <xdr:from>
      <xdr:col>2</xdr:col>
      <xdr:colOff>688348</xdr:colOff>
      <xdr:row>1177</xdr:row>
      <xdr:rowOff>12700</xdr:rowOff>
    </xdr:from>
    <xdr:ext cx="1270000" cy="264560"/>
    <xdr:sp macro="" textlink="">
      <xdr:nvSpPr>
        <xdr:cNvPr id="117" name="CuadroTexto 116"/>
        <xdr:cNvSpPr txBox="1"/>
      </xdr:nvSpPr>
      <xdr:spPr>
        <a:xfrm>
          <a:off x="2212348" y="230327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(7) (5)</a:t>
          </a:r>
        </a:p>
      </xdr:txBody>
    </xdr:sp>
    <xdr:clientData/>
  </xdr:oneCellAnchor>
  <xdr:oneCellAnchor>
    <xdr:from>
      <xdr:col>4</xdr:col>
      <xdr:colOff>415298</xdr:colOff>
      <xdr:row>1177</xdr:row>
      <xdr:rowOff>12700</xdr:rowOff>
    </xdr:from>
    <xdr:ext cx="1270000" cy="264560"/>
    <xdr:sp macro="" textlink="">
      <xdr:nvSpPr>
        <xdr:cNvPr id="118" name="CuadroTexto 117"/>
        <xdr:cNvSpPr txBox="1"/>
      </xdr:nvSpPr>
      <xdr:spPr>
        <a:xfrm>
          <a:off x="3463298" y="230327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(7) (7)</a:t>
          </a:r>
        </a:p>
      </xdr:txBody>
    </xdr:sp>
    <xdr:clientData/>
  </xdr:oneCellAnchor>
  <xdr:oneCellAnchor>
    <xdr:from>
      <xdr:col>6</xdr:col>
      <xdr:colOff>142248</xdr:colOff>
      <xdr:row>1177</xdr:row>
      <xdr:rowOff>12700</xdr:rowOff>
    </xdr:from>
    <xdr:ext cx="1270000" cy="264560"/>
    <xdr:sp macro="" textlink="">
      <xdr:nvSpPr>
        <xdr:cNvPr id="119" name="CuadroTexto 118"/>
        <xdr:cNvSpPr txBox="1"/>
      </xdr:nvSpPr>
      <xdr:spPr>
        <a:xfrm>
          <a:off x="4714248" y="230327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(15) (14)</a:t>
          </a:r>
        </a:p>
      </xdr:txBody>
    </xdr:sp>
    <xdr:clientData/>
  </xdr:oneCellAnchor>
  <xdr:oneCellAnchor>
    <xdr:from>
      <xdr:col>7</xdr:col>
      <xdr:colOff>631198</xdr:colOff>
      <xdr:row>1177</xdr:row>
      <xdr:rowOff>12700</xdr:rowOff>
    </xdr:from>
    <xdr:ext cx="1270000" cy="264560"/>
    <xdr:sp macro="" textlink="">
      <xdr:nvSpPr>
        <xdr:cNvPr id="120" name="CuadroTexto 119"/>
        <xdr:cNvSpPr txBox="1"/>
      </xdr:nvSpPr>
      <xdr:spPr>
        <a:xfrm>
          <a:off x="5965198" y="230327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(7) (6)</a:t>
          </a:r>
        </a:p>
      </xdr:txBody>
    </xdr:sp>
    <xdr:clientData/>
  </xdr:oneCellAnchor>
  <xdr:oneCellAnchor>
    <xdr:from>
      <xdr:col>9</xdr:col>
      <xdr:colOff>358148</xdr:colOff>
      <xdr:row>1177</xdr:row>
      <xdr:rowOff>12700</xdr:rowOff>
    </xdr:from>
    <xdr:ext cx="1270000" cy="264560"/>
    <xdr:sp macro="" textlink="">
      <xdr:nvSpPr>
        <xdr:cNvPr id="121" name="CuadroTexto 120"/>
        <xdr:cNvSpPr txBox="1"/>
      </xdr:nvSpPr>
      <xdr:spPr>
        <a:xfrm>
          <a:off x="7216148" y="230327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(2) (2)</a:t>
          </a:r>
        </a:p>
      </xdr:txBody>
    </xdr:sp>
    <xdr:clientData/>
  </xdr:oneCellAnchor>
  <xdr:twoCellAnchor>
    <xdr:from>
      <xdr:col>1</xdr:col>
      <xdr:colOff>0</xdr:colOff>
      <xdr:row>1199</xdr:row>
      <xdr:rowOff>6350</xdr:rowOff>
    </xdr:from>
    <xdr:to>
      <xdr:col>9</xdr:col>
      <xdr:colOff>254000</xdr:colOff>
      <xdr:row>1225</xdr:row>
      <xdr:rowOff>6350</xdr:rowOff>
    </xdr:to>
    <xdr:graphicFrame macro="">
      <xdr:nvGraphicFramePr>
        <xdr:cNvPr id="122" name="GrafDemo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</xdr:col>
      <xdr:colOff>0</xdr:colOff>
      <xdr:row>1227</xdr:row>
      <xdr:rowOff>6350</xdr:rowOff>
    </xdr:from>
    <xdr:to>
      <xdr:col>11</xdr:col>
      <xdr:colOff>165100</xdr:colOff>
      <xdr:row>1237</xdr:row>
      <xdr:rowOff>158750</xdr:rowOff>
    </xdr:to>
    <xdr:graphicFrame macro="">
      <xdr:nvGraphicFramePr>
        <xdr:cNvPr id="123" name="GrafDemo_Bis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oneCellAnchor>
    <xdr:from>
      <xdr:col>3</xdr:col>
      <xdr:colOff>497888</xdr:colOff>
      <xdr:row>1236</xdr:row>
      <xdr:rowOff>158750</xdr:rowOff>
    </xdr:from>
    <xdr:ext cx="1270000" cy="264560"/>
    <xdr:sp macro="" textlink="">
      <xdr:nvSpPr>
        <xdr:cNvPr id="124" name="CuadroTexto 123"/>
        <xdr:cNvSpPr txBox="1"/>
      </xdr:nvSpPr>
      <xdr:spPr>
        <a:xfrm>
          <a:off x="2783888" y="241998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(4) (5)</a:t>
          </a:r>
        </a:p>
      </xdr:txBody>
    </xdr:sp>
    <xdr:clientData/>
  </xdr:oneCellAnchor>
  <xdr:twoCellAnchor>
    <xdr:from>
      <xdr:col>1</xdr:col>
      <xdr:colOff>0</xdr:colOff>
      <xdr:row>1258</xdr:row>
      <xdr:rowOff>149225</xdr:rowOff>
    </xdr:from>
    <xdr:to>
      <xdr:col>9</xdr:col>
      <xdr:colOff>254000</xdr:colOff>
      <xdr:row>1284</xdr:row>
      <xdr:rowOff>149225</xdr:rowOff>
    </xdr:to>
    <xdr:graphicFrame macro="">
      <xdr:nvGraphicFramePr>
        <xdr:cNvPr id="125" name="GrafDemo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</xdr:col>
      <xdr:colOff>0</xdr:colOff>
      <xdr:row>1286</xdr:row>
      <xdr:rowOff>149225</xdr:rowOff>
    </xdr:from>
    <xdr:to>
      <xdr:col>11</xdr:col>
      <xdr:colOff>165100</xdr:colOff>
      <xdr:row>1297</xdr:row>
      <xdr:rowOff>111125</xdr:rowOff>
    </xdr:to>
    <xdr:graphicFrame macro="">
      <xdr:nvGraphicFramePr>
        <xdr:cNvPr id="126" name="GrafDemo_Bis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oneCellAnchor>
    <xdr:from>
      <xdr:col>3</xdr:col>
      <xdr:colOff>497888</xdr:colOff>
      <xdr:row>1296</xdr:row>
      <xdr:rowOff>111125</xdr:rowOff>
    </xdr:from>
    <xdr:ext cx="1270000" cy="264560"/>
    <xdr:sp macro="" textlink="">
      <xdr:nvSpPr>
        <xdr:cNvPr id="127" name="CuadroTexto 126"/>
        <xdr:cNvSpPr txBox="1"/>
      </xdr:nvSpPr>
      <xdr:spPr>
        <a:xfrm>
          <a:off x="2783888" y="2538095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(4)</a:t>
          </a:r>
        </a:p>
      </xdr:txBody>
    </xdr:sp>
    <xdr:clientData/>
  </xdr:oneCellAnchor>
  <xdr:twoCellAnchor>
    <xdr:from>
      <xdr:col>1</xdr:col>
      <xdr:colOff>0</xdr:colOff>
      <xdr:row>1318</xdr:row>
      <xdr:rowOff>92075</xdr:rowOff>
    </xdr:from>
    <xdr:to>
      <xdr:col>9</xdr:col>
      <xdr:colOff>254000</xdr:colOff>
      <xdr:row>1344</xdr:row>
      <xdr:rowOff>92075</xdr:rowOff>
    </xdr:to>
    <xdr:graphicFrame macro="">
      <xdr:nvGraphicFramePr>
        <xdr:cNvPr id="128" name="GrafDemo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</xdr:col>
      <xdr:colOff>0</xdr:colOff>
      <xdr:row>1346</xdr:row>
      <xdr:rowOff>92075</xdr:rowOff>
    </xdr:from>
    <xdr:to>
      <xdr:col>11</xdr:col>
      <xdr:colOff>165100</xdr:colOff>
      <xdr:row>1357</xdr:row>
      <xdr:rowOff>53975</xdr:rowOff>
    </xdr:to>
    <xdr:graphicFrame macro="">
      <xdr:nvGraphicFramePr>
        <xdr:cNvPr id="129" name="GrafDemo_Bis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oneCellAnchor>
    <xdr:from>
      <xdr:col>3</xdr:col>
      <xdr:colOff>497888</xdr:colOff>
      <xdr:row>1356</xdr:row>
      <xdr:rowOff>53975</xdr:rowOff>
    </xdr:from>
    <xdr:ext cx="1270000" cy="264560"/>
    <xdr:sp macro="" textlink="">
      <xdr:nvSpPr>
        <xdr:cNvPr id="130" name="CuadroTexto 129"/>
        <xdr:cNvSpPr txBox="1"/>
      </xdr:nvSpPr>
      <xdr:spPr>
        <a:xfrm>
          <a:off x="2783888" y="265468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(9) (7)</a:t>
          </a:r>
        </a:p>
      </xdr:txBody>
    </xdr:sp>
    <xdr:clientData/>
  </xdr:oneCellAnchor>
  <xdr:twoCellAnchor>
    <xdr:from>
      <xdr:col>1</xdr:col>
      <xdr:colOff>0</xdr:colOff>
      <xdr:row>1378</xdr:row>
      <xdr:rowOff>44450</xdr:rowOff>
    </xdr:from>
    <xdr:to>
      <xdr:col>9</xdr:col>
      <xdr:colOff>254000</xdr:colOff>
      <xdr:row>1404</xdr:row>
      <xdr:rowOff>44450</xdr:rowOff>
    </xdr:to>
    <xdr:graphicFrame macro="">
      <xdr:nvGraphicFramePr>
        <xdr:cNvPr id="131" name="GrafDemo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1406</xdr:row>
      <xdr:rowOff>44450</xdr:rowOff>
    </xdr:from>
    <xdr:to>
      <xdr:col>11</xdr:col>
      <xdr:colOff>165100</xdr:colOff>
      <xdr:row>1417</xdr:row>
      <xdr:rowOff>6350</xdr:rowOff>
    </xdr:to>
    <xdr:graphicFrame macro="">
      <xdr:nvGraphicFramePr>
        <xdr:cNvPr id="132" name="GrafDemo_Bis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oneCellAnchor>
    <xdr:from>
      <xdr:col>3</xdr:col>
      <xdr:colOff>497888</xdr:colOff>
      <xdr:row>1416</xdr:row>
      <xdr:rowOff>6350</xdr:rowOff>
    </xdr:from>
    <xdr:ext cx="1270000" cy="264560"/>
    <xdr:sp macro="" textlink="">
      <xdr:nvSpPr>
        <xdr:cNvPr id="133" name="CuadroTexto 132"/>
        <xdr:cNvSpPr txBox="1"/>
      </xdr:nvSpPr>
      <xdr:spPr>
        <a:xfrm>
          <a:off x="2783888" y="276898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(12) (17)</a:t>
          </a:r>
        </a:p>
      </xdr:txBody>
    </xdr:sp>
    <xdr:clientData/>
  </xdr:oneCellAnchor>
  <xdr:twoCellAnchor>
    <xdr:from>
      <xdr:col>1</xdr:col>
      <xdr:colOff>0</xdr:colOff>
      <xdr:row>1438</xdr:row>
      <xdr:rowOff>0</xdr:rowOff>
    </xdr:from>
    <xdr:to>
      <xdr:col>9</xdr:col>
      <xdr:colOff>254000</xdr:colOff>
      <xdr:row>1464</xdr:row>
      <xdr:rowOff>0</xdr:rowOff>
    </xdr:to>
    <xdr:graphicFrame macro="">
      <xdr:nvGraphicFramePr>
        <xdr:cNvPr id="134" name="GrafDemo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</xdr:col>
      <xdr:colOff>0</xdr:colOff>
      <xdr:row>1466</xdr:row>
      <xdr:rowOff>0</xdr:rowOff>
    </xdr:from>
    <xdr:to>
      <xdr:col>11</xdr:col>
      <xdr:colOff>165100</xdr:colOff>
      <xdr:row>1476</xdr:row>
      <xdr:rowOff>152400</xdr:rowOff>
    </xdr:to>
    <xdr:graphicFrame macro="">
      <xdr:nvGraphicFramePr>
        <xdr:cNvPr id="135" name="GrafDemo_Bis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oneCellAnchor>
    <xdr:from>
      <xdr:col>3</xdr:col>
      <xdr:colOff>497888</xdr:colOff>
      <xdr:row>1475</xdr:row>
      <xdr:rowOff>152400</xdr:rowOff>
    </xdr:from>
    <xdr:ext cx="1270000" cy="264560"/>
    <xdr:sp macro="" textlink="">
      <xdr:nvSpPr>
        <xdr:cNvPr id="136" name="CuadroTexto 135"/>
        <xdr:cNvSpPr txBox="1"/>
      </xdr:nvSpPr>
      <xdr:spPr>
        <a:xfrm>
          <a:off x="2783888" y="2885694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(5)</a:t>
          </a:r>
        </a:p>
      </xdr:txBody>
    </xdr:sp>
    <xdr:clientData/>
  </xdr:oneCellAnchor>
  <xdr:twoCellAnchor>
    <xdr:from>
      <xdr:col>1</xdr:col>
      <xdr:colOff>0</xdr:colOff>
      <xdr:row>1497</xdr:row>
      <xdr:rowOff>146050</xdr:rowOff>
    </xdr:from>
    <xdr:to>
      <xdr:col>9</xdr:col>
      <xdr:colOff>254000</xdr:colOff>
      <xdr:row>1523</xdr:row>
      <xdr:rowOff>146050</xdr:rowOff>
    </xdr:to>
    <xdr:graphicFrame macro="">
      <xdr:nvGraphicFramePr>
        <xdr:cNvPr id="137" name="GrafDemo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</xdr:col>
      <xdr:colOff>0</xdr:colOff>
      <xdr:row>1525</xdr:row>
      <xdr:rowOff>146050</xdr:rowOff>
    </xdr:from>
    <xdr:to>
      <xdr:col>11</xdr:col>
      <xdr:colOff>165100</xdr:colOff>
      <xdr:row>1536</xdr:row>
      <xdr:rowOff>107950</xdr:rowOff>
    </xdr:to>
    <xdr:graphicFrame macro="">
      <xdr:nvGraphicFramePr>
        <xdr:cNvPr id="138" name="GrafDemo_Bis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oneCellAnchor>
    <xdr:from>
      <xdr:col>3</xdr:col>
      <xdr:colOff>497888</xdr:colOff>
      <xdr:row>1535</xdr:row>
      <xdr:rowOff>107950</xdr:rowOff>
    </xdr:from>
    <xdr:ext cx="1270000" cy="264560"/>
    <xdr:sp macro="" textlink="">
      <xdr:nvSpPr>
        <xdr:cNvPr id="139" name="CuadroTexto 138"/>
        <xdr:cNvSpPr txBox="1"/>
      </xdr:nvSpPr>
      <xdr:spPr>
        <a:xfrm>
          <a:off x="2783888" y="30024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(1) (2)</a:t>
          </a:r>
        </a:p>
      </xdr:txBody>
    </xdr:sp>
    <xdr:clientData/>
  </xdr:oneCellAnchor>
  <xdr:twoCellAnchor>
    <xdr:from>
      <xdr:col>1</xdr:col>
      <xdr:colOff>0</xdr:colOff>
      <xdr:row>1557</xdr:row>
      <xdr:rowOff>98425</xdr:rowOff>
    </xdr:from>
    <xdr:to>
      <xdr:col>9</xdr:col>
      <xdr:colOff>254000</xdr:colOff>
      <xdr:row>1583</xdr:row>
      <xdr:rowOff>98425</xdr:rowOff>
    </xdr:to>
    <xdr:graphicFrame macro="">
      <xdr:nvGraphicFramePr>
        <xdr:cNvPr id="140" name="GrafDemo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</xdr:col>
      <xdr:colOff>0</xdr:colOff>
      <xdr:row>1585</xdr:row>
      <xdr:rowOff>98425</xdr:rowOff>
    </xdr:from>
    <xdr:to>
      <xdr:col>11</xdr:col>
      <xdr:colOff>165100</xdr:colOff>
      <xdr:row>1596</xdr:row>
      <xdr:rowOff>60325</xdr:rowOff>
    </xdr:to>
    <xdr:graphicFrame macro="">
      <xdr:nvGraphicFramePr>
        <xdr:cNvPr id="141" name="GrafDemo_Bis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oneCellAnchor>
    <xdr:from>
      <xdr:col>1</xdr:col>
      <xdr:colOff>199398</xdr:colOff>
      <xdr:row>1595</xdr:row>
      <xdr:rowOff>60325</xdr:rowOff>
    </xdr:from>
    <xdr:ext cx="1270000" cy="264560"/>
    <xdr:sp macro="" textlink="">
      <xdr:nvSpPr>
        <xdr:cNvPr id="142" name="CuadroTexto 141"/>
        <xdr:cNvSpPr txBox="1"/>
      </xdr:nvSpPr>
      <xdr:spPr>
        <a:xfrm>
          <a:off x="961398" y="31167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(4)</a:t>
          </a:r>
        </a:p>
      </xdr:txBody>
    </xdr:sp>
    <xdr:clientData/>
  </xdr:oneCellAnchor>
  <xdr:oneCellAnchor>
    <xdr:from>
      <xdr:col>2</xdr:col>
      <xdr:colOff>688348</xdr:colOff>
      <xdr:row>1595</xdr:row>
      <xdr:rowOff>60325</xdr:rowOff>
    </xdr:from>
    <xdr:ext cx="1270000" cy="264560"/>
    <xdr:sp macro="" textlink="">
      <xdr:nvSpPr>
        <xdr:cNvPr id="143" name="CuadroTexto 142"/>
        <xdr:cNvSpPr txBox="1"/>
      </xdr:nvSpPr>
      <xdr:spPr>
        <a:xfrm>
          <a:off x="2212348" y="31167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(8)</a:t>
          </a:r>
        </a:p>
      </xdr:txBody>
    </xdr:sp>
    <xdr:clientData/>
  </xdr:oneCellAnchor>
  <xdr:oneCellAnchor>
    <xdr:from>
      <xdr:col>4</xdr:col>
      <xdr:colOff>415298</xdr:colOff>
      <xdr:row>1595</xdr:row>
      <xdr:rowOff>60325</xdr:rowOff>
    </xdr:from>
    <xdr:ext cx="1270000" cy="264560"/>
    <xdr:sp macro="" textlink="">
      <xdr:nvSpPr>
        <xdr:cNvPr id="144" name="CuadroTexto 143"/>
        <xdr:cNvSpPr txBox="1"/>
      </xdr:nvSpPr>
      <xdr:spPr>
        <a:xfrm>
          <a:off x="3463298" y="31167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(11)</a:t>
          </a:r>
        </a:p>
      </xdr:txBody>
    </xdr:sp>
    <xdr:clientData/>
  </xdr:oneCellAnchor>
  <xdr:oneCellAnchor>
    <xdr:from>
      <xdr:col>6</xdr:col>
      <xdr:colOff>142248</xdr:colOff>
      <xdr:row>1595</xdr:row>
      <xdr:rowOff>60325</xdr:rowOff>
    </xdr:from>
    <xdr:ext cx="1270000" cy="264560"/>
    <xdr:sp macro="" textlink="">
      <xdr:nvSpPr>
        <xdr:cNvPr id="145" name="CuadroTexto 144"/>
        <xdr:cNvSpPr txBox="1"/>
      </xdr:nvSpPr>
      <xdr:spPr>
        <a:xfrm>
          <a:off x="4714248" y="31167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(15) (17)</a:t>
          </a:r>
        </a:p>
      </xdr:txBody>
    </xdr:sp>
    <xdr:clientData/>
  </xdr:oneCellAnchor>
  <xdr:oneCellAnchor>
    <xdr:from>
      <xdr:col>7</xdr:col>
      <xdr:colOff>631198</xdr:colOff>
      <xdr:row>1595</xdr:row>
      <xdr:rowOff>60325</xdr:rowOff>
    </xdr:from>
    <xdr:ext cx="1270000" cy="264560"/>
    <xdr:sp macro="" textlink="">
      <xdr:nvSpPr>
        <xdr:cNvPr id="146" name="CuadroTexto 145"/>
        <xdr:cNvSpPr txBox="1"/>
      </xdr:nvSpPr>
      <xdr:spPr>
        <a:xfrm>
          <a:off x="5965198" y="31167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(1)</a:t>
          </a:r>
        </a:p>
      </xdr:txBody>
    </xdr:sp>
    <xdr:clientData/>
  </xdr:oneCellAnchor>
  <xdr:oneCellAnchor>
    <xdr:from>
      <xdr:col>9</xdr:col>
      <xdr:colOff>358148</xdr:colOff>
      <xdr:row>1595</xdr:row>
      <xdr:rowOff>60325</xdr:rowOff>
    </xdr:from>
    <xdr:ext cx="1270000" cy="264560"/>
    <xdr:sp macro="" textlink="">
      <xdr:nvSpPr>
        <xdr:cNvPr id="147" name="CuadroTexto 146"/>
        <xdr:cNvSpPr txBox="1"/>
      </xdr:nvSpPr>
      <xdr:spPr>
        <a:xfrm>
          <a:off x="7216148" y="311670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(9) (9)</a:t>
          </a:r>
        </a:p>
      </xdr:txBody>
    </xdr:sp>
    <xdr:clientData/>
  </xdr:oneCellAnchor>
  <xdr:twoCellAnchor>
    <xdr:from>
      <xdr:col>1</xdr:col>
      <xdr:colOff>0</xdr:colOff>
      <xdr:row>1617</xdr:row>
      <xdr:rowOff>41275</xdr:rowOff>
    </xdr:from>
    <xdr:to>
      <xdr:col>9</xdr:col>
      <xdr:colOff>254000</xdr:colOff>
      <xdr:row>1643</xdr:row>
      <xdr:rowOff>41275</xdr:rowOff>
    </xdr:to>
    <xdr:graphicFrame macro="">
      <xdr:nvGraphicFramePr>
        <xdr:cNvPr id="148" name="GrafDemo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</xdr:col>
      <xdr:colOff>0</xdr:colOff>
      <xdr:row>1645</xdr:row>
      <xdr:rowOff>41275</xdr:rowOff>
    </xdr:from>
    <xdr:to>
      <xdr:col>11</xdr:col>
      <xdr:colOff>165100</xdr:colOff>
      <xdr:row>1656</xdr:row>
      <xdr:rowOff>3175</xdr:rowOff>
    </xdr:to>
    <xdr:graphicFrame macro="">
      <xdr:nvGraphicFramePr>
        <xdr:cNvPr id="149" name="GrafDemo_Bis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oneCellAnchor>
    <xdr:from>
      <xdr:col>1</xdr:col>
      <xdr:colOff>272298</xdr:colOff>
      <xdr:row>1655</xdr:row>
      <xdr:rowOff>3175</xdr:rowOff>
    </xdr:from>
    <xdr:ext cx="1270000" cy="264560"/>
    <xdr:sp macro="" textlink="">
      <xdr:nvSpPr>
        <xdr:cNvPr id="150" name="CuadroTexto 149"/>
        <xdr:cNvSpPr txBox="1"/>
      </xdr:nvSpPr>
      <xdr:spPr>
        <a:xfrm>
          <a:off x="1034298" y="32332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(13) (30)</a:t>
          </a:r>
        </a:p>
      </xdr:txBody>
    </xdr:sp>
    <xdr:clientData/>
  </xdr:oneCellAnchor>
  <xdr:oneCellAnchor>
    <xdr:from>
      <xdr:col>3</xdr:col>
      <xdr:colOff>249438</xdr:colOff>
      <xdr:row>1655</xdr:row>
      <xdr:rowOff>3175</xdr:rowOff>
    </xdr:from>
    <xdr:ext cx="1270000" cy="264560"/>
    <xdr:sp macro="" textlink="">
      <xdr:nvSpPr>
        <xdr:cNvPr id="151" name="CuadroTexto 150"/>
        <xdr:cNvSpPr txBox="1"/>
      </xdr:nvSpPr>
      <xdr:spPr>
        <a:xfrm>
          <a:off x="2535438" y="32332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(15) (13)</a:t>
          </a:r>
        </a:p>
      </xdr:txBody>
    </xdr:sp>
    <xdr:clientData/>
  </xdr:oneCellAnchor>
  <xdr:oneCellAnchor>
    <xdr:from>
      <xdr:col>5</xdr:col>
      <xdr:colOff>226578</xdr:colOff>
      <xdr:row>1655</xdr:row>
      <xdr:rowOff>3175</xdr:rowOff>
    </xdr:from>
    <xdr:ext cx="1270000" cy="264560"/>
    <xdr:sp macro="" textlink="">
      <xdr:nvSpPr>
        <xdr:cNvPr id="152" name="CuadroTexto 151"/>
        <xdr:cNvSpPr txBox="1"/>
      </xdr:nvSpPr>
      <xdr:spPr>
        <a:xfrm>
          <a:off x="4036578" y="32332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(7) (8)</a:t>
          </a:r>
        </a:p>
      </xdr:txBody>
    </xdr:sp>
    <xdr:clientData/>
  </xdr:oneCellAnchor>
  <xdr:oneCellAnchor>
    <xdr:from>
      <xdr:col>7</xdr:col>
      <xdr:colOff>203718</xdr:colOff>
      <xdr:row>1655</xdr:row>
      <xdr:rowOff>3175</xdr:rowOff>
    </xdr:from>
    <xdr:ext cx="1270000" cy="264560"/>
    <xdr:sp macro="" textlink="">
      <xdr:nvSpPr>
        <xdr:cNvPr id="153" name="CuadroTexto 152"/>
        <xdr:cNvSpPr txBox="1"/>
      </xdr:nvSpPr>
      <xdr:spPr>
        <a:xfrm>
          <a:off x="5537718" y="32332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(2)</a:t>
          </a:r>
        </a:p>
      </xdr:txBody>
    </xdr:sp>
    <xdr:clientData/>
  </xdr:oneCellAnchor>
  <xdr:oneCellAnchor>
    <xdr:from>
      <xdr:col>9</xdr:col>
      <xdr:colOff>180858</xdr:colOff>
      <xdr:row>1655</xdr:row>
      <xdr:rowOff>3175</xdr:rowOff>
    </xdr:from>
    <xdr:ext cx="1270000" cy="264560"/>
    <xdr:sp macro="" textlink="">
      <xdr:nvSpPr>
        <xdr:cNvPr id="154" name="CuadroTexto 153"/>
        <xdr:cNvSpPr txBox="1"/>
      </xdr:nvSpPr>
      <xdr:spPr>
        <a:xfrm>
          <a:off x="7038858" y="32332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(8) (7)</a:t>
          </a:r>
        </a:p>
      </xdr:txBody>
    </xdr:sp>
    <xdr:clientData/>
  </xdr:oneCellAnchor>
  <xdr:twoCellAnchor>
    <xdr:from>
      <xdr:col>1</xdr:col>
      <xdr:colOff>0</xdr:colOff>
      <xdr:row>1677</xdr:row>
      <xdr:rowOff>3175</xdr:rowOff>
    </xdr:from>
    <xdr:to>
      <xdr:col>9</xdr:col>
      <xdr:colOff>254000</xdr:colOff>
      <xdr:row>1703</xdr:row>
      <xdr:rowOff>3175</xdr:rowOff>
    </xdr:to>
    <xdr:graphicFrame macro="">
      <xdr:nvGraphicFramePr>
        <xdr:cNvPr id="155" name="GrafDemo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</xdr:col>
      <xdr:colOff>0</xdr:colOff>
      <xdr:row>1705</xdr:row>
      <xdr:rowOff>3175</xdr:rowOff>
    </xdr:from>
    <xdr:to>
      <xdr:col>11</xdr:col>
      <xdr:colOff>165100</xdr:colOff>
      <xdr:row>1715</xdr:row>
      <xdr:rowOff>155575</xdr:rowOff>
    </xdr:to>
    <xdr:graphicFrame macro="">
      <xdr:nvGraphicFramePr>
        <xdr:cNvPr id="156" name="GrafDemo_Bis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oneCellAnchor>
    <xdr:from>
      <xdr:col>3</xdr:col>
      <xdr:colOff>497888</xdr:colOff>
      <xdr:row>1714</xdr:row>
      <xdr:rowOff>155575</xdr:rowOff>
    </xdr:from>
    <xdr:ext cx="1270000" cy="264560"/>
    <xdr:sp macro="" textlink="">
      <xdr:nvSpPr>
        <xdr:cNvPr id="157" name="CuadroTexto 156"/>
        <xdr:cNvSpPr txBox="1"/>
      </xdr:nvSpPr>
      <xdr:spPr>
        <a:xfrm>
          <a:off x="2783888" y="335292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(1) (2)</a:t>
          </a:r>
        </a:p>
      </xdr:txBody>
    </xdr:sp>
    <xdr:clientData/>
  </xdr:oneCellAnchor>
  <xdr:twoCellAnchor>
    <xdr:from>
      <xdr:col>1</xdr:col>
      <xdr:colOff>0</xdr:colOff>
      <xdr:row>1736</xdr:row>
      <xdr:rowOff>146050</xdr:rowOff>
    </xdr:from>
    <xdr:to>
      <xdr:col>9</xdr:col>
      <xdr:colOff>254000</xdr:colOff>
      <xdr:row>1762</xdr:row>
      <xdr:rowOff>146050</xdr:rowOff>
    </xdr:to>
    <xdr:graphicFrame macro="">
      <xdr:nvGraphicFramePr>
        <xdr:cNvPr id="158" name="GrafDemo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</xdr:col>
      <xdr:colOff>0</xdr:colOff>
      <xdr:row>1764</xdr:row>
      <xdr:rowOff>146050</xdr:rowOff>
    </xdr:from>
    <xdr:to>
      <xdr:col>11</xdr:col>
      <xdr:colOff>165100</xdr:colOff>
      <xdr:row>1775</xdr:row>
      <xdr:rowOff>107950</xdr:rowOff>
    </xdr:to>
    <xdr:graphicFrame macro="">
      <xdr:nvGraphicFramePr>
        <xdr:cNvPr id="159" name="GrafDemo_Bis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oneCellAnchor>
    <xdr:from>
      <xdr:col>1</xdr:col>
      <xdr:colOff>563896</xdr:colOff>
      <xdr:row>1774</xdr:row>
      <xdr:rowOff>107950</xdr:rowOff>
    </xdr:from>
    <xdr:ext cx="1270000" cy="264560"/>
    <xdr:sp macro="" textlink="">
      <xdr:nvSpPr>
        <xdr:cNvPr id="160" name="CuadroTexto 159"/>
        <xdr:cNvSpPr txBox="1"/>
      </xdr:nvSpPr>
      <xdr:spPr>
        <a:xfrm>
          <a:off x="1325896" y="346722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(5)</a:t>
          </a:r>
        </a:p>
      </xdr:txBody>
    </xdr:sp>
    <xdr:clientData/>
  </xdr:oneCellAnchor>
  <xdr:oneCellAnchor>
    <xdr:from>
      <xdr:col>5</xdr:col>
      <xdr:colOff>17796</xdr:colOff>
      <xdr:row>1774</xdr:row>
      <xdr:rowOff>107950</xdr:rowOff>
    </xdr:from>
    <xdr:ext cx="1270000" cy="264560"/>
    <xdr:sp macro="" textlink="">
      <xdr:nvSpPr>
        <xdr:cNvPr id="161" name="CuadroTexto 160"/>
        <xdr:cNvSpPr txBox="1"/>
      </xdr:nvSpPr>
      <xdr:spPr>
        <a:xfrm>
          <a:off x="3827796" y="346722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8</xdr:col>
      <xdr:colOff>233696</xdr:colOff>
      <xdr:row>1774</xdr:row>
      <xdr:rowOff>107950</xdr:rowOff>
    </xdr:from>
    <xdr:ext cx="1270000" cy="264560"/>
    <xdr:sp macro="" textlink="">
      <xdr:nvSpPr>
        <xdr:cNvPr id="162" name="CuadroTexto 161"/>
        <xdr:cNvSpPr txBox="1"/>
      </xdr:nvSpPr>
      <xdr:spPr>
        <a:xfrm>
          <a:off x="6329696" y="346722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(1)</a:t>
          </a:r>
        </a:p>
      </xdr:txBody>
    </xdr:sp>
    <xdr:clientData/>
  </xdr:oneCellAnchor>
  <xdr:twoCellAnchor>
    <xdr:from>
      <xdr:col>1</xdr:col>
      <xdr:colOff>0</xdr:colOff>
      <xdr:row>1796</xdr:row>
      <xdr:rowOff>98425</xdr:rowOff>
    </xdr:from>
    <xdr:to>
      <xdr:col>9</xdr:col>
      <xdr:colOff>254000</xdr:colOff>
      <xdr:row>1822</xdr:row>
      <xdr:rowOff>98425</xdr:rowOff>
    </xdr:to>
    <xdr:graphicFrame macro="">
      <xdr:nvGraphicFramePr>
        <xdr:cNvPr id="163" name="GrafDemo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</xdr:col>
      <xdr:colOff>0</xdr:colOff>
      <xdr:row>1824</xdr:row>
      <xdr:rowOff>98425</xdr:rowOff>
    </xdr:from>
    <xdr:to>
      <xdr:col>11</xdr:col>
      <xdr:colOff>165100</xdr:colOff>
      <xdr:row>1835</xdr:row>
      <xdr:rowOff>60325</xdr:rowOff>
    </xdr:to>
    <xdr:graphicFrame macro="">
      <xdr:nvGraphicFramePr>
        <xdr:cNvPr id="164" name="GrafDemo_Bis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oneCellAnchor>
    <xdr:from>
      <xdr:col>2</xdr:col>
      <xdr:colOff>166394</xdr:colOff>
      <xdr:row>1834</xdr:row>
      <xdr:rowOff>60325</xdr:rowOff>
    </xdr:from>
    <xdr:ext cx="1270000" cy="264560"/>
    <xdr:sp macro="" textlink="">
      <xdr:nvSpPr>
        <xdr:cNvPr id="165" name="CuadroTexto 164"/>
        <xdr:cNvSpPr txBox="1"/>
      </xdr:nvSpPr>
      <xdr:spPr>
        <a:xfrm>
          <a:off x="1690394" y="358533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(2) (2)</a:t>
          </a:r>
        </a:p>
      </xdr:txBody>
    </xdr:sp>
    <xdr:clientData/>
  </xdr:oneCellAnchor>
  <xdr:oneCellAnchor>
    <xdr:from>
      <xdr:col>7</xdr:col>
      <xdr:colOff>109244</xdr:colOff>
      <xdr:row>1834</xdr:row>
      <xdr:rowOff>60325</xdr:rowOff>
    </xdr:from>
    <xdr:ext cx="1270000" cy="264560"/>
    <xdr:sp macro="" textlink="">
      <xdr:nvSpPr>
        <xdr:cNvPr id="166" name="CuadroTexto 165"/>
        <xdr:cNvSpPr txBox="1"/>
      </xdr:nvSpPr>
      <xdr:spPr>
        <a:xfrm>
          <a:off x="5443244" y="358533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(4) (4)</a:t>
          </a:r>
        </a:p>
      </xdr:txBody>
    </xdr:sp>
    <xdr:clientData/>
  </xdr:oneCellAnchor>
  <xdr:twoCellAnchor>
    <xdr:from>
      <xdr:col>1</xdr:col>
      <xdr:colOff>0</xdr:colOff>
      <xdr:row>1856</xdr:row>
      <xdr:rowOff>41275</xdr:rowOff>
    </xdr:from>
    <xdr:to>
      <xdr:col>9</xdr:col>
      <xdr:colOff>254000</xdr:colOff>
      <xdr:row>1882</xdr:row>
      <xdr:rowOff>41275</xdr:rowOff>
    </xdr:to>
    <xdr:graphicFrame macro="">
      <xdr:nvGraphicFramePr>
        <xdr:cNvPr id="167" name="GrafDemo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</xdr:col>
      <xdr:colOff>0</xdr:colOff>
      <xdr:row>1884</xdr:row>
      <xdr:rowOff>41275</xdr:rowOff>
    </xdr:from>
    <xdr:to>
      <xdr:col>11</xdr:col>
      <xdr:colOff>165100</xdr:colOff>
      <xdr:row>1895</xdr:row>
      <xdr:rowOff>3175</xdr:rowOff>
    </xdr:to>
    <xdr:graphicFrame macro="">
      <xdr:nvGraphicFramePr>
        <xdr:cNvPr id="168" name="GrafDemo_Bis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oneCellAnchor>
    <xdr:from>
      <xdr:col>2</xdr:col>
      <xdr:colOff>166394</xdr:colOff>
      <xdr:row>1894</xdr:row>
      <xdr:rowOff>3175</xdr:rowOff>
    </xdr:from>
    <xdr:ext cx="1270000" cy="264560"/>
    <xdr:sp macro="" textlink="">
      <xdr:nvSpPr>
        <xdr:cNvPr id="169" name="CuadroTexto 168"/>
        <xdr:cNvSpPr txBox="1"/>
      </xdr:nvSpPr>
      <xdr:spPr>
        <a:xfrm>
          <a:off x="1690394" y="370192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(18) (19)</a:t>
          </a:r>
        </a:p>
      </xdr:txBody>
    </xdr:sp>
    <xdr:clientData/>
  </xdr:oneCellAnchor>
  <xdr:oneCellAnchor>
    <xdr:from>
      <xdr:col>7</xdr:col>
      <xdr:colOff>109244</xdr:colOff>
      <xdr:row>1894</xdr:row>
      <xdr:rowOff>3175</xdr:rowOff>
    </xdr:from>
    <xdr:ext cx="1270000" cy="264560"/>
    <xdr:sp macro="" textlink="">
      <xdr:nvSpPr>
        <xdr:cNvPr id="170" name="CuadroTexto 169"/>
        <xdr:cNvSpPr txBox="1"/>
      </xdr:nvSpPr>
      <xdr:spPr>
        <a:xfrm>
          <a:off x="5443244" y="370192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(19) (19)</a:t>
          </a:r>
        </a:p>
      </xdr:txBody>
    </xdr:sp>
    <xdr:clientData/>
  </xdr:oneCellAnchor>
  <xdr:twoCellAnchor>
    <xdr:from>
      <xdr:col>1</xdr:col>
      <xdr:colOff>0</xdr:colOff>
      <xdr:row>1915</xdr:row>
      <xdr:rowOff>184150</xdr:rowOff>
    </xdr:from>
    <xdr:to>
      <xdr:col>9</xdr:col>
      <xdr:colOff>254000</xdr:colOff>
      <xdr:row>1941</xdr:row>
      <xdr:rowOff>184150</xdr:rowOff>
    </xdr:to>
    <xdr:graphicFrame macro="">
      <xdr:nvGraphicFramePr>
        <xdr:cNvPr id="171" name="GrafDemo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</xdr:col>
      <xdr:colOff>0</xdr:colOff>
      <xdr:row>1943</xdr:row>
      <xdr:rowOff>184150</xdr:rowOff>
    </xdr:from>
    <xdr:to>
      <xdr:col>11</xdr:col>
      <xdr:colOff>165100</xdr:colOff>
      <xdr:row>1954</xdr:row>
      <xdr:rowOff>146050</xdr:rowOff>
    </xdr:to>
    <xdr:graphicFrame macro="">
      <xdr:nvGraphicFramePr>
        <xdr:cNvPr id="172" name="GrafDemo_Bis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oneCellAnchor>
    <xdr:from>
      <xdr:col>2</xdr:col>
      <xdr:colOff>166394</xdr:colOff>
      <xdr:row>1953</xdr:row>
      <xdr:rowOff>146050</xdr:rowOff>
    </xdr:from>
    <xdr:ext cx="1270000" cy="264560"/>
    <xdr:sp macro="" textlink="">
      <xdr:nvSpPr>
        <xdr:cNvPr id="173" name="CuadroTexto 172"/>
        <xdr:cNvSpPr txBox="1"/>
      </xdr:nvSpPr>
      <xdr:spPr>
        <a:xfrm>
          <a:off x="1690394" y="38200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(121)</a:t>
          </a:r>
        </a:p>
      </xdr:txBody>
    </xdr:sp>
    <xdr:clientData/>
  </xdr:oneCellAnchor>
  <xdr:oneCellAnchor>
    <xdr:from>
      <xdr:col>7</xdr:col>
      <xdr:colOff>109244</xdr:colOff>
      <xdr:row>1953</xdr:row>
      <xdr:rowOff>146050</xdr:rowOff>
    </xdr:from>
    <xdr:ext cx="1270000" cy="264560"/>
    <xdr:sp macro="" textlink="">
      <xdr:nvSpPr>
        <xdr:cNvPr id="174" name="CuadroTexto 173"/>
        <xdr:cNvSpPr txBox="1"/>
      </xdr:nvSpPr>
      <xdr:spPr>
        <a:xfrm>
          <a:off x="5443244" y="38200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(441) (425)</a:t>
          </a:r>
        </a:p>
      </xdr:txBody>
    </xdr:sp>
    <xdr:clientData/>
  </xdr:oneCellAnchor>
  <xdr:twoCellAnchor>
    <xdr:from>
      <xdr:col>1</xdr:col>
      <xdr:colOff>0</xdr:colOff>
      <xdr:row>1975</xdr:row>
      <xdr:rowOff>136525</xdr:rowOff>
    </xdr:from>
    <xdr:to>
      <xdr:col>9</xdr:col>
      <xdr:colOff>254000</xdr:colOff>
      <xdr:row>2001</xdr:row>
      <xdr:rowOff>136525</xdr:rowOff>
    </xdr:to>
    <xdr:graphicFrame macro="">
      <xdr:nvGraphicFramePr>
        <xdr:cNvPr id="175" name="GrafDemo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1</xdr:col>
      <xdr:colOff>0</xdr:colOff>
      <xdr:row>2003</xdr:row>
      <xdr:rowOff>136525</xdr:rowOff>
    </xdr:from>
    <xdr:to>
      <xdr:col>11</xdr:col>
      <xdr:colOff>165100</xdr:colOff>
      <xdr:row>2014</xdr:row>
      <xdr:rowOff>98425</xdr:rowOff>
    </xdr:to>
    <xdr:graphicFrame macro="">
      <xdr:nvGraphicFramePr>
        <xdr:cNvPr id="176" name="GrafDemo_Bis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oneCellAnchor>
    <xdr:from>
      <xdr:col>1</xdr:col>
      <xdr:colOff>272298</xdr:colOff>
      <xdr:row>2013</xdr:row>
      <xdr:rowOff>98425</xdr:rowOff>
    </xdr:from>
    <xdr:ext cx="1270000" cy="264560"/>
    <xdr:sp macro="" textlink="">
      <xdr:nvSpPr>
        <xdr:cNvPr id="177" name="CuadroTexto 176"/>
        <xdr:cNvSpPr txBox="1"/>
      </xdr:nvSpPr>
      <xdr:spPr>
        <a:xfrm>
          <a:off x="1034298" y="39343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(175) (138)</a:t>
          </a:r>
        </a:p>
      </xdr:txBody>
    </xdr:sp>
    <xdr:clientData/>
  </xdr:oneCellAnchor>
  <xdr:oneCellAnchor>
    <xdr:from>
      <xdr:col>3</xdr:col>
      <xdr:colOff>249438</xdr:colOff>
      <xdr:row>2013</xdr:row>
      <xdr:rowOff>98425</xdr:rowOff>
    </xdr:from>
    <xdr:ext cx="1270000" cy="264560"/>
    <xdr:sp macro="" textlink="">
      <xdr:nvSpPr>
        <xdr:cNvPr id="178" name="CuadroTexto 177"/>
        <xdr:cNvSpPr txBox="1"/>
      </xdr:nvSpPr>
      <xdr:spPr>
        <a:xfrm>
          <a:off x="2535438" y="39343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(43)</a:t>
          </a:r>
        </a:p>
      </xdr:txBody>
    </xdr:sp>
    <xdr:clientData/>
  </xdr:oneCellAnchor>
  <xdr:oneCellAnchor>
    <xdr:from>
      <xdr:col>5</xdr:col>
      <xdr:colOff>226578</xdr:colOff>
      <xdr:row>2013</xdr:row>
      <xdr:rowOff>98425</xdr:rowOff>
    </xdr:from>
    <xdr:ext cx="1270000" cy="264560"/>
    <xdr:sp macro="" textlink="">
      <xdr:nvSpPr>
        <xdr:cNvPr id="179" name="CuadroTexto 178"/>
        <xdr:cNvSpPr txBox="1"/>
      </xdr:nvSpPr>
      <xdr:spPr>
        <a:xfrm>
          <a:off x="4036578" y="39343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(10)</a:t>
          </a:r>
        </a:p>
      </xdr:txBody>
    </xdr:sp>
    <xdr:clientData/>
  </xdr:oneCellAnchor>
  <xdr:oneCellAnchor>
    <xdr:from>
      <xdr:col>7</xdr:col>
      <xdr:colOff>203718</xdr:colOff>
      <xdr:row>2013</xdr:row>
      <xdr:rowOff>98425</xdr:rowOff>
    </xdr:from>
    <xdr:ext cx="1270000" cy="264560"/>
    <xdr:sp macro="" textlink="">
      <xdr:nvSpPr>
        <xdr:cNvPr id="180" name="CuadroTexto 179"/>
        <xdr:cNvSpPr txBox="1"/>
      </xdr:nvSpPr>
      <xdr:spPr>
        <a:xfrm>
          <a:off x="5537718" y="39343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(301) (266)</a:t>
          </a:r>
        </a:p>
      </xdr:txBody>
    </xdr:sp>
    <xdr:clientData/>
  </xdr:oneCellAnchor>
  <xdr:oneCellAnchor>
    <xdr:from>
      <xdr:col>9</xdr:col>
      <xdr:colOff>180858</xdr:colOff>
      <xdr:row>2013</xdr:row>
      <xdr:rowOff>98425</xdr:rowOff>
    </xdr:from>
    <xdr:ext cx="1270000" cy="264560"/>
    <xdr:sp macro="" textlink="">
      <xdr:nvSpPr>
        <xdr:cNvPr id="181" name="CuadroTexto 180"/>
        <xdr:cNvSpPr txBox="1"/>
      </xdr:nvSpPr>
      <xdr:spPr>
        <a:xfrm>
          <a:off x="7038858" y="393433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(46) (56)</a:t>
          </a:r>
        </a:p>
      </xdr:txBody>
    </xdr:sp>
    <xdr:clientData/>
  </xdr:oneCellAnchor>
  <xdr:twoCellAnchor>
    <xdr:from>
      <xdr:col>1</xdr:col>
      <xdr:colOff>0</xdr:colOff>
      <xdr:row>2036</xdr:row>
      <xdr:rowOff>158750</xdr:rowOff>
    </xdr:from>
    <xdr:to>
      <xdr:col>8</xdr:col>
      <xdr:colOff>596900</xdr:colOff>
      <xdr:row>2062</xdr:row>
      <xdr:rowOff>158750</xdr:rowOff>
    </xdr:to>
    <xdr:graphicFrame macro="">
      <xdr:nvGraphicFramePr>
        <xdr:cNvPr id="182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2.xml"/><Relationship Id="rId21" Type="http://schemas.openxmlformats.org/officeDocument/2006/relationships/ctrlProp" Target="../ctrlProps/ctrlProp26.xml"/><Relationship Id="rId42" Type="http://schemas.openxmlformats.org/officeDocument/2006/relationships/ctrlProp" Target="../ctrlProps/ctrlProp47.xml"/><Relationship Id="rId63" Type="http://schemas.openxmlformats.org/officeDocument/2006/relationships/ctrlProp" Target="../ctrlProps/ctrlProp68.xml"/><Relationship Id="rId84" Type="http://schemas.openxmlformats.org/officeDocument/2006/relationships/ctrlProp" Target="../ctrlProps/ctrlProp89.xml"/><Relationship Id="rId138" Type="http://schemas.openxmlformats.org/officeDocument/2006/relationships/ctrlProp" Target="../ctrlProps/ctrlProp143.xml"/><Relationship Id="rId107" Type="http://schemas.openxmlformats.org/officeDocument/2006/relationships/ctrlProp" Target="../ctrlProps/ctrlProp112.xml"/><Relationship Id="rId11" Type="http://schemas.openxmlformats.org/officeDocument/2006/relationships/ctrlProp" Target="../ctrlProps/ctrlProp16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53" Type="http://schemas.openxmlformats.org/officeDocument/2006/relationships/ctrlProp" Target="../ctrlProps/ctrlProp58.xml"/><Relationship Id="rId58" Type="http://schemas.openxmlformats.org/officeDocument/2006/relationships/ctrlProp" Target="../ctrlProps/ctrlProp63.xml"/><Relationship Id="rId74" Type="http://schemas.openxmlformats.org/officeDocument/2006/relationships/ctrlProp" Target="../ctrlProps/ctrlProp79.xml"/><Relationship Id="rId79" Type="http://schemas.openxmlformats.org/officeDocument/2006/relationships/ctrlProp" Target="../ctrlProps/ctrlProp84.xml"/><Relationship Id="rId102" Type="http://schemas.openxmlformats.org/officeDocument/2006/relationships/ctrlProp" Target="../ctrlProps/ctrlProp107.xml"/><Relationship Id="rId123" Type="http://schemas.openxmlformats.org/officeDocument/2006/relationships/ctrlProp" Target="../ctrlProps/ctrlProp128.xml"/><Relationship Id="rId128" Type="http://schemas.openxmlformats.org/officeDocument/2006/relationships/ctrlProp" Target="../ctrlProps/ctrlProp133.xml"/><Relationship Id="rId5" Type="http://schemas.openxmlformats.org/officeDocument/2006/relationships/ctrlProp" Target="../ctrlProps/ctrlProp10.xml"/><Relationship Id="rId90" Type="http://schemas.openxmlformats.org/officeDocument/2006/relationships/ctrlProp" Target="../ctrlProps/ctrlProp95.xml"/><Relationship Id="rId95" Type="http://schemas.openxmlformats.org/officeDocument/2006/relationships/ctrlProp" Target="../ctrlProps/ctrlProp100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43" Type="http://schemas.openxmlformats.org/officeDocument/2006/relationships/ctrlProp" Target="../ctrlProps/ctrlProp48.xml"/><Relationship Id="rId48" Type="http://schemas.openxmlformats.org/officeDocument/2006/relationships/ctrlProp" Target="../ctrlProps/ctrlProp53.xml"/><Relationship Id="rId64" Type="http://schemas.openxmlformats.org/officeDocument/2006/relationships/ctrlProp" Target="../ctrlProps/ctrlProp69.xml"/><Relationship Id="rId69" Type="http://schemas.openxmlformats.org/officeDocument/2006/relationships/ctrlProp" Target="../ctrlProps/ctrlProp74.xml"/><Relationship Id="rId113" Type="http://schemas.openxmlformats.org/officeDocument/2006/relationships/ctrlProp" Target="../ctrlProps/ctrlProp118.xml"/><Relationship Id="rId118" Type="http://schemas.openxmlformats.org/officeDocument/2006/relationships/ctrlProp" Target="../ctrlProps/ctrlProp123.xml"/><Relationship Id="rId134" Type="http://schemas.openxmlformats.org/officeDocument/2006/relationships/ctrlProp" Target="../ctrlProps/ctrlProp139.xml"/><Relationship Id="rId139" Type="http://schemas.openxmlformats.org/officeDocument/2006/relationships/ctrlProp" Target="../ctrlProps/ctrlProp144.xml"/><Relationship Id="rId80" Type="http://schemas.openxmlformats.org/officeDocument/2006/relationships/ctrlProp" Target="../ctrlProps/ctrlProp85.xml"/><Relationship Id="rId85" Type="http://schemas.openxmlformats.org/officeDocument/2006/relationships/ctrlProp" Target="../ctrlProps/ctrlProp90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Relationship Id="rId59" Type="http://schemas.openxmlformats.org/officeDocument/2006/relationships/ctrlProp" Target="../ctrlProps/ctrlProp64.xml"/><Relationship Id="rId103" Type="http://schemas.openxmlformats.org/officeDocument/2006/relationships/ctrlProp" Target="../ctrlProps/ctrlProp108.xml"/><Relationship Id="rId108" Type="http://schemas.openxmlformats.org/officeDocument/2006/relationships/ctrlProp" Target="../ctrlProps/ctrlProp113.xml"/><Relationship Id="rId124" Type="http://schemas.openxmlformats.org/officeDocument/2006/relationships/ctrlProp" Target="../ctrlProps/ctrlProp129.xml"/><Relationship Id="rId129" Type="http://schemas.openxmlformats.org/officeDocument/2006/relationships/ctrlProp" Target="../ctrlProps/ctrlProp134.xml"/><Relationship Id="rId54" Type="http://schemas.openxmlformats.org/officeDocument/2006/relationships/ctrlProp" Target="../ctrlProps/ctrlProp59.xml"/><Relationship Id="rId70" Type="http://schemas.openxmlformats.org/officeDocument/2006/relationships/ctrlProp" Target="../ctrlProps/ctrlProp75.xml"/><Relationship Id="rId75" Type="http://schemas.openxmlformats.org/officeDocument/2006/relationships/ctrlProp" Target="../ctrlProps/ctrlProp80.xml"/><Relationship Id="rId91" Type="http://schemas.openxmlformats.org/officeDocument/2006/relationships/ctrlProp" Target="../ctrlProps/ctrlProp96.xml"/><Relationship Id="rId96" Type="http://schemas.openxmlformats.org/officeDocument/2006/relationships/ctrlProp" Target="../ctrlProps/ctrlProp101.xml"/><Relationship Id="rId140" Type="http://schemas.openxmlformats.org/officeDocument/2006/relationships/ctrlProp" Target="../ctrlProps/ctrlProp145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1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49" Type="http://schemas.openxmlformats.org/officeDocument/2006/relationships/ctrlProp" Target="../ctrlProps/ctrlProp54.xml"/><Relationship Id="rId114" Type="http://schemas.openxmlformats.org/officeDocument/2006/relationships/ctrlProp" Target="../ctrlProps/ctrlProp119.xml"/><Relationship Id="rId119" Type="http://schemas.openxmlformats.org/officeDocument/2006/relationships/ctrlProp" Target="../ctrlProps/ctrlProp124.xml"/><Relationship Id="rId44" Type="http://schemas.openxmlformats.org/officeDocument/2006/relationships/ctrlProp" Target="../ctrlProps/ctrlProp49.xml"/><Relationship Id="rId60" Type="http://schemas.openxmlformats.org/officeDocument/2006/relationships/ctrlProp" Target="../ctrlProps/ctrlProp65.xml"/><Relationship Id="rId65" Type="http://schemas.openxmlformats.org/officeDocument/2006/relationships/ctrlProp" Target="../ctrlProps/ctrlProp70.xml"/><Relationship Id="rId81" Type="http://schemas.openxmlformats.org/officeDocument/2006/relationships/ctrlProp" Target="../ctrlProps/ctrlProp86.xml"/><Relationship Id="rId86" Type="http://schemas.openxmlformats.org/officeDocument/2006/relationships/ctrlProp" Target="../ctrlProps/ctrlProp91.xml"/><Relationship Id="rId130" Type="http://schemas.openxmlformats.org/officeDocument/2006/relationships/ctrlProp" Target="../ctrlProps/ctrlProp135.xml"/><Relationship Id="rId135" Type="http://schemas.openxmlformats.org/officeDocument/2006/relationships/ctrlProp" Target="../ctrlProps/ctrlProp140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9" Type="http://schemas.openxmlformats.org/officeDocument/2006/relationships/ctrlProp" Target="../ctrlProps/ctrlProp44.xml"/><Relationship Id="rId109" Type="http://schemas.openxmlformats.org/officeDocument/2006/relationships/ctrlProp" Target="../ctrlProps/ctrlProp114.xml"/><Relationship Id="rId34" Type="http://schemas.openxmlformats.org/officeDocument/2006/relationships/ctrlProp" Target="../ctrlProps/ctrlProp39.xml"/><Relationship Id="rId50" Type="http://schemas.openxmlformats.org/officeDocument/2006/relationships/ctrlProp" Target="../ctrlProps/ctrlProp55.xml"/><Relationship Id="rId55" Type="http://schemas.openxmlformats.org/officeDocument/2006/relationships/ctrlProp" Target="../ctrlProps/ctrlProp60.xml"/><Relationship Id="rId76" Type="http://schemas.openxmlformats.org/officeDocument/2006/relationships/ctrlProp" Target="../ctrlProps/ctrlProp81.xml"/><Relationship Id="rId97" Type="http://schemas.openxmlformats.org/officeDocument/2006/relationships/ctrlProp" Target="../ctrlProps/ctrlProp102.xml"/><Relationship Id="rId104" Type="http://schemas.openxmlformats.org/officeDocument/2006/relationships/ctrlProp" Target="../ctrlProps/ctrlProp109.xml"/><Relationship Id="rId120" Type="http://schemas.openxmlformats.org/officeDocument/2006/relationships/ctrlProp" Target="../ctrlProps/ctrlProp125.xml"/><Relationship Id="rId125" Type="http://schemas.openxmlformats.org/officeDocument/2006/relationships/ctrlProp" Target="../ctrlProps/ctrlProp130.xml"/><Relationship Id="rId141" Type="http://schemas.openxmlformats.org/officeDocument/2006/relationships/ctrlProp" Target="../ctrlProps/ctrlProp146.xml"/><Relationship Id="rId7" Type="http://schemas.openxmlformats.org/officeDocument/2006/relationships/ctrlProp" Target="../ctrlProps/ctrlProp12.xml"/><Relationship Id="rId71" Type="http://schemas.openxmlformats.org/officeDocument/2006/relationships/ctrlProp" Target="../ctrlProps/ctrlProp76.xml"/><Relationship Id="rId92" Type="http://schemas.openxmlformats.org/officeDocument/2006/relationships/ctrlProp" Target="../ctrlProps/ctrlProp97.xml"/><Relationship Id="rId2" Type="http://schemas.openxmlformats.org/officeDocument/2006/relationships/vmlDrawing" Target="../drawings/vmlDrawing4.vml"/><Relationship Id="rId29" Type="http://schemas.openxmlformats.org/officeDocument/2006/relationships/ctrlProp" Target="../ctrlProps/ctrlProp34.xml"/><Relationship Id="rId24" Type="http://schemas.openxmlformats.org/officeDocument/2006/relationships/ctrlProp" Target="../ctrlProps/ctrlProp29.xml"/><Relationship Id="rId40" Type="http://schemas.openxmlformats.org/officeDocument/2006/relationships/ctrlProp" Target="../ctrlProps/ctrlProp45.xml"/><Relationship Id="rId45" Type="http://schemas.openxmlformats.org/officeDocument/2006/relationships/ctrlProp" Target="../ctrlProps/ctrlProp50.xml"/><Relationship Id="rId66" Type="http://schemas.openxmlformats.org/officeDocument/2006/relationships/ctrlProp" Target="../ctrlProps/ctrlProp71.xml"/><Relationship Id="rId87" Type="http://schemas.openxmlformats.org/officeDocument/2006/relationships/ctrlProp" Target="../ctrlProps/ctrlProp92.xml"/><Relationship Id="rId110" Type="http://schemas.openxmlformats.org/officeDocument/2006/relationships/ctrlProp" Target="../ctrlProps/ctrlProp115.xml"/><Relationship Id="rId115" Type="http://schemas.openxmlformats.org/officeDocument/2006/relationships/ctrlProp" Target="../ctrlProps/ctrlProp120.xml"/><Relationship Id="rId131" Type="http://schemas.openxmlformats.org/officeDocument/2006/relationships/ctrlProp" Target="../ctrlProps/ctrlProp136.xml"/><Relationship Id="rId136" Type="http://schemas.openxmlformats.org/officeDocument/2006/relationships/ctrlProp" Target="../ctrlProps/ctrlProp141.xml"/><Relationship Id="rId61" Type="http://schemas.openxmlformats.org/officeDocument/2006/relationships/ctrlProp" Target="../ctrlProps/ctrlProp66.xml"/><Relationship Id="rId82" Type="http://schemas.openxmlformats.org/officeDocument/2006/relationships/ctrlProp" Target="../ctrlProps/ctrlProp87.xml"/><Relationship Id="rId19" Type="http://schemas.openxmlformats.org/officeDocument/2006/relationships/ctrlProp" Target="../ctrlProps/ctrlProp24.xml"/><Relationship Id="rId14" Type="http://schemas.openxmlformats.org/officeDocument/2006/relationships/ctrlProp" Target="../ctrlProps/ctrlProp19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56" Type="http://schemas.openxmlformats.org/officeDocument/2006/relationships/ctrlProp" Target="../ctrlProps/ctrlProp61.xml"/><Relationship Id="rId77" Type="http://schemas.openxmlformats.org/officeDocument/2006/relationships/ctrlProp" Target="../ctrlProps/ctrlProp82.xml"/><Relationship Id="rId100" Type="http://schemas.openxmlformats.org/officeDocument/2006/relationships/ctrlProp" Target="../ctrlProps/ctrlProp105.xml"/><Relationship Id="rId105" Type="http://schemas.openxmlformats.org/officeDocument/2006/relationships/ctrlProp" Target="../ctrlProps/ctrlProp110.xml"/><Relationship Id="rId126" Type="http://schemas.openxmlformats.org/officeDocument/2006/relationships/ctrlProp" Target="../ctrlProps/ctrlProp131.xml"/><Relationship Id="rId8" Type="http://schemas.openxmlformats.org/officeDocument/2006/relationships/ctrlProp" Target="../ctrlProps/ctrlProp13.xml"/><Relationship Id="rId51" Type="http://schemas.openxmlformats.org/officeDocument/2006/relationships/ctrlProp" Target="../ctrlProps/ctrlProp56.xml"/><Relationship Id="rId72" Type="http://schemas.openxmlformats.org/officeDocument/2006/relationships/ctrlProp" Target="../ctrlProps/ctrlProp77.xml"/><Relationship Id="rId93" Type="http://schemas.openxmlformats.org/officeDocument/2006/relationships/ctrlProp" Target="../ctrlProps/ctrlProp98.xml"/><Relationship Id="rId98" Type="http://schemas.openxmlformats.org/officeDocument/2006/relationships/ctrlProp" Target="../ctrlProps/ctrlProp103.xml"/><Relationship Id="rId121" Type="http://schemas.openxmlformats.org/officeDocument/2006/relationships/ctrlProp" Target="../ctrlProps/ctrlProp126.xml"/><Relationship Id="rId142" Type="http://schemas.openxmlformats.org/officeDocument/2006/relationships/ctrlProp" Target="../ctrlProps/ctrlProp147.xml"/><Relationship Id="rId3" Type="http://schemas.openxmlformats.org/officeDocument/2006/relationships/ctrlProp" Target="../ctrlProps/ctrlProp8.xml"/><Relationship Id="rId25" Type="http://schemas.openxmlformats.org/officeDocument/2006/relationships/ctrlProp" Target="../ctrlProps/ctrlProp30.xml"/><Relationship Id="rId46" Type="http://schemas.openxmlformats.org/officeDocument/2006/relationships/ctrlProp" Target="../ctrlProps/ctrlProp51.xml"/><Relationship Id="rId67" Type="http://schemas.openxmlformats.org/officeDocument/2006/relationships/ctrlProp" Target="../ctrlProps/ctrlProp72.xml"/><Relationship Id="rId116" Type="http://schemas.openxmlformats.org/officeDocument/2006/relationships/ctrlProp" Target="../ctrlProps/ctrlProp121.xml"/><Relationship Id="rId137" Type="http://schemas.openxmlformats.org/officeDocument/2006/relationships/ctrlProp" Target="../ctrlProps/ctrlProp142.xml"/><Relationship Id="rId20" Type="http://schemas.openxmlformats.org/officeDocument/2006/relationships/ctrlProp" Target="../ctrlProps/ctrlProp25.xml"/><Relationship Id="rId41" Type="http://schemas.openxmlformats.org/officeDocument/2006/relationships/ctrlProp" Target="../ctrlProps/ctrlProp46.xml"/><Relationship Id="rId62" Type="http://schemas.openxmlformats.org/officeDocument/2006/relationships/ctrlProp" Target="../ctrlProps/ctrlProp67.xml"/><Relationship Id="rId83" Type="http://schemas.openxmlformats.org/officeDocument/2006/relationships/ctrlProp" Target="../ctrlProps/ctrlProp88.xml"/><Relationship Id="rId88" Type="http://schemas.openxmlformats.org/officeDocument/2006/relationships/ctrlProp" Target="../ctrlProps/ctrlProp93.xml"/><Relationship Id="rId111" Type="http://schemas.openxmlformats.org/officeDocument/2006/relationships/ctrlProp" Target="../ctrlProps/ctrlProp116.xml"/><Relationship Id="rId132" Type="http://schemas.openxmlformats.org/officeDocument/2006/relationships/ctrlProp" Target="../ctrlProps/ctrlProp137.xml"/><Relationship Id="rId15" Type="http://schemas.openxmlformats.org/officeDocument/2006/relationships/ctrlProp" Target="../ctrlProps/ctrlProp20.xml"/><Relationship Id="rId36" Type="http://schemas.openxmlformats.org/officeDocument/2006/relationships/ctrlProp" Target="../ctrlProps/ctrlProp41.xml"/><Relationship Id="rId57" Type="http://schemas.openxmlformats.org/officeDocument/2006/relationships/ctrlProp" Target="../ctrlProps/ctrlProp62.xml"/><Relationship Id="rId106" Type="http://schemas.openxmlformats.org/officeDocument/2006/relationships/ctrlProp" Target="../ctrlProps/ctrlProp111.xml"/><Relationship Id="rId127" Type="http://schemas.openxmlformats.org/officeDocument/2006/relationships/ctrlProp" Target="../ctrlProps/ctrlProp132.xml"/><Relationship Id="rId10" Type="http://schemas.openxmlformats.org/officeDocument/2006/relationships/ctrlProp" Target="../ctrlProps/ctrlProp15.xml"/><Relationship Id="rId31" Type="http://schemas.openxmlformats.org/officeDocument/2006/relationships/ctrlProp" Target="../ctrlProps/ctrlProp36.xml"/><Relationship Id="rId52" Type="http://schemas.openxmlformats.org/officeDocument/2006/relationships/ctrlProp" Target="../ctrlProps/ctrlProp57.xml"/><Relationship Id="rId73" Type="http://schemas.openxmlformats.org/officeDocument/2006/relationships/ctrlProp" Target="../ctrlProps/ctrlProp78.xml"/><Relationship Id="rId78" Type="http://schemas.openxmlformats.org/officeDocument/2006/relationships/ctrlProp" Target="../ctrlProps/ctrlProp83.xml"/><Relationship Id="rId94" Type="http://schemas.openxmlformats.org/officeDocument/2006/relationships/ctrlProp" Target="../ctrlProps/ctrlProp99.xml"/><Relationship Id="rId99" Type="http://schemas.openxmlformats.org/officeDocument/2006/relationships/ctrlProp" Target="../ctrlProps/ctrlProp104.xml"/><Relationship Id="rId101" Type="http://schemas.openxmlformats.org/officeDocument/2006/relationships/ctrlProp" Target="../ctrlProps/ctrlProp106.xml"/><Relationship Id="rId122" Type="http://schemas.openxmlformats.org/officeDocument/2006/relationships/ctrlProp" Target="../ctrlProps/ctrlProp127.xml"/><Relationship Id="rId143" Type="http://schemas.openxmlformats.org/officeDocument/2006/relationships/ctrlProp" Target="../ctrlProps/ctrlProp148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26" Type="http://schemas.openxmlformats.org/officeDocument/2006/relationships/ctrlProp" Target="../ctrlProps/ctrlProp31.xml"/><Relationship Id="rId47" Type="http://schemas.openxmlformats.org/officeDocument/2006/relationships/ctrlProp" Target="../ctrlProps/ctrlProp52.xml"/><Relationship Id="rId68" Type="http://schemas.openxmlformats.org/officeDocument/2006/relationships/ctrlProp" Target="../ctrlProps/ctrlProp73.xml"/><Relationship Id="rId89" Type="http://schemas.openxmlformats.org/officeDocument/2006/relationships/ctrlProp" Target="../ctrlProps/ctrlProp94.xml"/><Relationship Id="rId112" Type="http://schemas.openxmlformats.org/officeDocument/2006/relationships/ctrlProp" Target="../ctrlProps/ctrlProp117.xml"/><Relationship Id="rId133" Type="http://schemas.openxmlformats.org/officeDocument/2006/relationships/ctrlProp" Target="../ctrlProps/ctrlProp138.xml"/><Relationship Id="rId16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62" t="s">
        <v>6</v>
      </c>
      <c r="G2" s="162"/>
      <c r="H2" s="162"/>
      <c r="J2" s="162" t="s">
        <v>7</v>
      </c>
      <c r="K2" s="162"/>
      <c r="L2" s="162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371</v>
      </c>
      <c r="J4" s="10" t="s">
        <v>161</v>
      </c>
      <c r="K4" s="10" t="s">
        <v>8</v>
      </c>
      <c r="L4" s="10" t="s">
        <v>370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18</v>
      </c>
      <c r="G6" s="6" t="s">
        <v>8</v>
      </c>
      <c r="H6" s="6" t="s">
        <v>308</v>
      </c>
      <c r="J6" s="6" t="s">
        <v>19</v>
      </c>
      <c r="K6" s="6" t="s">
        <v>8</v>
      </c>
      <c r="L6" s="6" t="s">
        <v>308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R22"/>
  <sheetViews>
    <sheetView topLeftCell="AJ1" zoomScaleNormal="100" workbookViewId="0">
      <selection activeCell="AM17" sqref="AM17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8" width="5" customWidth="1"/>
    <col min="9" max="9" width="0.7109375" customWidth="1"/>
    <col min="10" max="14" width="5" customWidth="1"/>
    <col min="15" max="15" width="0.7109375" customWidth="1"/>
    <col min="16" max="17" width="5" customWidth="1"/>
    <col min="18" max="18" width="0.7109375" customWidth="1"/>
    <col min="19" max="23" width="5" customWidth="1"/>
    <col min="24" max="24" width="0.7109375" customWidth="1"/>
    <col min="25" max="29" width="5" customWidth="1"/>
    <col min="30" max="30" width="0.7109375" customWidth="1"/>
    <col min="31" max="32" width="5" customWidth="1"/>
    <col min="33" max="33" width="0.7109375" customWidth="1"/>
    <col min="34" max="37" width="5" customWidth="1"/>
    <col min="38" max="38" width="0.7109375" customWidth="1"/>
    <col min="39" max="45" width="5.7109375" customWidth="1"/>
    <col min="46" max="46" width="0.7109375" customWidth="1"/>
    <col min="47" max="53" width="5.7109375" customWidth="1"/>
    <col min="54" max="54" width="0.7109375" customWidth="1"/>
    <col min="55" max="61" width="5.7109375" customWidth="1"/>
    <col min="62" max="62" width="0.7109375" customWidth="1"/>
    <col min="63" max="64" width="5.7109375" customWidth="1"/>
    <col min="65" max="65" width="0.7109375" customWidth="1"/>
    <col min="66" max="69" width="5.7109375" customWidth="1"/>
    <col min="70" max="70" width="0.7109375" customWidth="1"/>
    <col min="71" max="74" width="5.7109375" customWidth="1"/>
    <col min="75" max="75" width="0.7109375" customWidth="1"/>
    <col min="76" max="77" width="5.7109375" customWidth="1"/>
    <col min="78" max="78" width="0.7109375" customWidth="1"/>
    <col min="79" max="80" width="5.7109375" customWidth="1"/>
    <col min="81" max="81" width="0.7109375" customWidth="1"/>
    <col min="82" max="83" width="5.7109375" customWidth="1"/>
    <col min="84" max="84" width="0.7109375" customWidth="1"/>
    <col min="85" max="86" width="5.7109375" customWidth="1"/>
    <col min="87" max="87" width="0.7109375" customWidth="1"/>
    <col min="88" max="91" width="5.7109375" customWidth="1"/>
    <col min="92" max="92" width="0.7109375" customWidth="1"/>
    <col min="93" max="95" width="5.7109375" customWidth="1"/>
    <col min="96" max="96" width="0.7109375" customWidth="1"/>
    <col min="97" max="102" width="5.7109375" customWidth="1"/>
    <col min="103" max="103" width="0.7109375" customWidth="1"/>
    <col min="104" max="104" width="5.7109375" customWidth="1"/>
    <col min="105" max="105" width="0.7109375" customWidth="1"/>
    <col min="106" max="106" width="5.7109375" customWidth="1"/>
    <col min="107" max="107" width="0.7109375" customWidth="1"/>
    <col min="108" max="108" width="5.7109375" customWidth="1"/>
    <col min="109" max="109" width="0.7109375" customWidth="1"/>
    <col min="110" max="110" width="5.7109375" customWidth="1"/>
    <col min="111" max="111" width="0.7109375" customWidth="1"/>
    <col min="112" max="112" width="5.7109375" customWidth="1"/>
    <col min="113" max="113" width="0.7109375" customWidth="1"/>
    <col min="114" max="114" width="5.7109375" customWidth="1"/>
    <col min="115" max="115" width="0.7109375" customWidth="1"/>
    <col min="116" max="121" width="5.7109375" customWidth="1"/>
    <col min="122" max="122" width="0.7109375" customWidth="1"/>
    <col min="123" max="127" width="5.7109375" customWidth="1"/>
    <col min="128" max="128" width="0.7109375" customWidth="1"/>
    <col min="129" max="129" width="5.7109375" customWidth="1"/>
    <col min="130" max="130" width="0.7109375" customWidth="1"/>
    <col min="131" max="133" width="5.7109375" customWidth="1"/>
    <col min="134" max="134" width="0.7109375" customWidth="1"/>
    <col min="135" max="136" width="5.7109375" customWidth="1"/>
    <col min="137" max="137" width="0.7109375" customWidth="1"/>
    <col min="138" max="139" width="5.7109375" customWidth="1"/>
    <col min="140" max="140" width="0.7109375" customWidth="1"/>
    <col min="141" max="142" width="5.7109375" customWidth="1"/>
    <col min="143" max="143" width="0.7109375" customWidth="1"/>
    <col min="144" max="148" width="5" customWidth="1"/>
  </cols>
  <sheetData>
    <row r="1" spans="1:148" ht="112.5">
      <c r="A1" s="184" t="s">
        <v>163</v>
      </c>
      <c r="B1" s="184"/>
      <c r="C1" s="82"/>
      <c r="D1" s="172" t="s">
        <v>158</v>
      </c>
      <c r="E1" s="174"/>
      <c r="F1" s="174"/>
      <c r="G1" s="174"/>
      <c r="H1" s="173"/>
      <c r="I1" s="135"/>
      <c r="J1" s="172" t="s">
        <v>315</v>
      </c>
      <c r="K1" s="174"/>
      <c r="L1" s="174"/>
      <c r="M1" s="174"/>
      <c r="N1" s="173"/>
      <c r="O1" s="135"/>
      <c r="P1" s="172" t="s">
        <v>160</v>
      </c>
      <c r="Q1" s="173"/>
      <c r="R1" s="135"/>
      <c r="S1" s="172" t="s">
        <v>159</v>
      </c>
      <c r="T1" s="174"/>
      <c r="U1" s="174"/>
      <c r="V1" s="174"/>
      <c r="W1" s="173"/>
      <c r="X1" s="135"/>
      <c r="Y1" s="172" t="s">
        <v>316</v>
      </c>
      <c r="Z1" s="174"/>
      <c r="AA1" s="174"/>
      <c r="AB1" s="174"/>
      <c r="AC1" s="173"/>
      <c r="AD1" s="135"/>
      <c r="AE1" s="172" t="s">
        <v>317</v>
      </c>
      <c r="AF1" s="173"/>
      <c r="AG1" s="135"/>
      <c r="AH1" s="172" t="s">
        <v>318</v>
      </c>
      <c r="AI1" s="174"/>
      <c r="AJ1" s="174"/>
      <c r="AK1" s="173"/>
      <c r="AL1" s="135"/>
      <c r="AM1" s="177" t="s">
        <v>319</v>
      </c>
      <c r="AN1" s="178"/>
      <c r="AO1" s="178"/>
      <c r="AP1" s="178"/>
      <c r="AQ1" s="178"/>
      <c r="AR1" s="178"/>
      <c r="AS1" s="179"/>
      <c r="AT1" s="135"/>
      <c r="AU1" s="177" t="s">
        <v>320</v>
      </c>
      <c r="AV1" s="178"/>
      <c r="AW1" s="178"/>
      <c r="AX1" s="178"/>
      <c r="AY1" s="178"/>
      <c r="AZ1" s="178"/>
      <c r="BA1" s="179"/>
      <c r="BB1" s="135"/>
      <c r="BC1" s="177" t="s">
        <v>321</v>
      </c>
      <c r="BD1" s="178"/>
      <c r="BE1" s="178"/>
      <c r="BF1" s="178"/>
      <c r="BG1" s="178"/>
      <c r="BH1" s="178"/>
      <c r="BI1" s="179"/>
      <c r="BJ1" s="135"/>
      <c r="BK1" s="169" t="s">
        <v>322</v>
      </c>
      <c r="BL1" s="170"/>
      <c r="BM1" s="135"/>
      <c r="BN1" s="169" t="s">
        <v>323</v>
      </c>
      <c r="BO1" s="170"/>
      <c r="BP1" s="170"/>
      <c r="BQ1" s="170"/>
      <c r="BR1" s="135"/>
      <c r="BS1" s="169" t="s">
        <v>324</v>
      </c>
      <c r="BT1" s="170"/>
      <c r="BU1" s="170"/>
      <c r="BV1" s="170"/>
      <c r="BW1" s="135"/>
      <c r="BX1" s="169" t="s">
        <v>342</v>
      </c>
      <c r="BY1" s="170"/>
      <c r="BZ1" s="135"/>
      <c r="CA1" s="169" t="s">
        <v>343</v>
      </c>
      <c r="CB1" s="170"/>
      <c r="CC1" s="135"/>
      <c r="CD1" s="169" t="s">
        <v>344</v>
      </c>
      <c r="CE1" s="170"/>
      <c r="CF1" s="135"/>
      <c r="CG1" s="169" t="s">
        <v>345</v>
      </c>
      <c r="CH1" s="171"/>
      <c r="CI1" s="135"/>
      <c r="CJ1" s="169" t="s">
        <v>346</v>
      </c>
      <c r="CK1" s="170"/>
      <c r="CL1" s="170"/>
      <c r="CM1" s="171"/>
      <c r="CN1" s="135"/>
      <c r="CO1" s="169" t="s">
        <v>347</v>
      </c>
      <c r="CP1" s="170"/>
      <c r="CQ1" s="170"/>
      <c r="CR1" s="135"/>
      <c r="CS1" s="169" t="s">
        <v>348</v>
      </c>
      <c r="CT1" s="170"/>
      <c r="CU1" s="170"/>
      <c r="CV1" s="170"/>
      <c r="CW1" s="170"/>
      <c r="CX1" s="171"/>
      <c r="CY1" s="135"/>
      <c r="CZ1" s="150" t="s">
        <v>349</v>
      </c>
      <c r="DA1" s="135"/>
      <c r="DB1" s="150" t="s">
        <v>350</v>
      </c>
      <c r="DC1" s="135"/>
      <c r="DD1" s="150" t="s">
        <v>351</v>
      </c>
      <c r="DE1" s="135"/>
      <c r="DF1" s="150" t="s">
        <v>352</v>
      </c>
      <c r="DG1" s="135"/>
      <c r="DH1" s="150" t="s">
        <v>353</v>
      </c>
      <c r="DI1" s="135"/>
      <c r="DJ1" s="150" t="s">
        <v>354</v>
      </c>
      <c r="DK1" s="135"/>
      <c r="DL1" s="169" t="s">
        <v>355</v>
      </c>
      <c r="DM1" s="170"/>
      <c r="DN1" s="170"/>
      <c r="DO1" s="170"/>
      <c r="DP1" s="170"/>
      <c r="DQ1" s="171"/>
      <c r="DR1" s="135"/>
      <c r="DS1" s="169" t="s">
        <v>372</v>
      </c>
      <c r="DT1" s="170"/>
      <c r="DU1" s="170"/>
      <c r="DV1" s="170"/>
      <c r="DW1" s="171"/>
      <c r="DX1" s="135"/>
      <c r="DY1" s="150" t="s">
        <v>356</v>
      </c>
      <c r="DZ1" s="135"/>
      <c r="EA1" s="175" t="s">
        <v>357</v>
      </c>
      <c r="EB1" s="176"/>
      <c r="EC1" s="176"/>
      <c r="ED1" s="135"/>
      <c r="EE1" s="169" t="s">
        <v>358</v>
      </c>
      <c r="EF1" s="170"/>
      <c r="EG1" s="135"/>
      <c r="EH1" s="169" t="s">
        <v>359</v>
      </c>
      <c r="EI1" s="171"/>
      <c r="EJ1" s="135"/>
      <c r="EK1" s="172" t="s">
        <v>373</v>
      </c>
      <c r="EL1" s="173"/>
      <c r="EM1" s="135"/>
      <c r="EN1" s="172" t="s">
        <v>374</v>
      </c>
      <c r="EO1" s="174"/>
      <c r="EP1" s="174"/>
      <c r="EQ1" s="174"/>
      <c r="ER1" s="173"/>
    </row>
    <row r="2" spans="1:148" ht="127.5">
      <c r="A2" s="183" t="s">
        <v>325</v>
      </c>
      <c r="B2" s="183"/>
      <c r="C2" s="183"/>
      <c r="D2" s="136">
        <v>2016</v>
      </c>
      <c r="E2" s="137">
        <v>2015</v>
      </c>
      <c r="F2" s="138" t="s">
        <v>326</v>
      </c>
      <c r="G2" s="139" t="s">
        <v>327</v>
      </c>
      <c r="H2" s="140" t="s">
        <v>328</v>
      </c>
      <c r="I2" s="83"/>
      <c r="J2" s="84" t="s">
        <v>329</v>
      </c>
      <c r="K2" s="84" t="s">
        <v>330</v>
      </c>
      <c r="L2" s="84" t="s">
        <v>331</v>
      </c>
      <c r="M2" s="84" t="s">
        <v>332</v>
      </c>
      <c r="N2" s="84" t="s">
        <v>333</v>
      </c>
      <c r="O2" s="83"/>
      <c r="P2" s="84" t="s">
        <v>169</v>
      </c>
      <c r="Q2" s="84" t="s">
        <v>170</v>
      </c>
      <c r="R2" s="83"/>
      <c r="S2" s="84" t="s">
        <v>164</v>
      </c>
      <c r="T2" s="84" t="s">
        <v>165</v>
      </c>
      <c r="U2" s="84" t="s">
        <v>166</v>
      </c>
      <c r="V2" s="84" t="s">
        <v>167</v>
      </c>
      <c r="W2" s="84" t="s">
        <v>168</v>
      </c>
      <c r="X2" s="83"/>
      <c r="Y2" s="84" t="s">
        <v>334</v>
      </c>
      <c r="Z2" s="84" t="s">
        <v>335</v>
      </c>
      <c r="AA2" s="84" t="s">
        <v>336</v>
      </c>
      <c r="AB2" s="84" t="s">
        <v>337</v>
      </c>
      <c r="AC2" s="84" t="s">
        <v>338</v>
      </c>
      <c r="AD2" s="83"/>
      <c r="AE2" s="84" t="s">
        <v>339</v>
      </c>
      <c r="AF2" s="84" t="s">
        <v>340</v>
      </c>
      <c r="AG2" s="83"/>
      <c r="AH2" s="84" t="s">
        <v>171</v>
      </c>
      <c r="AI2" s="84" t="s">
        <v>172</v>
      </c>
      <c r="AJ2" s="84" t="s">
        <v>173</v>
      </c>
      <c r="AK2" s="84" t="s">
        <v>174</v>
      </c>
      <c r="AL2" s="83"/>
      <c r="AM2" s="141" t="s">
        <v>322</v>
      </c>
      <c r="AN2" s="141" t="s">
        <v>323</v>
      </c>
      <c r="AO2" s="141" t="s">
        <v>341</v>
      </c>
      <c r="AP2" s="141" t="s">
        <v>342</v>
      </c>
      <c r="AQ2" s="141" t="s">
        <v>343</v>
      </c>
      <c r="AR2" s="141" t="s">
        <v>344</v>
      </c>
      <c r="AS2" s="141" t="s">
        <v>345</v>
      </c>
      <c r="AT2" s="142"/>
      <c r="AU2" s="141" t="s">
        <v>346</v>
      </c>
      <c r="AV2" s="141" t="s">
        <v>347</v>
      </c>
      <c r="AW2" s="141" t="s">
        <v>348</v>
      </c>
      <c r="AX2" s="141" t="s">
        <v>349</v>
      </c>
      <c r="AY2" s="141" t="s">
        <v>350</v>
      </c>
      <c r="AZ2" s="141" t="s">
        <v>351</v>
      </c>
      <c r="BA2" s="141" t="s">
        <v>352</v>
      </c>
      <c r="BB2" s="142"/>
      <c r="BC2" s="141" t="s">
        <v>353</v>
      </c>
      <c r="BD2" s="141" t="s">
        <v>354</v>
      </c>
      <c r="BE2" s="143" t="s">
        <v>355</v>
      </c>
      <c r="BF2" s="141" t="s">
        <v>356</v>
      </c>
      <c r="BG2" s="141" t="s">
        <v>357</v>
      </c>
      <c r="BH2" s="141" t="s">
        <v>358</v>
      </c>
      <c r="BI2" s="141" t="s">
        <v>359</v>
      </c>
      <c r="BJ2" s="83"/>
      <c r="BK2" s="144" t="s">
        <v>360</v>
      </c>
      <c r="BL2" s="144" t="s">
        <v>361</v>
      </c>
      <c r="BM2" s="83"/>
      <c r="BN2" s="144" t="s">
        <v>362</v>
      </c>
      <c r="BO2" s="144" t="s">
        <v>363</v>
      </c>
      <c r="BP2" s="144" t="s">
        <v>364</v>
      </c>
      <c r="BQ2" s="144" t="s">
        <v>365</v>
      </c>
      <c r="BR2" s="83"/>
      <c r="BS2" s="144" t="s">
        <v>366</v>
      </c>
      <c r="BT2" s="144" t="s">
        <v>367</v>
      </c>
      <c r="BU2" s="144" t="s">
        <v>368</v>
      </c>
      <c r="BV2" s="144" t="s">
        <v>369</v>
      </c>
      <c r="BW2" s="83"/>
      <c r="BX2" s="144" t="s">
        <v>375</v>
      </c>
      <c r="BY2" s="144" t="s">
        <v>376</v>
      </c>
      <c r="BZ2" s="83"/>
      <c r="CA2" s="144" t="s">
        <v>377</v>
      </c>
      <c r="CB2" s="144" t="s">
        <v>378</v>
      </c>
      <c r="CC2" s="83"/>
      <c r="CD2" s="144" t="s">
        <v>379</v>
      </c>
      <c r="CE2" s="144" t="s">
        <v>380</v>
      </c>
      <c r="CF2" s="83"/>
      <c r="CG2" s="144" t="s">
        <v>381</v>
      </c>
      <c r="CH2" s="144" t="s">
        <v>382</v>
      </c>
      <c r="CI2" s="83"/>
      <c r="CJ2" s="144" t="s">
        <v>383</v>
      </c>
      <c r="CK2" s="144" t="s">
        <v>384</v>
      </c>
      <c r="CL2" s="144" t="s">
        <v>385</v>
      </c>
      <c r="CM2" s="144" t="s">
        <v>386</v>
      </c>
      <c r="CN2" s="83"/>
      <c r="CO2" s="144" t="s">
        <v>387</v>
      </c>
      <c r="CP2" s="144" t="s">
        <v>388</v>
      </c>
      <c r="CQ2" s="144" t="s">
        <v>389</v>
      </c>
      <c r="CR2" s="83"/>
      <c r="CS2" s="144" t="s">
        <v>390</v>
      </c>
      <c r="CT2" s="144" t="s">
        <v>391</v>
      </c>
      <c r="CU2" s="144" t="s">
        <v>392</v>
      </c>
      <c r="CV2" s="144" t="s">
        <v>393</v>
      </c>
      <c r="CW2" s="144" t="s">
        <v>394</v>
      </c>
      <c r="CX2" s="144" t="s">
        <v>395</v>
      </c>
      <c r="CY2" s="83"/>
      <c r="CZ2" s="144" t="s">
        <v>396</v>
      </c>
      <c r="DA2" s="83"/>
      <c r="DB2" s="144" t="s">
        <v>397</v>
      </c>
      <c r="DC2" s="83"/>
      <c r="DD2" s="144" t="s">
        <v>398</v>
      </c>
      <c r="DE2" s="83"/>
      <c r="DF2" s="144" t="s">
        <v>399</v>
      </c>
      <c r="DG2" s="83"/>
      <c r="DH2" s="144" t="s">
        <v>400</v>
      </c>
      <c r="DI2" s="83"/>
      <c r="DJ2" s="144" t="s">
        <v>401</v>
      </c>
      <c r="DK2" s="83"/>
      <c r="DL2" s="144" t="s">
        <v>402</v>
      </c>
      <c r="DM2" s="144" t="s">
        <v>403</v>
      </c>
      <c r="DN2" s="144" t="s">
        <v>404</v>
      </c>
      <c r="DO2" s="144" t="s">
        <v>405</v>
      </c>
      <c r="DP2" s="144" t="s">
        <v>406</v>
      </c>
      <c r="DQ2" s="144" t="s">
        <v>407</v>
      </c>
      <c r="DR2" s="83"/>
      <c r="DS2" s="144" t="s">
        <v>408</v>
      </c>
      <c r="DT2" s="144" t="s">
        <v>409</v>
      </c>
      <c r="DU2" s="144" t="s">
        <v>410</v>
      </c>
      <c r="DV2" s="144" t="s">
        <v>411</v>
      </c>
      <c r="DW2" s="144" t="s">
        <v>412</v>
      </c>
      <c r="DX2" s="83"/>
      <c r="DY2" s="144" t="s">
        <v>413</v>
      </c>
      <c r="DZ2" s="83"/>
      <c r="EA2" s="144" t="s">
        <v>414</v>
      </c>
      <c r="EB2" s="144" t="s">
        <v>415</v>
      </c>
      <c r="EC2" s="144" t="s">
        <v>416</v>
      </c>
      <c r="ED2" s="83"/>
      <c r="EE2" s="144" t="s">
        <v>417</v>
      </c>
      <c r="EF2" s="144" t="s">
        <v>418</v>
      </c>
      <c r="EG2" s="83"/>
      <c r="EH2" s="144" t="s">
        <v>419</v>
      </c>
      <c r="EI2" s="144" t="s">
        <v>420</v>
      </c>
      <c r="EJ2" s="83"/>
      <c r="EK2" s="84" t="s">
        <v>421</v>
      </c>
      <c r="EL2" s="84" t="s">
        <v>422</v>
      </c>
      <c r="EM2" s="83"/>
      <c r="EN2" s="84" t="s">
        <v>423</v>
      </c>
      <c r="EO2" s="84" t="s">
        <v>424</v>
      </c>
      <c r="EP2" s="84" t="s">
        <v>425</v>
      </c>
      <c r="EQ2" s="84" t="s">
        <v>426</v>
      </c>
      <c r="ER2" s="84" t="s">
        <v>427</v>
      </c>
    </row>
    <row r="3" spans="1:148">
      <c r="A3" s="85"/>
      <c r="B3" s="85"/>
      <c r="C3" s="145" t="s">
        <v>9</v>
      </c>
      <c r="D3" s="87">
        <v>546</v>
      </c>
      <c r="E3" s="87">
        <v>600</v>
      </c>
      <c r="F3" s="154"/>
      <c r="G3" s="154"/>
      <c r="H3" s="153"/>
      <c r="I3" s="83"/>
      <c r="J3" s="87">
        <v>5</v>
      </c>
      <c r="K3" s="87">
        <v>34</v>
      </c>
      <c r="L3" s="87">
        <v>79</v>
      </c>
      <c r="M3" s="87">
        <v>409</v>
      </c>
      <c r="N3" s="87">
        <v>19</v>
      </c>
      <c r="O3" s="83"/>
      <c r="P3" s="87">
        <v>346</v>
      </c>
      <c r="Q3" s="87">
        <v>200</v>
      </c>
      <c r="R3" s="83"/>
      <c r="S3" s="87">
        <v>25</v>
      </c>
      <c r="T3" s="87">
        <v>163</v>
      </c>
      <c r="U3" s="87">
        <v>209</v>
      </c>
      <c r="V3" s="87">
        <v>128</v>
      </c>
      <c r="W3" s="87">
        <v>21</v>
      </c>
      <c r="X3" s="83"/>
      <c r="Y3" s="87">
        <v>77</v>
      </c>
      <c r="Z3" s="87">
        <v>214</v>
      </c>
      <c r="AA3" s="87">
        <v>115</v>
      </c>
      <c r="AB3" s="87">
        <v>61</v>
      </c>
      <c r="AC3" s="87">
        <v>79</v>
      </c>
      <c r="AD3" s="83"/>
      <c r="AE3" s="87">
        <v>526</v>
      </c>
      <c r="AF3" s="87">
        <v>20</v>
      </c>
      <c r="AG3" s="83"/>
      <c r="AH3" s="87">
        <v>187</v>
      </c>
      <c r="AI3" s="87">
        <v>105</v>
      </c>
      <c r="AJ3" s="87">
        <v>137</v>
      </c>
      <c r="AK3" s="87">
        <v>83</v>
      </c>
      <c r="AL3" s="83"/>
      <c r="AM3" s="87">
        <v>7</v>
      </c>
      <c r="AN3" s="87">
        <v>6</v>
      </c>
      <c r="AO3" s="87">
        <v>54</v>
      </c>
      <c r="AP3" s="87">
        <v>5</v>
      </c>
      <c r="AQ3" s="87">
        <v>5</v>
      </c>
      <c r="AR3" s="87">
        <v>41</v>
      </c>
      <c r="AS3" s="87">
        <v>3</v>
      </c>
      <c r="AT3" s="83"/>
      <c r="AU3" s="87">
        <v>22</v>
      </c>
      <c r="AV3" s="87">
        <v>157</v>
      </c>
      <c r="AW3" s="87">
        <v>41</v>
      </c>
      <c r="AX3" s="87">
        <v>5</v>
      </c>
      <c r="AY3" s="87">
        <v>4</v>
      </c>
      <c r="AZ3" s="87">
        <v>7</v>
      </c>
      <c r="BA3" s="87">
        <v>17</v>
      </c>
      <c r="BB3" s="83"/>
      <c r="BC3" s="87">
        <v>5</v>
      </c>
      <c r="BD3" s="87">
        <v>2</v>
      </c>
      <c r="BE3" s="87">
        <v>110</v>
      </c>
      <c r="BF3" s="87">
        <v>2</v>
      </c>
      <c r="BG3" s="87">
        <v>9</v>
      </c>
      <c r="BH3" s="87">
        <v>6</v>
      </c>
      <c r="BI3" s="87">
        <v>38</v>
      </c>
      <c r="BJ3" s="83"/>
      <c r="BK3" s="87">
        <v>1</v>
      </c>
      <c r="BL3" s="87">
        <v>6</v>
      </c>
      <c r="BM3" s="83"/>
      <c r="BN3" s="87">
        <v>1</v>
      </c>
      <c r="BO3" s="87">
        <v>1</v>
      </c>
      <c r="BP3" s="87">
        <v>4</v>
      </c>
      <c r="BQ3" s="87">
        <v>0</v>
      </c>
      <c r="BR3" s="83"/>
      <c r="BS3" s="87">
        <v>1</v>
      </c>
      <c r="BT3" s="87">
        <v>1</v>
      </c>
      <c r="BU3" s="87">
        <v>35</v>
      </c>
      <c r="BV3" s="87">
        <v>17</v>
      </c>
      <c r="BW3" s="83"/>
      <c r="BX3" s="87">
        <v>4</v>
      </c>
      <c r="BY3" s="87">
        <v>1</v>
      </c>
      <c r="BZ3" s="83"/>
      <c r="CA3" s="87">
        <v>1</v>
      </c>
      <c r="CB3" s="87">
        <v>4</v>
      </c>
      <c r="CC3" s="83"/>
      <c r="CD3" s="87">
        <v>28</v>
      </c>
      <c r="CE3" s="87">
        <v>13</v>
      </c>
      <c r="CF3" s="83"/>
      <c r="CG3" s="87">
        <v>3</v>
      </c>
      <c r="CH3" s="87">
        <v>0</v>
      </c>
      <c r="CI3" s="83"/>
      <c r="CJ3" s="87">
        <v>5</v>
      </c>
      <c r="CK3" s="87">
        <v>2</v>
      </c>
      <c r="CL3" s="87">
        <v>4</v>
      </c>
      <c r="CM3" s="87">
        <v>11</v>
      </c>
      <c r="CN3" s="83"/>
      <c r="CO3" s="87">
        <v>8</v>
      </c>
      <c r="CP3" s="87">
        <v>139</v>
      </c>
      <c r="CQ3" s="87">
        <v>10</v>
      </c>
      <c r="CR3" s="83"/>
      <c r="CS3" s="87">
        <v>7</v>
      </c>
      <c r="CT3" s="87">
        <v>5</v>
      </c>
      <c r="CU3" s="87">
        <v>7</v>
      </c>
      <c r="CV3" s="87">
        <v>14</v>
      </c>
      <c r="CW3" s="87">
        <v>6</v>
      </c>
      <c r="CX3" s="87">
        <v>2</v>
      </c>
      <c r="CY3" s="83"/>
      <c r="CZ3" s="87">
        <v>5</v>
      </c>
      <c r="DA3" s="83"/>
      <c r="DB3" s="87">
        <v>4</v>
      </c>
      <c r="DC3" s="83"/>
      <c r="DD3" s="87">
        <v>7</v>
      </c>
      <c r="DE3" s="83"/>
      <c r="DF3" s="87">
        <v>17</v>
      </c>
      <c r="DG3" s="83"/>
      <c r="DH3" s="87">
        <v>5</v>
      </c>
      <c r="DI3" s="83"/>
      <c r="DJ3" s="87">
        <v>2</v>
      </c>
      <c r="DK3" s="83"/>
      <c r="DL3" s="87">
        <v>4</v>
      </c>
      <c r="DM3" s="87">
        <v>8</v>
      </c>
      <c r="DN3" s="87">
        <v>11</v>
      </c>
      <c r="DO3" s="87">
        <v>17</v>
      </c>
      <c r="DP3" s="87">
        <v>1</v>
      </c>
      <c r="DQ3" s="87">
        <v>9</v>
      </c>
      <c r="DR3" s="83"/>
      <c r="DS3" s="87">
        <v>30</v>
      </c>
      <c r="DT3" s="87">
        <v>13</v>
      </c>
      <c r="DU3" s="87">
        <v>8</v>
      </c>
      <c r="DV3" s="87">
        <v>2</v>
      </c>
      <c r="DW3" s="87">
        <v>7</v>
      </c>
      <c r="DX3" s="83"/>
      <c r="DY3" s="87">
        <v>2</v>
      </c>
      <c r="DZ3" s="83"/>
      <c r="EA3" s="87">
        <v>5</v>
      </c>
      <c r="EB3" s="87">
        <v>3</v>
      </c>
      <c r="EC3" s="87">
        <v>1</v>
      </c>
      <c r="ED3" s="83"/>
      <c r="EE3" s="87">
        <v>2</v>
      </c>
      <c r="EF3" s="87">
        <v>4</v>
      </c>
      <c r="EG3" s="83"/>
      <c r="EH3" s="87">
        <v>19</v>
      </c>
      <c r="EI3" s="87">
        <v>19</v>
      </c>
      <c r="EJ3" s="83"/>
      <c r="EK3" s="87">
        <v>121</v>
      </c>
      <c r="EL3" s="87">
        <v>425</v>
      </c>
      <c r="EM3" s="83"/>
      <c r="EN3" s="87">
        <v>138</v>
      </c>
      <c r="EO3" s="87">
        <v>43</v>
      </c>
      <c r="EP3" s="87">
        <v>10</v>
      </c>
      <c r="EQ3" s="87">
        <v>266</v>
      </c>
      <c r="ER3" s="87">
        <v>56</v>
      </c>
    </row>
    <row r="4" spans="1:148">
      <c r="A4" s="88"/>
      <c r="B4" s="88"/>
      <c r="C4" s="89" t="s">
        <v>175</v>
      </c>
      <c r="D4" s="90">
        <v>677</v>
      </c>
      <c r="E4" s="90">
        <v>664</v>
      </c>
      <c r="F4" s="90"/>
      <c r="G4" s="90"/>
      <c r="H4" s="90"/>
      <c r="I4" s="83"/>
      <c r="J4" s="90"/>
      <c r="K4" s="90"/>
      <c r="L4" s="90"/>
      <c r="M4" s="90"/>
      <c r="N4" s="90"/>
      <c r="O4" s="83"/>
      <c r="P4" s="90"/>
      <c r="Q4" s="90"/>
      <c r="R4" s="83"/>
      <c r="S4" s="90"/>
      <c r="T4" s="90"/>
      <c r="U4" s="90"/>
      <c r="V4" s="90"/>
      <c r="W4" s="90"/>
      <c r="X4" s="83"/>
      <c r="Y4" s="90"/>
      <c r="Z4" s="90"/>
      <c r="AA4" s="90"/>
      <c r="AB4" s="90"/>
      <c r="AC4" s="90"/>
      <c r="AD4" s="83"/>
      <c r="AE4" s="90"/>
      <c r="AF4" s="90"/>
      <c r="AG4" s="83"/>
      <c r="AH4" s="90"/>
      <c r="AI4" s="90"/>
      <c r="AJ4" s="90"/>
      <c r="AK4" s="90"/>
      <c r="AL4" s="83"/>
      <c r="AM4" s="90">
        <v>12</v>
      </c>
      <c r="AN4" s="90">
        <v>9</v>
      </c>
      <c r="AO4" s="90">
        <v>96</v>
      </c>
      <c r="AP4" s="90">
        <v>6</v>
      </c>
      <c r="AQ4" s="90">
        <v>8</v>
      </c>
      <c r="AR4" s="90">
        <v>53</v>
      </c>
      <c r="AS4" s="90">
        <v>6</v>
      </c>
      <c r="AT4" s="83"/>
      <c r="AU4" s="90">
        <v>22</v>
      </c>
      <c r="AV4" s="90">
        <v>162</v>
      </c>
      <c r="AW4" s="90">
        <v>47</v>
      </c>
      <c r="AX4" s="90">
        <v>5</v>
      </c>
      <c r="AY4" s="90">
        <v>4</v>
      </c>
      <c r="AZ4" s="90">
        <v>7</v>
      </c>
      <c r="BA4" s="90">
        <v>22</v>
      </c>
      <c r="BB4" s="83"/>
      <c r="BC4" s="90">
        <v>5</v>
      </c>
      <c r="BD4" s="90">
        <v>2</v>
      </c>
      <c r="BE4" s="90">
        <v>140</v>
      </c>
      <c r="BF4" s="90">
        <v>3</v>
      </c>
      <c r="BG4" s="90">
        <v>10</v>
      </c>
      <c r="BH4" s="90">
        <v>6</v>
      </c>
      <c r="BI4" s="90">
        <v>52</v>
      </c>
      <c r="BJ4" s="83"/>
      <c r="BK4" s="90"/>
      <c r="BL4" s="90"/>
      <c r="BM4" s="83"/>
      <c r="BN4" s="90"/>
      <c r="BO4" s="90"/>
      <c r="BP4" s="90"/>
      <c r="BQ4" s="90"/>
      <c r="BR4" s="83"/>
      <c r="BS4" s="90"/>
      <c r="BT4" s="90"/>
      <c r="BU4" s="90"/>
      <c r="BV4" s="90"/>
      <c r="BW4" s="83"/>
      <c r="BX4" s="90"/>
      <c r="BY4" s="90"/>
      <c r="BZ4" s="83"/>
      <c r="CA4" s="90"/>
      <c r="CB4" s="90"/>
      <c r="CC4" s="83"/>
      <c r="CD4" s="90"/>
      <c r="CE4" s="90"/>
      <c r="CF4" s="83"/>
      <c r="CG4" s="90"/>
      <c r="CH4" s="90"/>
      <c r="CI4" s="83"/>
      <c r="CJ4" s="90"/>
      <c r="CK4" s="90"/>
      <c r="CL4" s="90"/>
      <c r="CM4" s="90"/>
      <c r="CN4" s="83"/>
      <c r="CO4" s="90"/>
      <c r="CP4" s="90"/>
      <c r="CQ4" s="90"/>
      <c r="CR4" s="83"/>
      <c r="CS4" s="90"/>
      <c r="CT4" s="90"/>
      <c r="CU4" s="90"/>
      <c r="CV4" s="90"/>
      <c r="CW4" s="90"/>
      <c r="CX4" s="90"/>
      <c r="CY4" s="83"/>
      <c r="CZ4" s="90"/>
      <c r="DA4" s="83"/>
      <c r="DB4" s="90"/>
      <c r="DC4" s="83"/>
      <c r="DD4" s="90"/>
      <c r="DE4" s="83"/>
      <c r="DF4" s="90"/>
      <c r="DG4" s="83"/>
      <c r="DH4" s="90"/>
      <c r="DI4" s="83"/>
      <c r="DJ4" s="90"/>
      <c r="DK4" s="83"/>
      <c r="DL4" s="90"/>
      <c r="DM4" s="90"/>
      <c r="DN4" s="90"/>
      <c r="DO4" s="90"/>
      <c r="DP4" s="90"/>
      <c r="DQ4" s="90"/>
      <c r="DR4" s="83"/>
      <c r="DS4" s="90"/>
      <c r="DT4" s="90"/>
      <c r="DU4" s="90"/>
      <c r="DV4" s="90"/>
      <c r="DW4" s="90"/>
      <c r="DX4" s="83"/>
      <c r="DY4" s="90"/>
      <c r="DZ4" s="83"/>
      <c r="EA4" s="90"/>
      <c r="EB4" s="90"/>
      <c r="EC4" s="90"/>
      <c r="ED4" s="83"/>
      <c r="EE4" s="90"/>
      <c r="EF4" s="90"/>
      <c r="EG4" s="83"/>
      <c r="EH4" s="90"/>
      <c r="EI4" s="90"/>
      <c r="EJ4" s="83"/>
      <c r="EK4" s="90"/>
      <c r="EL4" s="90"/>
      <c r="EM4" s="83"/>
      <c r="EN4" s="90"/>
      <c r="EO4" s="90"/>
      <c r="EP4" s="90"/>
      <c r="EQ4" s="90"/>
      <c r="ER4" s="90"/>
    </row>
    <row r="5" spans="1:148">
      <c r="A5" s="91"/>
      <c r="B5" s="91"/>
      <c r="C5" s="92" t="s">
        <v>176</v>
      </c>
      <c r="D5" s="93"/>
      <c r="E5" s="93"/>
      <c r="F5" s="93"/>
      <c r="G5" s="93"/>
      <c r="H5" s="93"/>
      <c r="I5" s="83"/>
      <c r="J5" s="93">
        <v>6</v>
      </c>
      <c r="K5" s="93">
        <v>36</v>
      </c>
      <c r="L5" s="93">
        <v>96</v>
      </c>
      <c r="M5" s="93">
        <v>458</v>
      </c>
      <c r="N5" s="93">
        <v>4</v>
      </c>
      <c r="O5" s="83"/>
      <c r="P5" s="93">
        <v>380</v>
      </c>
      <c r="Q5" s="93">
        <v>220</v>
      </c>
      <c r="R5" s="83"/>
      <c r="S5" s="93">
        <v>12</v>
      </c>
      <c r="T5" s="93">
        <v>191</v>
      </c>
      <c r="U5" s="93">
        <v>248</v>
      </c>
      <c r="V5" s="93">
        <v>132</v>
      </c>
      <c r="W5" s="93">
        <v>17</v>
      </c>
      <c r="X5" s="83"/>
      <c r="Y5" s="93">
        <v>78</v>
      </c>
      <c r="Z5" s="93">
        <v>213</v>
      </c>
      <c r="AA5" s="93">
        <v>144</v>
      </c>
      <c r="AB5" s="93">
        <v>57</v>
      </c>
      <c r="AC5" s="93">
        <v>108</v>
      </c>
      <c r="AD5" s="83"/>
      <c r="AE5" s="93">
        <v>593</v>
      </c>
      <c r="AF5" s="93">
        <v>7</v>
      </c>
      <c r="AG5" s="83"/>
      <c r="AH5" s="93">
        <v>220</v>
      </c>
      <c r="AI5" s="93">
        <v>132</v>
      </c>
      <c r="AJ5" s="93">
        <v>162</v>
      </c>
      <c r="AK5" s="93">
        <v>67</v>
      </c>
      <c r="AL5" s="83"/>
      <c r="AM5" s="93">
        <v>9</v>
      </c>
      <c r="AN5" s="93">
        <v>61</v>
      </c>
      <c r="AO5" s="93">
        <v>35</v>
      </c>
      <c r="AP5" s="93">
        <v>2</v>
      </c>
      <c r="AQ5" s="93">
        <v>3</v>
      </c>
      <c r="AR5" s="93">
        <v>41</v>
      </c>
      <c r="AS5" s="93">
        <v>5</v>
      </c>
      <c r="AT5" s="83"/>
      <c r="AU5" s="93">
        <v>21</v>
      </c>
      <c r="AV5" s="93">
        <v>169</v>
      </c>
      <c r="AW5" s="93">
        <v>47</v>
      </c>
      <c r="AX5" s="93">
        <v>4</v>
      </c>
      <c r="AY5" s="93">
        <v>5</v>
      </c>
      <c r="AZ5" s="93">
        <v>9</v>
      </c>
      <c r="BA5" s="93">
        <v>12</v>
      </c>
      <c r="BB5" s="83"/>
      <c r="BC5" s="93">
        <v>5</v>
      </c>
      <c r="BD5" s="93">
        <v>1</v>
      </c>
      <c r="BE5" s="93">
        <v>126</v>
      </c>
      <c r="BF5" s="93">
        <v>1</v>
      </c>
      <c r="BG5" s="93">
        <v>10</v>
      </c>
      <c r="BH5" s="93">
        <v>6</v>
      </c>
      <c r="BI5" s="93">
        <v>37</v>
      </c>
      <c r="BJ5" s="83"/>
      <c r="BK5" s="93">
        <v>1</v>
      </c>
      <c r="BL5" s="93">
        <v>8</v>
      </c>
      <c r="BM5" s="83"/>
      <c r="BN5" s="93">
        <v>2</v>
      </c>
      <c r="BO5" s="93">
        <v>4</v>
      </c>
      <c r="BP5" s="93">
        <v>1</v>
      </c>
      <c r="BQ5" s="93">
        <v>24</v>
      </c>
      <c r="BR5" s="83"/>
      <c r="BS5" s="93" t="s">
        <v>10</v>
      </c>
      <c r="BT5" s="93" t="s">
        <v>10</v>
      </c>
      <c r="BU5" s="93" t="s">
        <v>10</v>
      </c>
      <c r="BV5" s="93" t="s">
        <v>10</v>
      </c>
      <c r="BW5" s="83"/>
      <c r="BX5" s="93" t="s">
        <v>10</v>
      </c>
      <c r="BY5" s="93" t="s">
        <v>10</v>
      </c>
      <c r="BZ5" s="83"/>
      <c r="CA5" s="93">
        <v>0</v>
      </c>
      <c r="CB5" s="93">
        <v>3</v>
      </c>
      <c r="CC5" s="83"/>
      <c r="CD5" s="93">
        <v>41</v>
      </c>
      <c r="CE5" s="93">
        <v>41</v>
      </c>
      <c r="CF5" s="83"/>
      <c r="CG5" s="93">
        <v>2</v>
      </c>
      <c r="CH5" s="93">
        <v>0</v>
      </c>
      <c r="CI5" s="83"/>
      <c r="CJ5" s="93">
        <v>5</v>
      </c>
      <c r="CK5" s="93">
        <v>2</v>
      </c>
      <c r="CL5" s="93">
        <v>4</v>
      </c>
      <c r="CM5" s="93">
        <v>10</v>
      </c>
      <c r="CN5" s="83"/>
      <c r="CO5" s="93">
        <v>11</v>
      </c>
      <c r="CP5" s="93">
        <v>71</v>
      </c>
      <c r="CQ5" s="93">
        <v>7</v>
      </c>
      <c r="CR5" s="83"/>
      <c r="CS5" s="93">
        <v>8</v>
      </c>
      <c r="CT5" s="93">
        <v>7</v>
      </c>
      <c r="CU5" s="93">
        <v>7</v>
      </c>
      <c r="CV5" s="93">
        <v>15</v>
      </c>
      <c r="CW5" s="93">
        <v>7</v>
      </c>
      <c r="CX5" s="93">
        <v>2</v>
      </c>
      <c r="CY5" s="83"/>
      <c r="CZ5" s="93">
        <v>4</v>
      </c>
      <c r="DA5" s="83"/>
      <c r="DB5" s="93">
        <v>5</v>
      </c>
      <c r="DC5" s="83"/>
      <c r="DD5" s="93">
        <v>9</v>
      </c>
      <c r="DE5" s="83"/>
      <c r="DF5" s="93">
        <v>12</v>
      </c>
      <c r="DG5" s="83"/>
      <c r="DH5" s="93">
        <v>5</v>
      </c>
      <c r="DI5" s="83"/>
      <c r="DJ5" s="93">
        <v>1</v>
      </c>
      <c r="DK5" s="83"/>
      <c r="DL5" s="93">
        <v>5</v>
      </c>
      <c r="DM5" s="93">
        <v>11</v>
      </c>
      <c r="DN5" s="93" t="s">
        <v>10</v>
      </c>
      <c r="DO5" s="93">
        <v>15</v>
      </c>
      <c r="DP5" s="93" t="s">
        <v>10</v>
      </c>
      <c r="DQ5" s="93">
        <v>9</v>
      </c>
      <c r="DR5" s="83"/>
      <c r="DS5" s="93">
        <v>13</v>
      </c>
      <c r="DT5" s="93">
        <v>15</v>
      </c>
      <c r="DU5" s="93">
        <v>7</v>
      </c>
      <c r="DV5" s="93">
        <v>11</v>
      </c>
      <c r="DW5" s="93">
        <v>8</v>
      </c>
      <c r="DX5" s="83"/>
      <c r="DY5" s="93">
        <v>1</v>
      </c>
      <c r="DZ5" s="83"/>
      <c r="EA5" s="93">
        <v>5</v>
      </c>
      <c r="EB5" s="93">
        <v>5</v>
      </c>
      <c r="EC5" s="93" t="s">
        <v>10</v>
      </c>
      <c r="ED5" s="83"/>
      <c r="EE5" s="93">
        <v>2</v>
      </c>
      <c r="EF5" s="93">
        <v>4</v>
      </c>
      <c r="EG5" s="83"/>
      <c r="EH5" s="93">
        <v>18</v>
      </c>
      <c r="EI5" s="93">
        <v>19</v>
      </c>
      <c r="EJ5" s="83"/>
      <c r="EK5" s="93">
        <v>159</v>
      </c>
      <c r="EL5" s="93">
        <v>441</v>
      </c>
      <c r="EM5" s="83"/>
      <c r="EN5" s="93">
        <v>175</v>
      </c>
      <c r="EO5" s="93">
        <v>47</v>
      </c>
      <c r="EP5" s="93">
        <v>10</v>
      </c>
      <c r="EQ5" s="93">
        <v>301</v>
      </c>
      <c r="ER5" s="93">
        <v>46</v>
      </c>
    </row>
    <row r="6" spans="1:148">
      <c r="A6" s="94"/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5"/>
      <c r="AU6" s="95"/>
      <c r="AV6" s="95"/>
      <c r="AW6" s="95"/>
      <c r="AX6" s="95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95"/>
      <c r="BM6" s="95"/>
      <c r="BN6" s="95"/>
      <c r="BO6" s="95"/>
      <c r="BP6" s="95"/>
      <c r="BQ6" s="95"/>
      <c r="BR6" s="95"/>
      <c r="BS6" s="95"/>
      <c r="BT6" s="95"/>
      <c r="BU6" s="95"/>
      <c r="BV6" s="95"/>
      <c r="BW6" s="95"/>
      <c r="BX6" s="95"/>
      <c r="BY6" s="95"/>
      <c r="BZ6" s="95"/>
      <c r="CA6" s="95"/>
      <c r="CB6" s="95"/>
      <c r="CC6" s="95"/>
      <c r="CD6" s="95"/>
      <c r="CE6" s="95"/>
      <c r="CF6" s="95"/>
      <c r="CG6" s="95"/>
      <c r="CH6" s="95"/>
      <c r="CI6" s="95"/>
      <c r="CJ6" s="95"/>
      <c r="CK6" s="95"/>
      <c r="CL6" s="95"/>
      <c r="CM6" s="95"/>
      <c r="CN6" s="95"/>
      <c r="CO6" s="95"/>
      <c r="CP6" s="95"/>
      <c r="CQ6" s="95"/>
      <c r="CR6" s="95"/>
      <c r="CS6" s="95"/>
      <c r="CT6" s="95"/>
      <c r="CU6" s="95"/>
      <c r="CV6" s="95"/>
      <c r="CW6" s="95"/>
      <c r="CX6" s="95"/>
      <c r="CY6" s="95"/>
      <c r="CZ6" s="95"/>
      <c r="DA6" s="95"/>
      <c r="DB6" s="95"/>
      <c r="DC6" s="95"/>
      <c r="DD6" s="95"/>
      <c r="DE6" s="95"/>
      <c r="DF6" s="95"/>
      <c r="DG6" s="95"/>
      <c r="DH6" s="95"/>
      <c r="DI6" s="95"/>
      <c r="DJ6" s="95"/>
      <c r="DK6" s="95"/>
      <c r="DL6" s="95"/>
      <c r="DM6" s="95"/>
      <c r="DN6" s="95"/>
      <c r="DO6" s="95"/>
      <c r="DP6" s="95"/>
      <c r="DQ6" s="95"/>
      <c r="DR6" s="95"/>
      <c r="DS6" s="95"/>
      <c r="DT6" s="95"/>
      <c r="DU6" s="95"/>
      <c r="DV6" s="95"/>
      <c r="DW6" s="95"/>
      <c r="DX6" s="95"/>
      <c r="DY6" s="95"/>
      <c r="DZ6" s="95"/>
      <c r="EA6" s="95"/>
      <c r="EB6" s="95"/>
      <c r="EC6" s="95"/>
      <c r="ED6" s="95"/>
      <c r="EE6" s="95"/>
      <c r="EF6" s="95"/>
      <c r="EG6" s="95"/>
      <c r="EH6" s="95"/>
      <c r="EI6" s="95"/>
      <c r="EJ6" s="95"/>
      <c r="EK6" s="95"/>
      <c r="EL6" s="95"/>
      <c r="EM6" s="95"/>
      <c r="EN6" s="95"/>
      <c r="EO6" s="95"/>
      <c r="EP6" s="95"/>
      <c r="EQ6" s="95"/>
      <c r="ER6" s="95"/>
    </row>
    <row r="7" spans="1:148">
      <c r="A7" s="185" t="s">
        <v>11</v>
      </c>
      <c r="B7" s="186"/>
      <c r="C7" s="187"/>
      <c r="D7" s="96">
        <v>69.59</v>
      </c>
      <c r="E7" s="96">
        <v>74.33</v>
      </c>
      <c r="F7" s="96">
        <v>79.150000000000006</v>
      </c>
      <c r="G7" s="96">
        <v>-4.7399999999999949</v>
      </c>
      <c r="H7" s="97">
        <v>-9.5600000000000023</v>
      </c>
      <c r="I7" s="83"/>
      <c r="J7" s="96" t="s">
        <v>177</v>
      </c>
      <c r="K7" s="96">
        <v>85.64</v>
      </c>
      <c r="L7" s="96">
        <v>74.56</v>
      </c>
      <c r="M7" s="96">
        <v>66.25</v>
      </c>
      <c r="N7" s="96">
        <v>83.58</v>
      </c>
      <c r="O7" s="83"/>
      <c r="P7" s="96">
        <v>69.12</v>
      </c>
      <c r="Q7" s="96">
        <v>70.400000000000006</v>
      </c>
      <c r="R7" s="83"/>
      <c r="S7" s="96">
        <v>78.599999999999994</v>
      </c>
      <c r="T7" s="96">
        <v>58.36</v>
      </c>
      <c r="U7" s="96">
        <v>73.680000000000007</v>
      </c>
      <c r="V7" s="96">
        <v>74.14</v>
      </c>
      <c r="W7" s="96">
        <v>76.87</v>
      </c>
      <c r="X7" s="83"/>
      <c r="Y7" s="96">
        <v>72.09</v>
      </c>
      <c r="Z7" s="96">
        <v>66.86</v>
      </c>
      <c r="AA7" s="96">
        <v>65.319999999999993</v>
      </c>
      <c r="AB7" s="96">
        <v>71.78</v>
      </c>
      <c r="AC7" s="96">
        <v>78.86</v>
      </c>
      <c r="AD7" s="83"/>
      <c r="AE7" s="96">
        <v>69.150000000000006</v>
      </c>
      <c r="AF7" s="96">
        <v>80.83</v>
      </c>
      <c r="AG7" s="83"/>
      <c r="AH7" s="96">
        <v>85.24</v>
      </c>
      <c r="AI7" s="96">
        <v>74.47</v>
      </c>
      <c r="AJ7" s="96">
        <v>59.55</v>
      </c>
      <c r="AK7" s="96">
        <v>45.68</v>
      </c>
      <c r="AL7" s="83"/>
      <c r="AM7" s="96">
        <v>48.98</v>
      </c>
      <c r="AN7" s="96">
        <v>76.430000000000007</v>
      </c>
      <c r="AO7" s="96">
        <v>49.46</v>
      </c>
      <c r="AP7" s="96" t="s">
        <v>177</v>
      </c>
      <c r="AQ7" s="96" t="s">
        <v>177</v>
      </c>
      <c r="AR7" s="96">
        <v>49.01</v>
      </c>
      <c r="AS7" s="96" t="s">
        <v>177</v>
      </c>
      <c r="AT7" s="83"/>
      <c r="AU7" s="96">
        <v>85.59</v>
      </c>
      <c r="AV7" s="96">
        <v>73.02</v>
      </c>
      <c r="AW7" s="96">
        <v>87.98</v>
      </c>
      <c r="AX7" s="96" t="s">
        <v>177</v>
      </c>
      <c r="AY7" s="96" t="s">
        <v>177</v>
      </c>
      <c r="AZ7" s="96">
        <v>89.8</v>
      </c>
      <c r="BA7" s="96">
        <v>60.51</v>
      </c>
      <c r="BB7" s="83"/>
      <c r="BC7" s="96" t="s">
        <v>177</v>
      </c>
      <c r="BD7" s="96" t="s">
        <v>177</v>
      </c>
      <c r="BE7" s="96">
        <v>76.2</v>
      </c>
      <c r="BF7" s="96" t="s">
        <v>177</v>
      </c>
      <c r="BG7" s="96">
        <v>72.62</v>
      </c>
      <c r="BH7" s="96">
        <v>65.48</v>
      </c>
      <c r="BI7" s="96">
        <v>59.21</v>
      </c>
      <c r="BJ7" s="83"/>
      <c r="BK7" s="96" t="s">
        <v>177</v>
      </c>
      <c r="BL7" s="96">
        <v>46.43</v>
      </c>
      <c r="BM7" s="83"/>
      <c r="BN7" s="96" t="s">
        <v>177</v>
      </c>
      <c r="BO7" s="96" t="s">
        <v>177</v>
      </c>
      <c r="BP7" s="96" t="s">
        <v>177</v>
      </c>
      <c r="BQ7" s="96" t="s">
        <v>177</v>
      </c>
      <c r="BR7" s="83"/>
      <c r="BS7" s="96" t="s">
        <v>177</v>
      </c>
      <c r="BT7" s="96" t="s">
        <v>177</v>
      </c>
      <c r="BU7" s="96">
        <v>50.44</v>
      </c>
      <c r="BV7" s="96">
        <v>44.12</v>
      </c>
      <c r="BW7" s="83"/>
      <c r="BX7" s="96" t="s">
        <v>177</v>
      </c>
      <c r="BY7" s="96" t="s">
        <v>177</v>
      </c>
      <c r="BZ7" s="83"/>
      <c r="CA7" s="96" t="s">
        <v>177</v>
      </c>
      <c r="CB7" s="96" t="s">
        <v>177</v>
      </c>
      <c r="CC7" s="83"/>
      <c r="CD7" s="96">
        <v>46.93</v>
      </c>
      <c r="CE7" s="96">
        <v>53.3</v>
      </c>
      <c r="CF7" s="83"/>
      <c r="CG7" s="96" t="s">
        <v>177</v>
      </c>
      <c r="CH7" s="96" t="s">
        <v>177</v>
      </c>
      <c r="CI7" s="83"/>
      <c r="CJ7" s="96" t="s">
        <v>177</v>
      </c>
      <c r="CK7" s="96" t="s">
        <v>177</v>
      </c>
      <c r="CL7" s="96" t="s">
        <v>177</v>
      </c>
      <c r="CM7" s="96">
        <v>88.96</v>
      </c>
      <c r="CN7" s="83"/>
      <c r="CO7" s="96">
        <v>89.29</v>
      </c>
      <c r="CP7" s="96">
        <v>71.72</v>
      </c>
      <c r="CQ7" s="96">
        <v>77.86</v>
      </c>
      <c r="CR7" s="83"/>
      <c r="CS7" s="96">
        <v>84.69</v>
      </c>
      <c r="CT7" s="96" t="s">
        <v>177</v>
      </c>
      <c r="CU7" s="96">
        <v>95.92</v>
      </c>
      <c r="CV7" s="96">
        <v>93.88</v>
      </c>
      <c r="CW7" s="96">
        <v>70.239999999999995</v>
      </c>
      <c r="CX7" s="96" t="s">
        <v>177</v>
      </c>
      <c r="CY7" s="83"/>
      <c r="CZ7" s="96" t="s">
        <v>177</v>
      </c>
      <c r="DA7" s="83"/>
      <c r="DB7" s="96" t="s">
        <v>177</v>
      </c>
      <c r="DC7" s="83"/>
      <c r="DD7" s="96">
        <v>89.8</v>
      </c>
      <c r="DE7" s="83"/>
      <c r="DF7" s="96">
        <v>60.51</v>
      </c>
      <c r="DG7" s="83"/>
      <c r="DH7" s="96" t="s">
        <v>177</v>
      </c>
      <c r="DI7" s="83"/>
      <c r="DJ7" s="96" t="s">
        <v>177</v>
      </c>
      <c r="DK7" s="83"/>
      <c r="DL7" s="96" t="s">
        <v>177</v>
      </c>
      <c r="DM7" s="96">
        <v>66.540000000000006</v>
      </c>
      <c r="DN7" s="96">
        <v>79.22</v>
      </c>
      <c r="DO7" s="96">
        <v>80.819999999999993</v>
      </c>
      <c r="DP7" s="96" t="s">
        <v>177</v>
      </c>
      <c r="DQ7" s="96">
        <v>83.33</v>
      </c>
      <c r="DR7" s="83"/>
      <c r="DS7" s="96">
        <v>62.32</v>
      </c>
      <c r="DT7" s="96">
        <v>81.23</v>
      </c>
      <c r="DU7" s="96">
        <v>90.18</v>
      </c>
      <c r="DV7" s="96" t="s">
        <v>177</v>
      </c>
      <c r="DW7" s="96">
        <v>91.84</v>
      </c>
      <c r="DX7" s="83"/>
      <c r="DY7" s="96" t="s">
        <v>177</v>
      </c>
      <c r="DZ7" s="83"/>
      <c r="EA7" s="96" t="s">
        <v>177</v>
      </c>
      <c r="EB7" s="96" t="s">
        <v>177</v>
      </c>
      <c r="EC7" s="96" t="s">
        <v>177</v>
      </c>
      <c r="ED7" s="83"/>
      <c r="EE7" s="96" t="s">
        <v>177</v>
      </c>
      <c r="EF7" s="96" t="s">
        <v>177</v>
      </c>
      <c r="EG7" s="83"/>
      <c r="EH7" s="96">
        <v>55.51</v>
      </c>
      <c r="EI7" s="96">
        <v>62.99</v>
      </c>
      <c r="EJ7" s="83"/>
      <c r="EK7" s="96">
        <v>51.6</v>
      </c>
      <c r="EL7" s="96">
        <v>74.599999999999994</v>
      </c>
      <c r="EM7" s="83"/>
      <c r="EN7" s="96">
        <v>65.7</v>
      </c>
      <c r="EO7" s="96">
        <v>67.92</v>
      </c>
      <c r="EP7" s="96">
        <v>45.24</v>
      </c>
      <c r="EQ7" s="96">
        <v>79.849999999999994</v>
      </c>
      <c r="ER7" s="96">
        <v>40.35</v>
      </c>
    </row>
    <row r="8" spans="1:148">
      <c r="A8" s="188" t="s">
        <v>12</v>
      </c>
      <c r="B8" s="189"/>
      <c r="C8" s="190"/>
      <c r="D8" s="96">
        <v>70.69</v>
      </c>
      <c r="E8" s="96">
        <v>73.81</v>
      </c>
      <c r="F8" s="96">
        <v>77.23</v>
      </c>
      <c r="G8" s="96">
        <v>-3.1200000000000045</v>
      </c>
      <c r="H8" s="97">
        <v>-6.5400000000000063</v>
      </c>
      <c r="I8" s="83"/>
      <c r="J8" s="96" t="s">
        <v>177</v>
      </c>
      <c r="K8" s="96">
        <v>82.41</v>
      </c>
      <c r="L8" s="96">
        <v>77.13</v>
      </c>
      <c r="M8" s="96">
        <v>67.67</v>
      </c>
      <c r="N8" s="96">
        <v>82.1</v>
      </c>
      <c r="O8" s="83"/>
      <c r="P8" s="96">
        <v>69.88</v>
      </c>
      <c r="Q8" s="96">
        <v>72.09</v>
      </c>
      <c r="R8" s="83"/>
      <c r="S8" s="96">
        <v>78.05</v>
      </c>
      <c r="T8" s="96">
        <v>62.66</v>
      </c>
      <c r="U8" s="96">
        <v>74.22</v>
      </c>
      <c r="V8" s="96">
        <v>73.290000000000006</v>
      </c>
      <c r="W8" s="96">
        <v>73.260000000000005</v>
      </c>
      <c r="X8" s="83"/>
      <c r="Y8" s="96">
        <v>72.489999999999995</v>
      </c>
      <c r="Z8" s="96">
        <v>69.510000000000005</v>
      </c>
      <c r="AA8" s="96">
        <v>67.040000000000006</v>
      </c>
      <c r="AB8" s="96">
        <v>69.86</v>
      </c>
      <c r="AC8" s="96">
        <v>78.02</v>
      </c>
      <c r="AD8" s="83"/>
      <c r="AE8" s="96">
        <v>70.34</v>
      </c>
      <c r="AF8" s="96">
        <v>79.88</v>
      </c>
      <c r="AG8" s="83"/>
      <c r="AH8" s="96">
        <v>83.62</v>
      </c>
      <c r="AI8" s="96">
        <v>73.55</v>
      </c>
      <c r="AJ8" s="96">
        <v>62.15</v>
      </c>
      <c r="AK8" s="96">
        <v>53.66</v>
      </c>
      <c r="AL8" s="83"/>
      <c r="AM8" s="96">
        <v>54.95</v>
      </c>
      <c r="AN8" s="96">
        <v>70.510000000000005</v>
      </c>
      <c r="AO8" s="96">
        <v>58.99</v>
      </c>
      <c r="AP8" s="96" t="s">
        <v>177</v>
      </c>
      <c r="AQ8" s="96" t="s">
        <v>177</v>
      </c>
      <c r="AR8" s="96">
        <v>54.19</v>
      </c>
      <c r="AS8" s="96" t="s">
        <v>177</v>
      </c>
      <c r="AT8" s="83"/>
      <c r="AU8" s="96">
        <v>83.77</v>
      </c>
      <c r="AV8" s="96">
        <v>73.709999999999994</v>
      </c>
      <c r="AW8" s="96">
        <v>80.48</v>
      </c>
      <c r="AX8" s="96" t="s">
        <v>177</v>
      </c>
      <c r="AY8" s="96" t="s">
        <v>177</v>
      </c>
      <c r="AZ8" s="96">
        <v>82.42</v>
      </c>
      <c r="BA8" s="96">
        <v>62.44</v>
      </c>
      <c r="BB8" s="83"/>
      <c r="BC8" s="96" t="s">
        <v>177</v>
      </c>
      <c r="BD8" s="96" t="s">
        <v>177</v>
      </c>
      <c r="BE8" s="96">
        <v>74.12</v>
      </c>
      <c r="BF8" s="96" t="s">
        <v>177</v>
      </c>
      <c r="BG8" s="96">
        <v>80.45</v>
      </c>
      <c r="BH8" s="96">
        <v>75.64</v>
      </c>
      <c r="BI8" s="96">
        <v>61.92</v>
      </c>
      <c r="BJ8" s="83"/>
      <c r="BK8" s="96" t="s">
        <v>177</v>
      </c>
      <c r="BL8" s="96">
        <v>52.56</v>
      </c>
      <c r="BM8" s="83"/>
      <c r="BN8" s="96" t="s">
        <v>177</v>
      </c>
      <c r="BO8" s="96" t="s">
        <v>177</v>
      </c>
      <c r="BP8" s="96" t="s">
        <v>177</v>
      </c>
      <c r="BQ8" s="96" t="s">
        <v>177</v>
      </c>
      <c r="BR8" s="83"/>
      <c r="BS8" s="96" t="s">
        <v>177</v>
      </c>
      <c r="BT8" s="96" t="s">
        <v>177</v>
      </c>
      <c r="BU8" s="96">
        <v>63.32</v>
      </c>
      <c r="BV8" s="96">
        <v>48.42</v>
      </c>
      <c r="BW8" s="83"/>
      <c r="BX8" s="96" t="s">
        <v>177</v>
      </c>
      <c r="BY8" s="96" t="s">
        <v>177</v>
      </c>
      <c r="BZ8" s="83"/>
      <c r="CA8" s="96" t="s">
        <v>177</v>
      </c>
      <c r="CB8" s="96" t="s">
        <v>177</v>
      </c>
      <c r="CC8" s="83"/>
      <c r="CD8" s="96">
        <v>51.6</v>
      </c>
      <c r="CE8" s="96">
        <v>59.76</v>
      </c>
      <c r="CF8" s="83"/>
      <c r="CG8" s="96" t="s">
        <v>177</v>
      </c>
      <c r="CH8" s="96" t="s">
        <v>177</v>
      </c>
      <c r="CI8" s="83"/>
      <c r="CJ8" s="96" t="s">
        <v>177</v>
      </c>
      <c r="CK8" s="96" t="s">
        <v>177</v>
      </c>
      <c r="CL8" s="96" t="s">
        <v>177</v>
      </c>
      <c r="CM8" s="96">
        <v>81.819999999999993</v>
      </c>
      <c r="CN8" s="83"/>
      <c r="CO8" s="96">
        <v>90.38</v>
      </c>
      <c r="CP8" s="96">
        <v>72.52</v>
      </c>
      <c r="CQ8" s="96">
        <v>76.92</v>
      </c>
      <c r="CR8" s="83"/>
      <c r="CS8" s="96">
        <v>78.02</v>
      </c>
      <c r="CT8" s="96" t="s">
        <v>177</v>
      </c>
      <c r="CU8" s="96">
        <v>92.31</v>
      </c>
      <c r="CV8" s="96">
        <v>86.77</v>
      </c>
      <c r="CW8" s="96">
        <v>53.85</v>
      </c>
      <c r="CX8" s="96" t="s">
        <v>177</v>
      </c>
      <c r="CY8" s="83"/>
      <c r="CZ8" s="96" t="s">
        <v>177</v>
      </c>
      <c r="DA8" s="83"/>
      <c r="DB8" s="96" t="s">
        <v>177</v>
      </c>
      <c r="DC8" s="83"/>
      <c r="DD8" s="96">
        <v>82.42</v>
      </c>
      <c r="DE8" s="83"/>
      <c r="DF8" s="96">
        <v>62.44</v>
      </c>
      <c r="DG8" s="83"/>
      <c r="DH8" s="96" t="s">
        <v>177</v>
      </c>
      <c r="DI8" s="83"/>
      <c r="DJ8" s="96" t="s">
        <v>177</v>
      </c>
      <c r="DK8" s="83"/>
      <c r="DL8" s="96" t="s">
        <v>177</v>
      </c>
      <c r="DM8" s="96">
        <v>68.86</v>
      </c>
      <c r="DN8" s="96">
        <v>73.430000000000007</v>
      </c>
      <c r="DO8" s="96">
        <v>74.290000000000006</v>
      </c>
      <c r="DP8" s="96" t="s">
        <v>177</v>
      </c>
      <c r="DQ8" s="96">
        <v>83.76</v>
      </c>
      <c r="DR8" s="83"/>
      <c r="DS8" s="96">
        <v>61.65</v>
      </c>
      <c r="DT8" s="96">
        <v>78.06</v>
      </c>
      <c r="DU8" s="96">
        <v>84.62</v>
      </c>
      <c r="DV8" s="96" t="s">
        <v>177</v>
      </c>
      <c r="DW8" s="96">
        <v>93.41</v>
      </c>
      <c r="DX8" s="83"/>
      <c r="DY8" s="96" t="s">
        <v>177</v>
      </c>
      <c r="DZ8" s="83"/>
      <c r="EA8" s="96" t="s">
        <v>177</v>
      </c>
      <c r="EB8" s="96" t="s">
        <v>177</v>
      </c>
      <c r="EC8" s="96" t="s">
        <v>177</v>
      </c>
      <c r="ED8" s="83"/>
      <c r="EE8" s="96" t="s">
        <v>177</v>
      </c>
      <c r="EF8" s="96" t="s">
        <v>177</v>
      </c>
      <c r="EG8" s="83"/>
      <c r="EH8" s="96">
        <v>60.71</v>
      </c>
      <c r="EI8" s="96">
        <v>63.16</v>
      </c>
      <c r="EJ8" s="83"/>
      <c r="EK8" s="96">
        <v>58.23</v>
      </c>
      <c r="EL8" s="96">
        <v>74.180000000000007</v>
      </c>
      <c r="EM8" s="83"/>
      <c r="EN8" s="96">
        <v>71.34</v>
      </c>
      <c r="EO8" s="96">
        <v>63.01</v>
      </c>
      <c r="EP8" s="96">
        <v>39.229999999999997</v>
      </c>
      <c r="EQ8" s="96">
        <v>78.97</v>
      </c>
      <c r="ER8" s="96">
        <v>44.64</v>
      </c>
    </row>
    <row r="9" spans="1:148">
      <c r="A9" s="191" t="s">
        <v>13</v>
      </c>
      <c r="B9" s="192"/>
      <c r="C9" s="193"/>
      <c r="D9" s="96">
        <v>66.069999999999993</v>
      </c>
      <c r="E9" s="96">
        <v>69.739999999999995</v>
      </c>
      <c r="F9" s="96">
        <v>75.44</v>
      </c>
      <c r="G9" s="96">
        <v>-3.6700000000000017</v>
      </c>
      <c r="H9" s="97">
        <v>-9.3700000000000045</v>
      </c>
      <c r="I9" s="83"/>
      <c r="J9" s="96" t="s">
        <v>177</v>
      </c>
      <c r="K9" s="96">
        <v>77.09</v>
      </c>
      <c r="L9" s="96">
        <v>70.75</v>
      </c>
      <c r="M9" s="96">
        <v>63.56</v>
      </c>
      <c r="N9" s="96">
        <v>73.540000000000006</v>
      </c>
      <c r="O9" s="83"/>
      <c r="P9" s="96">
        <v>66.58</v>
      </c>
      <c r="Q9" s="96">
        <v>65.19</v>
      </c>
      <c r="R9" s="83"/>
      <c r="S9" s="96">
        <v>70.03</v>
      </c>
      <c r="T9" s="96">
        <v>57.36</v>
      </c>
      <c r="U9" s="96">
        <v>69.459999999999994</v>
      </c>
      <c r="V9" s="96">
        <v>70.27</v>
      </c>
      <c r="W9" s="96">
        <v>68.75</v>
      </c>
      <c r="X9" s="83"/>
      <c r="Y9" s="96">
        <v>70.17</v>
      </c>
      <c r="Z9" s="96">
        <v>63.37</v>
      </c>
      <c r="AA9" s="96">
        <v>62.76</v>
      </c>
      <c r="AB9" s="96">
        <v>68.44</v>
      </c>
      <c r="AC9" s="96">
        <v>72.2</v>
      </c>
      <c r="AD9" s="83"/>
      <c r="AE9" s="96">
        <v>65.87</v>
      </c>
      <c r="AF9" s="96">
        <v>71.44</v>
      </c>
      <c r="AG9" s="83"/>
      <c r="AH9" s="96">
        <v>78.180000000000007</v>
      </c>
      <c r="AI9" s="96">
        <v>68.47</v>
      </c>
      <c r="AJ9" s="96">
        <v>59.74</v>
      </c>
      <c r="AK9" s="96">
        <v>47.13</v>
      </c>
      <c r="AL9" s="83"/>
      <c r="AM9" s="96">
        <v>50.79</v>
      </c>
      <c r="AN9" s="96">
        <v>58.33</v>
      </c>
      <c r="AO9" s="96">
        <v>48.37</v>
      </c>
      <c r="AP9" s="96" t="s">
        <v>177</v>
      </c>
      <c r="AQ9" s="96" t="s">
        <v>177</v>
      </c>
      <c r="AR9" s="96">
        <v>50</v>
      </c>
      <c r="AS9" s="96" t="s">
        <v>177</v>
      </c>
      <c r="AT9" s="83"/>
      <c r="AU9" s="96">
        <v>79.92</v>
      </c>
      <c r="AV9" s="96">
        <v>70.569999999999993</v>
      </c>
      <c r="AW9" s="96">
        <v>75.2</v>
      </c>
      <c r="AX9" s="96" t="s">
        <v>177</v>
      </c>
      <c r="AY9" s="96" t="s">
        <v>177</v>
      </c>
      <c r="AZ9" s="96">
        <v>72.819999999999993</v>
      </c>
      <c r="BA9" s="96">
        <v>59.31</v>
      </c>
      <c r="BB9" s="83"/>
      <c r="BC9" s="96" t="s">
        <v>177</v>
      </c>
      <c r="BD9" s="96" t="s">
        <v>177</v>
      </c>
      <c r="BE9" s="96">
        <v>71.989999999999995</v>
      </c>
      <c r="BF9" s="96" t="s">
        <v>177</v>
      </c>
      <c r="BG9" s="96">
        <v>68.87</v>
      </c>
      <c r="BH9" s="96">
        <v>72.22</v>
      </c>
      <c r="BI9" s="96">
        <v>58.99</v>
      </c>
      <c r="BJ9" s="83"/>
      <c r="BK9" s="96" t="s">
        <v>177</v>
      </c>
      <c r="BL9" s="96">
        <v>49.44</v>
      </c>
      <c r="BM9" s="83"/>
      <c r="BN9" s="96" t="s">
        <v>177</v>
      </c>
      <c r="BO9" s="96" t="s">
        <v>177</v>
      </c>
      <c r="BP9" s="96" t="s">
        <v>177</v>
      </c>
      <c r="BQ9" s="96" t="s">
        <v>177</v>
      </c>
      <c r="BR9" s="83"/>
      <c r="BS9" s="96" t="s">
        <v>177</v>
      </c>
      <c r="BT9" s="96" t="s">
        <v>177</v>
      </c>
      <c r="BU9" s="96">
        <v>47.48</v>
      </c>
      <c r="BV9" s="96">
        <v>47.55</v>
      </c>
      <c r="BW9" s="83"/>
      <c r="BX9" s="96" t="s">
        <v>177</v>
      </c>
      <c r="BY9" s="96" t="s">
        <v>177</v>
      </c>
      <c r="BZ9" s="83"/>
      <c r="CA9" s="96" t="s">
        <v>177</v>
      </c>
      <c r="CB9" s="96" t="s">
        <v>177</v>
      </c>
      <c r="CC9" s="83"/>
      <c r="CD9" s="96">
        <v>46.23</v>
      </c>
      <c r="CE9" s="96">
        <v>57.69</v>
      </c>
      <c r="CF9" s="83"/>
      <c r="CG9" s="96" t="s">
        <v>177</v>
      </c>
      <c r="CH9" s="96" t="s">
        <v>177</v>
      </c>
      <c r="CI9" s="83"/>
      <c r="CJ9" s="96" t="s">
        <v>177</v>
      </c>
      <c r="CK9" s="96" t="s">
        <v>177</v>
      </c>
      <c r="CL9" s="96" t="s">
        <v>177</v>
      </c>
      <c r="CM9" s="96">
        <v>81.06</v>
      </c>
      <c r="CN9" s="83"/>
      <c r="CO9" s="96">
        <v>86.46</v>
      </c>
      <c r="CP9" s="96">
        <v>69.27</v>
      </c>
      <c r="CQ9" s="96">
        <v>75.83</v>
      </c>
      <c r="CR9" s="83"/>
      <c r="CS9" s="96">
        <v>75</v>
      </c>
      <c r="CT9" s="96" t="s">
        <v>177</v>
      </c>
      <c r="CU9" s="96">
        <v>78.569999999999993</v>
      </c>
      <c r="CV9" s="96">
        <v>79.17</v>
      </c>
      <c r="CW9" s="96">
        <v>54.17</v>
      </c>
      <c r="CX9" s="96" t="s">
        <v>177</v>
      </c>
      <c r="CY9" s="83"/>
      <c r="CZ9" s="96" t="s">
        <v>177</v>
      </c>
      <c r="DA9" s="83"/>
      <c r="DB9" s="96" t="s">
        <v>177</v>
      </c>
      <c r="DC9" s="83"/>
      <c r="DD9" s="96">
        <v>72.819999999999993</v>
      </c>
      <c r="DE9" s="83"/>
      <c r="DF9" s="96">
        <v>59.31</v>
      </c>
      <c r="DG9" s="83"/>
      <c r="DH9" s="96" t="s">
        <v>177</v>
      </c>
      <c r="DI9" s="83"/>
      <c r="DJ9" s="96" t="s">
        <v>177</v>
      </c>
      <c r="DK9" s="83"/>
      <c r="DL9" s="96" t="s">
        <v>177</v>
      </c>
      <c r="DM9" s="96">
        <v>69.989999999999995</v>
      </c>
      <c r="DN9" s="96">
        <v>80.3</v>
      </c>
      <c r="DO9" s="96">
        <v>73.87</v>
      </c>
      <c r="DP9" s="96" t="s">
        <v>177</v>
      </c>
      <c r="DQ9" s="96">
        <v>79.05</v>
      </c>
      <c r="DR9" s="83"/>
      <c r="DS9" s="96">
        <v>59.38</v>
      </c>
      <c r="DT9" s="96">
        <v>67.2</v>
      </c>
      <c r="DU9" s="96">
        <v>83.33</v>
      </c>
      <c r="DV9" s="96" t="s">
        <v>177</v>
      </c>
      <c r="DW9" s="96">
        <v>91.67</v>
      </c>
      <c r="DX9" s="83"/>
      <c r="DY9" s="96" t="s">
        <v>177</v>
      </c>
      <c r="DZ9" s="83"/>
      <c r="EA9" s="96" t="s">
        <v>177</v>
      </c>
      <c r="EB9" s="96" t="s">
        <v>177</v>
      </c>
      <c r="EC9" s="96" t="s">
        <v>177</v>
      </c>
      <c r="ED9" s="83"/>
      <c r="EE9" s="96" t="s">
        <v>177</v>
      </c>
      <c r="EF9" s="96" t="s">
        <v>177</v>
      </c>
      <c r="EG9" s="83"/>
      <c r="EH9" s="96">
        <v>60.16</v>
      </c>
      <c r="EI9" s="96">
        <v>57.89</v>
      </c>
      <c r="EJ9" s="83"/>
      <c r="EK9" s="96">
        <v>50.14</v>
      </c>
      <c r="EL9" s="96">
        <v>70.489999999999995</v>
      </c>
      <c r="EM9" s="83"/>
      <c r="EN9" s="96">
        <v>62.54</v>
      </c>
      <c r="EO9" s="96">
        <v>65.52</v>
      </c>
      <c r="EP9" s="96">
        <v>41.02</v>
      </c>
      <c r="EQ9" s="96">
        <v>74.63</v>
      </c>
      <c r="ER9" s="96">
        <v>41.52</v>
      </c>
    </row>
    <row r="10" spans="1:148">
      <c r="A10" s="194" t="s">
        <v>14</v>
      </c>
      <c r="B10" s="195"/>
      <c r="C10" s="196"/>
      <c r="D10" s="96">
        <v>67.180000000000007</v>
      </c>
      <c r="E10" s="96">
        <v>71.430000000000007</v>
      </c>
      <c r="F10" s="96">
        <v>80.28</v>
      </c>
      <c r="G10" s="96">
        <v>-4.25</v>
      </c>
      <c r="H10" s="97">
        <v>-13.099999999999994</v>
      </c>
      <c r="I10" s="83"/>
      <c r="J10" s="96" t="s">
        <v>177</v>
      </c>
      <c r="K10" s="96">
        <v>82.77</v>
      </c>
      <c r="L10" s="96">
        <v>71.88</v>
      </c>
      <c r="M10" s="96">
        <v>65.02</v>
      </c>
      <c r="N10" s="96">
        <v>59.65</v>
      </c>
      <c r="O10" s="83"/>
      <c r="P10" s="96">
        <v>65.39</v>
      </c>
      <c r="Q10" s="96">
        <v>70.290000000000006</v>
      </c>
      <c r="R10" s="83"/>
      <c r="S10" s="96">
        <v>58.81</v>
      </c>
      <c r="T10" s="96">
        <v>55.81</v>
      </c>
      <c r="U10" s="96">
        <v>72.540000000000006</v>
      </c>
      <c r="V10" s="96">
        <v>73.819999999999993</v>
      </c>
      <c r="W10" s="96">
        <v>71.430000000000007</v>
      </c>
      <c r="X10" s="83"/>
      <c r="Y10" s="96">
        <v>68.23</v>
      </c>
      <c r="Z10" s="96">
        <v>64.459999999999994</v>
      </c>
      <c r="AA10" s="96">
        <v>63.65</v>
      </c>
      <c r="AB10" s="96">
        <v>71.23</v>
      </c>
      <c r="AC10" s="96">
        <v>75.430000000000007</v>
      </c>
      <c r="AD10" s="83"/>
      <c r="AE10" s="96">
        <v>67.540000000000006</v>
      </c>
      <c r="AF10" s="96">
        <v>57.89</v>
      </c>
      <c r="AG10" s="83"/>
      <c r="AH10" s="96">
        <v>81.510000000000005</v>
      </c>
      <c r="AI10" s="96">
        <v>70.599999999999994</v>
      </c>
      <c r="AJ10" s="96">
        <v>59.22</v>
      </c>
      <c r="AK10" s="96">
        <v>46.96</v>
      </c>
      <c r="AL10" s="83"/>
      <c r="AM10" s="96">
        <v>53.57</v>
      </c>
      <c r="AN10" s="96">
        <v>72.92</v>
      </c>
      <c r="AO10" s="96">
        <v>49.1</v>
      </c>
      <c r="AP10" s="96" t="s">
        <v>177</v>
      </c>
      <c r="AQ10" s="96" t="s">
        <v>177</v>
      </c>
      <c r="AR10" s="96">
        <v>53.77</v>
      </c>
      <c r="AS10" s="96" t="s">
        <v>177</v>
      </c>
      <c r="AT10" s="83"/>
      <c r="AU10" s="96">
        <v>80.17</v>
      </c>
      <c r="AV10" s="96">
        <v>69.489999999999995</v>
      </c>
      <c r="AW10" s="96">
        <v>78.959999999999994</v>
      </c>
      <c r="AX10" s="96" t="s">
        <v>177</v>
      </c>
      <c r="AY10" s="96" t="s">
        <v>177</v>
      </c>
      <c r="AZ10" s="96">
        <v>71.430000000000007</v>
      </c>
      <c r="BA10" s="96">
        <v>57.35</v>
      </c>
      <c r="BB10" s="83"/>
      <c r="BC10" s="96" t="s">
        <v>177</v>
      </c>
      <c r="BD10" s="96" t="s">
        <v>177</v>
      </c>
      <c r="BE10" s="96">
        <v>73.37</v>
      </c>
      <c r="BF10" s="96" t="s">
        <v>177</v>
      </c>
      <c r="BG10" s="96">
        <v>76.040000000000006</v>
      </c>
      <c r="BH10" s="96">
        <v>81.25</v>
      </c>
      <c r="BI10" s="96">
        <v>62.7</v>
      </c>
      <c r="BJ10" s="83"/>
      <c r="BK10" s="96" t="s">
        <v>177</v>
      </c>
      <c r="BL10" s="96">
        <v>45.83</v>
      </c>
      <c r="BM10" s="83"/>
      <c r="BN10" s="96" t="s">
        <v>177</v>
      </c>
      <c r="BO10" s="96" t="s">
        <v>177</v>
      </c>
      <c r="BP10" s="96" t="s">
        <v>177</v>
      </c>
      <c r="BQ10" s="96" t="s">
        <v>177</v>
      </c>
      <c r="BR10" s="83"/>
      <c r="BS10" s="96" t="s">
        <v>177</v>
      </c>
      <c r="BT10" s="96" t="s">
        <v>177</v>
      </c>
      <c r="BU10" s="96">
        <v>53.27</v>
      </c>
      <c r="BV10" s="96">
        <v>39.71</v>
      </c>
      <c r="BW10" s="83"/>
      <c r="BX10" s="96" t="s">
        <v>177</v>
      </c>
      <c r="BY10" s="96" t="s">
        <v>177</v>
      </c>
      <c r="BZ10" s="83"/>
      <c r="CA10" s="96" t="s">
        <v>177</v>
      </c>
      <c r="CB10" s="96" t="s">
        <v>177</v>
      </c>
      <c r="CC10" s="83"/>
      <c r="CD10" s="96">
        <v>45.91</v>
      </c>
      <c r="CE10" s="96">
        <v>70.19</v>
      </c>
      <c r="CF10" s="83"/>
      <c r="CG10" s="96" t="s">
        <v>177</v>
      </c>
      <c r="CH10" s="96" t="s">
        <v>177</v>
      </c>
      <c r="CI10" s="83"/>
      <c r="CJ10" s="96" t="s">
        <v>177</v>
      </c>
      <c r="CK10" s="96" t="s">
        <v>177</v>
      </c>
      <c r="CL10" s="96" t="s">
        <v>177</v>
      </c>
      <c r="CM10" s="96">
        <v>76.14</v>
      </c>
      <c r="CN10" s="83"/>
      <c r="CO10" s="96">
        <v>93.75</v>
      </c>
      <c r="CP10" s="96">
        <v>67.959999999999994</v>
      </c>
      <c r="CQ10" s="96">
        <v>71.25</v>
      </c>
      <c r="CR10" s="83"/>
      <c r="CS10" s="96">
        <v>83.93</v>
      </c>
      <c r="CT10" s="96" t="s">
        <v>177</v>
      </c>
      <c r="CU10" s="96">
        <v>87.51</v>
      </c>
      <c r="CV10" s="96">
        <v>82.14</v>
      </c>
      <c r="CW10" s="96">
        <v>52.08</v>
      </c>
      <c r="CX10" s="96" t="s">
        <v>177</v>
      </c>
      <c r="CY10" s="83"/>
      <c r="CZ10" s="96" t="s">
        <v>177</v>
      </c>
      <c r="DA10" s="83"/>
      <c r="DB10" s="96" t="s">
        <v>177</v>
      </c>
      <c r="DC10" s="83"/>
      <c r="DD10" s="96">
        <v>71.430000000000007</v>
      </c>
      <c r="DE10" s="83"/>
      <c r="DF10" s="96">
        <v>57.35</v>
      </c>
      <c r="DG10" s="83"/>
      <c r="DH10" s="96" t="s">
        <v>177</v>
      </c>
      <c r="DI10" s="83"/>
      <c r="DJ10" s="96" t="s">
        <v>177</v>
      </c>
      <c r="DK10" s="83"/>
      <c r="DL10" s="96" t="s">
        <v>177</v>
      </c>
      <c r="DM10" s="96">
        <v>59.75</v>
      </c>
      <c r="DN10" s="96">
        <v>75</v>
      </c>
      <c r="DO10" s="96">
        <v>68.98</v>
      </c>
      <c r="DP10" s="96" t="s">
        <v>177</v>
      </c>
      <c r="DQ10" s="96">
        <v>77.78</v>
      </c>
      <c r="DR10" s="83"/>
      <c r="DS10" s="96">
        <v>62.1</v>
      </c>
      <c r="DT10" s="96">
        <v>72.12</v>
      </c>
      <c r="DU10" s="96">
        <v>95.31</v>
      </c>
      <c r="DV10" s="96" t="s">
        <v>177</v>
      </c>
      <c r="DW10" s="96">
        <v>100</v>
      </c>
      <c r="DX10" s="83"/>
      <c r="DY10" s="96" t="s">
        <v>177</v>
      </c>
      <c r="DZ10" s="83"/>
      <c r="EA10" s="96" t="s">
        <v>177</v>
      </c>
      <c r="EB10" s="96" t="s">
        <v>177</v>
      </c>
      <c r="EC10" s="96" t="s">
        <v>177</v>
      </c>
      <c r="ED10" s="83"/>
      <c r="EE10" s="96" t="s">
        <v>177</v>
      </c>
      <c r="EF10" s="96" t="s">
        <v>177</v>
      </c>
      <c r="EG10" s="83"/>
      <c r="EH10" s="96">
        <v>64.95</v>
      </c>
      <c r="EI10" s="96">
        <v>60.53</v>
      </c>
      <c r="EJ10" s="83"/>
      <c r="EK10" s="96">
        <v>52</v>
      </c>
      <c r="EL10" s="96">
        <v>71.430000000000007</v>
      </c>
      <c r="EM10" s="83"/>
      <c r="EN10" s="96">
        <v>60.05</v>
      </c>
      <c r="EO10" s="96">
        <v>62.11</v>
      </c>
      <c r="EP10" s="96">
        <v>29.03</v>
      </c>
      <c r="EQ10" s="96">
        <v>80.47</v>
      </c>
      <c r="ER10" s="96">
        <v>37.51</v>
      </c>
    </row>
    <row r="11" spans="1:148">
      <c r="A11" s="197" t="s">
        <v>15</v>
      </c>
      <c r="B11" s="198"/>
      <c r="C11" s="199"/>
      <c r="D11" s="96">
        <v>69.290000000000006</v>
      </c>
      <c r="E11" s="96">
        <v>73.430000000000007</v>
      </c>
      <c r="F11" s="96">
        <v>83.31</v>
      </c>
      <c r="G11" s="96">
        <v>-4.1400000000000006</v>
      </c>
      <c r="H11" s="97">
        <v>-14.019999999999996</v>
      </c>
      <c r="I11" s="83"/>
      <c r="J11" s="96" t="s">
        <v>177</v>
      </c>
      <c r="K11" s="96">
        <v>81.09</v>
      </c>
      <c r="L11" s="96">
        <v>72.7</v>
      </c>
      <c r="M11" s="96">
        <v>67.010000000000005</v>
      </c>
      <c r="N11" s="96">
        <v>80</v>
      </c>
      <c r="O11" s="83"/>
      <c r="P11" s="96">
        <v>67.599999999999994</v>
      </c>
      <c r="Q11" s="96">
        <v>72.209999999999994</v>
      </c>
      <c r="R11" s="83"/>
      <c r="S11" s="96">
        <v>77.2</v>
      </c>
      <c r="T11" s="96">
        <v>62.81</v>
      </c>
      <c r="U11" s="96">
        <v>72.349999999999994</v>
      </c>
      <c r="V11" s="96">
        <v>71.319999999999993</v>
      </c>
      <c r="W11" s="96">
        <v>67.14</v>
      </c>
      <c r="X11" s="83"/>
      <c r="Y11" s="96">
        <v>72.680000000000007</v>
      </c>
      <c r="Z11" s="96">
        <v>66.510000000000005</v>
      </c>
      <c r="AA11" s="96">
        <v>66.77</v>
      </c>
      <c r="AB11" s="96">
        <v>70</v>
      </c>
      <c r="AC11" s="96">
        <v>76.489999999999995</v>
      </c>
      <c r="AD11" s="83"/>
      <c r="AE11" s="96">
        <v>68.95</v>
      </c>
      <c r="AF11" s="96">
        <v>78</v>
      </c>
      <c r="AG11" s="83"/>
      <c r="AH11" s="96">
        <v>81.819999999999993</v>
      </c>
      <c r="AI11" s="96">
        <v>73.459999999999994</v>
      </c>
      <c r="AJ11" s="96">
        <v>61.19</v>
      </c>
      <c r="AK11" s="96">
        <v>51.38</v>
      </c>
      <c r="AL11" s="83"/>
      <c r="AM11" s="96">
        <v>63.81</v>
      </c>
      <c r="AN11" s="96">
        <v>70</v>
      </c>
      <c r="AO11" s="96">
        <v>50.09</v>
      </c>
      <c r="AP11" s="96" t="s">
        <v>177</v>
      </c>
      <c r="AQ11" s="96" t="s">
        <v>177</v>
      </c>
      <c r="AR11" s="96">
        <v>56.35</v>
      </c>
      <c r="AS11" s="96" t="s">
        <v>177</v>
      </c>
      <c r="AT11" s="83"/>
      <c r="AU11" s="96">
        <v>81.650000000000006</v>
      </c>
      <c r="AV11" s="96">
        <v>76.489999999999995</v>
      </c>
      <c r="AW11" s="96">
        <v>74.150000000000006</v>
      </c>
      <c r="AX11" s="96" t="s">
        <v>177</v>
      </c>
      <c r="AY11" s="96" t="s">
        <v>177</v>
      </c>
      <c r="AZ11" s="96">
        <v>82.86</v>
      </c>
      <c r="BA11" s="96">
        <v>56.47</v>
      </c>
      <c r="BB11" s="83"/>
      <c r="BC11" s="96" t="s">
        <v>177</v>
      </c>
      <c r="BD11" s="96" t="s">
        <v>177</v>
      </c>
      <c r="BE11" s="96">
        <v>72.12</v>
      </c>
      <c r="BF11" s="96" t="s">
        <v>177</v>
      </c>
      <c r="BG11" s="96">
        <v>85.56</v>
      </c>
      <c r="BH11" s="96">
        <v>66.67</v>
      </c>
      <c r="BI11" s="96">
        <v>62.89</v>
      </c>
      <c r="BJ11" s="83"/>
      <c r="BK11" s="96" t="s">
        <v>177</v>
      </c>
      <c r="BL11" s="96">
        <v>57.67</v>
      </c>
      <c r="BM11" s="83"/>
      <c r="BN11" s="96" t="s">
        <v>177</v>
      </c>
      <c r="BO11" s="96" t="s">
        <v>177</v>
      </c>
      <c r="BP11" s="96" t="s">
        <v>177</v>
      </c>
      <c r="BQ11" s="96" t="s">
        <v>177</v>
      </c>
      <c r="BR11" s="83"/>
      <c r="BS11" s="96" t="s">
        <v>177</v>
      </c>
      <c r="BT11" s="96" t="s">
        <v>177</v>
      </c>
      <c r="BU11" s="96">
        <v>56.11</v>
      </c>
      <c r="BV11" s="96">
        <v>37.06</v>
      </c>
      <c r="BW11" s="83"/>
      <c r="BX11" s="96" t="s">
        <v>177</v>
      </c>
      <c r="BY11" s="96" t="s">
        <v>177</v>
      </c>
      <c r="BZ11" s="83"/>
      <c r="CA11" s="96" t="s">
        <v>177</v>
      </c>
      <c r="CB11" s="96" t="s">
        <v>177</v>
      </c>
      <c r="CC11" s="83"/>
      <c r="CD11" s="96">
        <v>49.06</v>
      </c>
      <c r="CE11" s="96">
        <v>71.540000000000006</v>
      </c>
      <c r="CF11" s="83"/>
      <c r="CG11" s="96" t="s">
        <v>177</v>
      </c>
      <c r="CH11" s="96" t="s">
        <v>177</v>
      </c>
      <c r="CI11" s="83"/>
      <c r="CJ11" s="96" t="s">
        <v>177</v>
      </c>
      <c r="CK11" s="96" t="s">
        <v>177</v>
      </c>
      <c r="CL11" s="96" t="s">
        <v>177</v>
      </c>
      <c r="CM11" s="96">
        <v>81.819999999999993</v>
      </c>
      <c r="CN11" s="83"/>
      <c r="CO11" s="96">
        <v>91.25</v>
      </c>
      <c r="CP11" s="96">
        <v>76.319999999999993</v>
      </c>
      <c r="CQ11" s="96">
        <v>67</v>
      </c>
      <c r="CR11" s="83"/>
      <c r="CS11" s="96">
        <v>74.290000000000006</v>
      </c>
      <c r="CT11" s="96" t="s">
        <v>177</v>
      </c>
      <c r="CU11" s="96">
        <v>80</v>
      </c>
      <c r="CV11" s="96">
        <v>81.430000000000007</v>
      </c>
      <c r="CW11" s="96">
        <v>50</v>
      </c>
      <c r="CX11" s="96" t="s">
        <v>177</v>
      </c>
      <c r="CY11" s="83"/>
      <c r="CZ11" s="96" t="s">
        <v>177</v>
      </c>
      <c r="DA11" s="83"/>
      <c r="DB11" s="96" t="s">
        <v>177</v>
      </c>
      <c r="DC11" s="83"/>
      <c r="DD11" s="96">
        <v>82.86</v>
      </c>
      <c r="DE11" s="83"/>
      <c r="DF11" s="96">
        <v>56.47</v>
      </c>
      <c r="DG11" s="83"/>
      <c r="DH11" s="96" t="s">
        <v>177</v>
      </c>
      <c r="DI11" s="83"/>
      <c r="DJ11" s="96" t="s">
        <v>177</v>
      </c>
      <c r="DK11" s="83"/>
      <c r="DL11" s="96" t="s">
        <v>177</v>
      </c>
      <c r="DM11" s="96">
        <v>56.31</v>
      </c>
      <c r="DN11" s="96">
        <v>74.55</v>
      </c>
      <c r="DO11" s="96">
        <v>64.19</v>
      </c>
      <c r="DP11" s="96" t="s">
        <v>177</v>
      </c>
      <c r="DQ11" s="96">
        <v>80</v>
      </c>
      <c r="DR11" s="83"/>
      <c r="DS11" s="96">
        <v>67.77</v>
      </c>
      <c r="DT11" s="96">
        <v>73.33</v>
      </c>
      <c r="DU11" s="96">
        <v>76.25</v>
      </c>
      <c r="DV11" s="96" t="s">
        <v>177</v>
      </c>
      <c r="DW11" s="96">
        <v>92.86</v>
      </c>
      <c r="DX11" s="83"/>
      <c r="DY11" s="96" t="s">
        <v>177</v>
      </c>
      <c r="DZ11" s="83"/>
      <c r="EA11" s="96" t="s">
        <v>177</v>
      </c>
      <c r="EB11" s="96" t="s">
        <v>177</v>
      </c>
      <c r="EC11" s="96" t="s">
        <v>177</v>
      </c>
      <c r="ED11" s="83"/>
      <c r="EE11" s="96" t="s">
        <v>177</v>
      </c>
      <c r="EF11" s="96" t="s">
        <v>177</v>
      </c>
      <c r="EG11" s="83"/>
      <c r="EH11" s="96">
        <v>58.95</v>
      </c>
      <c r="EI11" s="96">
        <v>66.84</v>
      </c>
      <c r="EJ11" s="83"/>
      <c r="EK11" s="96">
        <v>54.49</v>
      </c>
      <c r="EL11" s="96">
        <v>73.39</v>
      </c>
      <c r="EM11" s="83"/>
      <c r="EN11" s="96">
        <v>68.55</v>
      </c>
      <c r="EO11" s="96">
        <v>63.02</v>
      </c>
      <c r="EP11" s="96">
        <v>28.22</v>
      </c>
      <c r="EQ11" s="96">
        <v>79</v>
      </c>
      <c r="ER11" s="96">
        <v>40.909999999999997</v>
      </c>
    </row>
    <row r="12" spans="1:148">
      <c r="A12" s="98" t="s">
        <v>178</v>
      </c>
      <c r="B12" s="99">
        <v>58</v>
      </c>
      <c r="C12" s="100" t="s">
        <v>16</v>
      </c>
      <c r="D12" s="101">
        <v>66.099999999999994</v>
      </c>
      <c r="E12" s="101">
        <v>70.81</v>
      </c>
      <c r="F12" s="101">
        <v>82.28</v>
      </c>
      <c r="G12" s="101">
        <v>-4.710000000000008</v>
      </c>
      <c r="H12" s="102">
        <v>-16.180000000000007</v>
      </c>
      <c r="I12" s="83"/>
      <c r="J12" s="101" t="s">
        <v>177</v>
      </c>
      <c r="K12" s="101">
        <v>84.85</v>
      </c>
      <c r="L12" s="101">
        <v>73.08</v>
      </c>
      <c r="M12" s="101">
        <v>61.9</v>
      </c>
      <c r="N12" s="101">
        <v>84.21</v>
      </c>
      <c r="O12" s="83"/>
      <c r="P12" s="101">
        <v>65.09</v>
      </c>
      <c r="Q12" s="101">
        <v>67.86</v>
      </c>
      <c r="R12" s="83"/>
      <c r="S12" s="101">
        <v>84</v>
      </c>
      <c r="T12" s="101">
        <v>57.86</v>
      </c>
      <c r="U12" s="101">
        <v>67.98</v>
      </c>
      <c r="V12" s="101">
        <v>70.63</v>
      </c>
      <c r="W12" s="101">
        <v>61.9</v>
      </c>
      <c r="X12" s="83"/>
      <c r="Y12" s="101">
        <v>77.63</v>
      </c>
      <c r="Z12" s="101">
        <v>63.59</v>
      </c>
      <c r="AA12" s="101">
        <v>58.41</v>
      </c>
      <c r="AB12" s="101">
        <v>68.849999999999994</v>
      </c>
      <c r="AC12" s="101">
        <v>70.510000000000005</v>
      </c>
      <c r="AD12" s="83"/>
      <c r="AE12" s="101">
        <v>65.37</v>
      </c>
      <c r="AF12" s="101">
        <v>85</v>
      </c>
      <c r="AG12" s="83"/>
      <c r="AH12" s="101">
        <v>79.680000000000007</v>
      </c>
      <c r="AI12" s="101">
        <v>73.33</v>
      </c>
      <c r="AJ12" s="101">
        <v>58.39</v>
      </c>
      <c r="AK12" s="101">
        <v>40.96</v>
      </c>
      <c r="AL12" s="83"/>
      <c r="AM12" s="101">
        <v>42.86</v>
      </c>
      <c r="AN12" s="101">
        <v>66.67</v>
      </c>
      <c r="AO12" s="101">
        <v>52.94</v>
      </c>
      <c r="AP12" s="101" t="s">
        <v>177</v>
      </c>
      <c r="AQ12" s="101" t="s">
        <v>177</v>
      </c>
      <c r="AR12" s="101">
        <v>42.51</v>
      </c>
      <c r="AS12" s="101" t="s">
        <v>177</v>
      </c>
      <c r="AT12" s="83"/>
      <c r="AU12" s="101">
        <v>85.71</v>
      </c>
      <c r="AV12" s="101">
        <v>67.95</v>
      </c>
      <c r="AW12" s="101">
        <v>82.93</v>
      </c>
      <c r="AX12" s="101" t="s">
        <v>177</v>
      </c>
      <c r="AY12" s="101" t="s">
        <v>177</v>
      </c>
      <c r="AZ12" s="101">
        <v>71.430000000000007</v>
      </c>
      <c r="BA12" s="101">
        <v>58.82</v>
      </c>
      <c r="BB12" s="83"/>
      <c r="BC12" s="101" t="s">
        <v>177</v>
      </c>
      <c r="BD12" s="101" t="s">
        <v>177</v>
      </c>
      <c r="BE12" s="101">
        <v>72.64</v>
      </c>
      <c r="BF12" s="101" t="s">
        <v>177</v>
      </c>
      <c r="BG12" s="101">
        <v>62.51</v>
      </c>
      <c r="BH12" s="101">
        <v>100</v>
      </c>
      <c r="BI12" s="101">
        <v>57.89</v>
      </c>
      <c r="BJ12" s="83"/>
      <c r="BK12" s="101" t="s">
        <v>177</v>
      </c>
      <c r="BL12" s="101">
        <v>33.33</v>
      </c>
      <c r="BM12" s="83"/>
      <c r="BN12" s="101" t="s">
        <v>177</v>
      </c>
      <c r="BO12" s="101" t="s">
        <v>177</v>
      </c>
      <c r="BP12" s="101" t="s">
        <v>177</v>
      </c>
      <c r="BQ12" s="101" t="s">
        <v>177</v>
      </c>
      <c r="BR12" s="83"/>
      <c r="BS12" s="101" t="s">
        <v>177</v>
      </c>
      <c r="BT12" s="101" t="s">
        <v>177</v>
      </c>
      <c r="BU12" s="101">
        <v>62.51</v>
      </c>
      <c r="BV12" s="101">
        <v>35.29</v>
      </c>
      <c r="BW12" s="83"/>
      <c r="BX12" s="101" t="s">
        <v>177</v>
      </c>
      <c r="BY12" s="101" t="s">
        <v>177</v>
      </c>
      <c r="BZ12" s="83"/>
      <c r="CA12" s="101" t="s">
        <v>177</v>
      </c>
      <c r="CB12" s="101" t="s">
        <v>177</v>
      </c>
      <c r="CC12" s="83"/>
      <c r="CD12" s="101">
        <v>40.74</v>
      </c>
      <c r="CE12" s="101">
        <v>46.15</v>
      </c>
      <c r="CF12" s="83"/>
      <c r="CG12" s="101" t="s">
        <v>177</v>
      </c>
      <c r="CH12" s="101" t="s">
        <v>177</v>
      </c>
      <c r="CI12" s="83"/>
      <c r="CJ12" s="101" t="s">
        <v>177</v>
      </c>
      <c r="CK12" s="101" t="s">
        <v>177</v>
      </c>
      <c r="CL12" s="101" t="s">
        <v>177</v>
      </c>
      <c r="CM12" s="101">
        <v>81.819999999999993</v>
      </c>
      <c r="CN12" s="83"/>
      <c r="CO12" s="101">
        <v>87.51</v>
      </c>
      <c r="CP12" s="101">
        <v>66.67</v>
      </c>
      <c r="CQ12" s="101">
        <v>70</v>
      </c>
      <c r="CR12" s="83"/>
      <c r="CS12" s="101">
        <v>71.430000000000007</v>
      </c>
      <c r="CT12" s="101" t="s">
        <v>177</v>
      </c>
      <c r="CU12" s="101">
        <v>85.71</v>
      </c>
      <c r="CV12" s="101">
        <v>92.86</v>
      </c>
      <c r="CW12" s="101">
        <v>50</v>
      </c>
      <c r="CX12" s="101" t="s">
        <v>177</v>
      </c>
      <c r="CY12" s="83"/>
      <c r="CZ12" s="101" t="s">
        <v>177</v>
      </c>
      <c r="DA12" s="83"/>
      <c r="DB12" s="101" t="s">
        <v>177</v>
      </c>
      <c r="DC12" s="83"/>
      <c r="DD12" s="101">
        <v>71.430000000000007</v>
      </c>
      <c r="DE12" s="83"/>
      <c r="DF12" s="101">
        <v>58.82</v>
      </c>
      <c r="DG12" s="83"/>
      <c r="DH12" s="101" t="s">
        <v>177</v>
      </c>
      <c r="DI12" s="83"/>
      <c r="DJ12" s="101" t="s">
        <v>177</v>
      </c>
      <c r="DK12" s="83"/>
      <c r="DL12" s="101" t="s">
        <v>177</v>
      </c>
      <c r="DM12" s="101">
        <v>33.33</v>
      </c>
      <c r="DN12" s="101">
        <v>81.819999999999993</v>
      </c>
      <c r="DO12" s="101">
        <v>62.51</v>
      </c>
      <c r="DP12" s="101" t="s">
        <v>177</v>
      </c>
      <c r="DQ12" s="101">
        <v>88.89</v>
      </c>
      <c r="DR12" s="83"/>
      <c r="DS12" s="101">
        <v>58.62</v>
      </c>
      <c r="DT12" s="101">
        <v>76.92</v>
      </c>
      <c r="DU12" s="101">
        <v>100</v>
      </c>
      <c r="DV12" s="101" t="s">
        <v>177</v>
      </c>
      <c r="DW12" s="101">
        <v>100</v>
      </c>
      <c r="DX12" s="83"/>
      <c r="DY12" s="101" t="s">
        <v>177</v>
      </c>
      <c r="DZ12" s="83"/>
      <c r="EA12" s="101" t="s">
        <v>177</v>
      </c>
      <c r="EB12" s="101" t="s">
        <v>177</v>
      </c>
      <c r="EC12" s="101" t="s">
        <v>177</v>
      </c>
      <c r="ED12" s="83"/>
      <c r="EE12" s="101" t="s">
        <v>177</v>
      </c>
      <c r="EF12" s="101" t="s">
        <v>177</v>
      </c>
      <c r="EG12" s="83"/>
      <c r="EH12" s="101">
        <v>68.42</v>
      </c>
      <c r="EI12" s="101">
        <v>47.37</v>
      </c>
      <c r="EJ12" s="83"/>
      <c r="EK12" s="101">
        <v>48.28</v>
      </c>
      <c r="EL12" s="101">
        <v>71.05</v>
      </c>
      <c r="EM12" s="83"/>
      <c r="EN12" s="101">
        <v>62.32</v>
      </c>
      <c r="EO12" s="101">
        <v>62.79</v>
      </c>
      <c r="EP12" s="101">
        <v>30</v>
      </c>
      <c r="EQ12" s="101">
        <v>78.95</v>
      </c>
      <c r="ER12" s="101">
        <v>28.57</v>
      </c>
    </row>
    <row r="13" spans="1:148">
      <c r="A13" s="180" t="s">
        <v>17</v>
      </c>
      <c r="B13" s="181"/>
      <c r="C13" s="182"/>
      <c r="D13" s="2">
        <v>68.66</v>
      </c>
      <c r="E13" s="2">
        <v>72.650000000000006</v>
      </c>
      <c r="F13" s="2">
        <v>78.88</v>
      </c>
      <c r="G13" s="2">
        <v>-3.9900000000000091</v>
      </c>
      <c r="H13" s="2">
        <v>-10.219999999999999</v>
      </c>
      <c r="I13" s="83"/>
      <c r="J13" s="2" t="s">
        <v>177</v>
      </c>
      <c r="K13" s="2">
        <v>81.95</v>
      </c>
      <c r="L13" s="2">
        <v>73.63</v>
      </c>
      <c r="M13" s="2">
        <v>65.900000000000006</v>
      </c>
      <c r="N13" s="2">
        <v>77.260000000000005</v>
      </c>
      <c r="O13" s="83"/>
      <c r="P13" s="2">
        <v>67.92</v>
      </c>
      <c r="Q13" s="2">
        <v>69.959999999999994</v>
      </c>
      <c r="R13" s="83"/>
      <c r="S13" s="2">
        <v>73.83</v>
      </c>
      <c r="T13" s="2">
        <v>59.53</v>
      </c>
      <c r="U13" s="2">
        <v>72.44</v>
      </c>
      <c r="V13" s="2">
        <v>72.56</v>
      </c>
      <c r="W13" s="2">
        <v>71.7</v>
      </c>
      <c r="X13" s="83"/>
      <c r="Y13" s="2">
        <v>71.45</v>
      </c>
      <c r="Z13" s="2">
        <v>66.28</v>
      </c>
      <c r="AA13" s="2">
        <v>65.08</v>
      </c>
      <c r="AB13" s="2">
        <v>70.23</v>
      </c>
      <c r="AC13" s="2">
        <v>76.27</v>
      </c>
      <c r="AD13" s="83"/>
      <c r="AE13" s="2">
        <v>68.42</v>
      </c>
      <c r="AF13" s="2">
        <v>75.09</v>
      </c>
      <c r="AG13" s="83"/>
      <c r="AH13" s="2">
        <v>82.22</v>
      </c>
      <c r="AI13" s="2">
        <v>72.290000000000006</v>
      </c>
      <c r="AJ13" s="2">
        <v>60.39</v>
      </c>
      <c r="AK13" s="2">
        <v>48.85</v>
      </c>
      <c r="AL13" s="83"/>
      <c r="AM13" s="2">
        <v>53.78</v>
      </c>
      <c r="AN13" s="2">
        <v>69.599999999999994</v>
      </c>
      <c r="AO13" s="2">
        <v>51.49</v>
      </c>
      <c r="AP13" s="2" t="s">
        <v>177</v>
      </c>
      <c r="AQ13" s="2" t="s">
        <v>177</v>
      </c>
      <c r="AR13" s="2">
        <v>52.19</v>
      </c>
      <c r="AS13" s="2" t="s">
        <v>177</v>
      </c>
      <c r="AT13" s="83"/>
      <c r="AU13" s="2">
        <v>82.58</v>
      </c>
      <c r="AV13" s="2">
        <v>72.69</v>
      </c>
      <c r="AW13" s="2">
        <v>79.94</v>
      </c>
      <c r="AX13" s="2" t="s">
        <v>177</v>
      </c>
      <c r="AY13" s="2" t="s">
        <v>177</v>
      </c>
      <c r="AZ13" s="2">
        <v>80.58</v>
      </c>
      <c r="BA13" s="2">
        <v>59.53</v>
      </c>
      <c r="BB13" s="83"/>
      <c r="BC13" s="2" t="s">
        <v>177</v>
      </c>
      <c r="BD13" s="2" t="s">
        <v>177</v>
      </c>
      <c r="BE13" s="2">
        <v>73.709999999999994</v>
      </c>
      <c r="BF13" s="2" t="s">
        <v>177</v>
      </c>
      <c r="BG13" s="2">
        <v>76.13</v>
      </c>
      <c r="BH13" s="2">
        <v>72.13</v>
      </c>
      <c r="BI13" s="2">
        <v>60.86</v>
      </c>
      <c r="BJ13" s="83"/>
      <c r="BK13" s="2" t="s">
        <v>177</v>
      </c>
      <c r="BL13" s="2">
        <v>50.06</v>
      </c>
      <c r="BM13" s="83"/>
      <c r="BN13" s="2" t="s">
        <v>177</v>
      </c>
      <c r="BO13" s="2" t="s">
        <v>177</v>
      </c>
      <c r="BP13" s="2" t="s">
        <v>177</v>
      </c>
      <c r="BQ13" s="2" t="s">
        <v>177</v>
      </c>
      <c r="BR13" s="83"/>
      <c r="BS13" s="2" t="s">
        <v>177</v>
      </c>
      <c r="BT13" s="2" t="s">
        <v>177</v>
      </c>
      <c r="BU13" s="2">
        <v>54.29</v>
      </c>
      <c r="BV13" s="2">
        <v>43.81</v>
      </c>
      <c r="BW13" s="83"/>
      <c r="BX13" s="2" t="s">
        <v>177</v>
      </c>
      <c r="BY13" s="2" t="s">
        <v>177</v>
      </c>
      <c r="BZ13" s="83"/>
      <c r="CA13" s="2" t="s">
        <v>177</v>
      </c>
      <c r="CB13" s="2" t="s">
        <v>177</v>
      </c>
      <c r="CC13" s="83"/>
      <c r="CD13" s="2">
        <v>47.95</v>
      </c>
      <c r="CE13" s="2">
        <v>61.01</v>
      </c>
      <c r="CF13" s="83"/>
      <c r="CG13" s="2" t="s">
        <v>177</v>
      </c>
      <c r="CH13" s="2" t="s">
        <v>177</v>
      </c>
      <c r="CI13" s="83"/>
      <c r="CJ13" s="2" t="s">
        <v>177</v>
      </c>
      <c r="CK13" s="2" t="s">
        <v>177</v>
      </c>
      <c r="CL13" s="2" t="s">
        <v>177</v>
      </c>
      <c r="CM13" s="2">
        <v>82.6</v>
      </c>
      <c r="CN13" s="83"/>
      <c r="CO13" s="2">
        <v>89.87</v>
      </c>
      <c r="CP13" s="2">
        <v>71.58</v>
      </c>
      <c r="CQ13" s="2">
        <v>74.31</v>
      </c>
      <c r="CR13" s="83"/>
      <c r="CS13" s="2">
        <v>79.06</v>
      </c>
      <c r="CT13" s="2" t="s">
        <v>177</v>
      </c>
      <c r="CU13" s="2">
        <v>87.44</v>
      </c>
      <c r="CV13" s="2">
        <v>85.46</v>
      </c>
      <c r="CW13" s="2">
        <v>56.9</v>
      </c>
      <c r="CX13" s="2" t="s">
        <v>177</v>
      </c>
      <c r="CY13" s="83"/>
      <c r="CZ13" s="2" t="s">
        <v>177</v>
      </c>
      <c r="DA13" s="83"/>
      <c r="DB13" s="2" t="s">
        <v>177</v>
      </c>
      <c r="DC13" s="83"/>
      <c r="DD13" s="2">
        <v>80.58</v>
      </c>
      <c r="DE13" s="83"/>
      <c r="DF13" s="2">
        <v>59.53</v>
      </c>
      <c r="DG13" s="83"/>
      <c r="DH13" s="2" t="s">
        <v>177</v>
      </c>
      <c r="DI13" s="83"/>
      <c r="DJ13" s="2" t="s">
        <v>177</v>
      </c>
      <c r="DK13" s="83"/>
      <c r="DL13" s="2" t="s">
        <v>177</v>
      </c>
      <c r="DM13" s="2">
        <v>64.510000000000005</v>
      </c>
      <c r="DN13" s="2">
        <v>76.8</v>
      </c>
      <c r="DO13" s="2">
        <v>73.099999999999994</v>
      </c>
      <c r="DP13" s="2" t="s">
        <v>177</v>
      </c>
      <c r="DQ13" s="2">
        <v>81.3</v>
      </c>
      <c r="DR13" s="83"/>
      <c r="DS13" s="2">
        <v>62.41</v>
      </c>
      <c r="DT13" s="2">
        <v>74.92</v>
      </c>
      <c r="DU13" s="2">
        <v>85.99</v>
      </c>
      <c r="DV13" s="2" t="s">
        <v>177</v>
      </c>
      <c r="DW13" s="2">
        <v>93.6</v>
      </c>
      <c r="DX13" s="83"/>
      <c r="DY13" s="2" t="s">
        <v>177</v>
      </c>
      <c r="DZ13" s="83"/>
      <c r="EA13" s="2" t="s">
        <v>177</v>
      </c>
      <c r="EB13" s="2" t="s">
        <v>177</v>
      </c>
      <c r="EC13" s="2" t="s">
        <v>177</v>
      </c>
      <c r="ED13" s="83"/>
      <c r="EE13" s="2" t="s">
        <v>177</v>
      </c>
      <c r="EF13" s="2" t="s">
        <v>177</v>
      </c>
      <c r="EG13" s="83"/>
      <c r="EH13" s="2">
        <v>59.75</v>
      </c>
      <c r="EI13" s="2">
        <v>62.03</v>
      </c>
      <c r="EJ13" s="83"/>
      <c r="EK13" s="2">
        <v>53.28</v>
      </c>
      <c r="EL13" s="2">
        <v>72.95</v>
      </c>
      <c r="EM13" s="83"/>
      <c r="EN13" s="2">
        <v>65.959999999999994</v>
      </c>
      <c r="EO13" s="2">
        <v>64.59</v>
      </c>
      <c r="EP13" s="2">
        <v>37.590000000000003</v>
      </c>
      <c r="EQ13" s="2">
        <v>78.489999999999995</v>
      </c>
      <c r="ER13" s="2">
        <v>41.06</v>
      </c>
    </row>
    <row r="14" spans="1:148">
      <c r="A14" s="91"/>
      <c r="B14" s="91"/>
      <c r="C14" s="92" t="s">
        <v>179</v>
      </c>
      <c r="D14" s="103"/>
      <c r="E14" s="103"/>
      <c r="F14" s="103"/>
      <c r="G14" s="103"/>
      <c r="H14" s="103"/>
      <c r="I14" s="104"/>
      <c r="J14" s="103">
        <v>99.14</v>
      </c>
      <c r="K14" s="103">
        <v>83.43</v>
      </c>
      <c r="L14" s="103">
        <v>78.489999999999995</v>
      </c>
      <c r="M14" s="103">
        <v>70.23</v>
      </c>
      <c r="N14" s="103" t="s">
        <v>177</v>
      </c>
      <c r="O14" s="104"/>
      <c r="P14" s="103">
        <v>71.61</v>
      </c>
      <c r="Q14" s="103">
        <v>74.44</v>
      </c>
      <c r="R14" s="104"/>
      <c r="S14" s="103">
        <v>70.98</v>
      </c>
      <c r="T14" s="103">
        <v>69.53</v>
      </c>
      <c r="U14" s="103">
        <v>75.62</v>
      </c>
      <c r="V14" s="103">
        <v>71.150000000000006</v>
      </c>
      <c r="W14" s="103">
        <v>77.040000000000006</v>
      </c>
      <c r="X14" s="104"/>
      <c r="Y14" s="103">
        <v>76.2</v>
      </c>
      <c r="Z14" s="103">
        <v>74.25</v>
      </c>
      <c r="AA14" s="103">
        <v>65.959999999999994</v>
      </c>
      <c r="AB14" s="103">
        <v>76.19</v>
      </c>
      <c r="AC14" s="103">
        <v>73.959999999999994</v>
      </c>
      <c r="AD14" s="104"/>
      <c r="AE14" s="103">
        <v>72.680000000000007</v>
      </c>
      <c r="AF14" s="103">
        <v>70.2</v>
      </c>
      <c r="AG14" s="104"/>
      <c r="AH14" s="103">
        <v>82.53</v>
      </c>
      <c r="AI14" s="103">
        <v>75.45</v>
      </c>
      <c r="AJ14" s="103">
        <v>65.260000000000005</v>
      </c>
      <c r="AK14" s="103">
        <v>55.45</v>
      </c>
      <c r="AL14" s="104"/>
      <c r="AM14" s="103">
        <v>57.47</v>
      </c>
      <c r="AN14" s="103">
        <v>54.46</v>
      </c>
      <c r="AO14" s="103">
        <v>61.25</v>
      </c>
      <c r="AP14" s="103" t="s">
        <v>177</v>
      </c>
      <c r="AQ14" s="103" t="s">
        <v>177</v>
      </c>
      <c r="AR14" s="103">
        <v>63.07</v>
      </c>
      <c r="AS14" s="103" t="s">
        <v>177</v>
      </c>
      <c r="AT14" s="104"/>
      <c r="AU14" s="103">
        <v>87.6</v>
      </c>
      <c r="AV14" s="103">
        <v>80.55</v>
      </c>
      <c r="AW14" s="103">
        <v>76.48</v>
      </c>
      <c r="AX14" s="103" t="s">
        <v>177</v>
      </c>
      <c r="AY14" s="103" t="s">
        <v>177</v>
      </c>
      <c r="AZ14" s="103">
        <v>88.89</v>
      </c>
      <c r="BA14" s="103">
        <v>76.92</v>
      </c>
      <c r="BB14" s="104"/>
      <c r="BC14" s="103" t="s">
        <v>177</v>
      </c>
      <c r="BD14" s="103" t="s">
        <v>177</v>
      </c>
      <c r="BE14" s="103">
        <v>75.38</v>
      </c>
      <c r="BF14" s="103" t="s">
        <v>177</v>
      </c>
      <c r="BG14" s="103">
        <v>77.62</v>
      </c>
      <c r="BH14" s="103">
        <v>76.150000000000006</v>
      </c>
      <c r="BI14" s="103">
        <v>68.61</v>
      </c>
      <c r="BJ14" s="104"/>
      <c r="BK14" s="103" t="s">
        <v>177</v>
      </c>
      <c r="BL14" s="103">
        <v>59.05</v>
      </c>
      <c r="BM14" s="104"/>
      <c r="BN14" s="103" t="s">
        <v>177</v>
      </c>
      <c r="BO14" s="103" t="s">
        <v>177</v>
      </c>
      <c r="BP14" s="103" t="s">
        <v>177</v>
      </c>
      <c r="BQ14" s="103">
        <v>53.71</v>
      </c>
      <c r="BR14" s="104"/>
      <c r="BS14" s="103" t="s">
        <v>177</v>
      </c>
      <c r="BT14" s="103" t="s">
        <v>177</v>
      </c>
      <c r="BU14" s="103" t="s">
        <v>177</v>
      </c>
      <c r="BV14" s="103" t="s">
        <v>177</v>
      </c>
      <c r="BW14" s="104"/>
      <c r="BX14" s="103" t="s">
        <v>177</v>
      </c>
      <c r="BY14" s="103" t="s">
        <v>177</v>
      </c>
      <c r="BZ14" s="104"/>
      <c r="CA14" s="103" t="s">
        <v>177</v>
      </c>
      <c r="CB14" s="103" t="s">
        <v>177</v>
      </c>
      <c r="CC14" s="104"/>
      <c r="CD14" s="103">
        <v>63.07</v>
      </c>
      <c r="CE14" s="103">
        <v>63.07</v>
      </c>
      <c r="CF14" s="104"/>
      <c r="CG14" s="103" t="s">
        <v>177</v>
      </c>
      <c r="CH14" s="103" t="s">
        <v>177</v>
      </c>
      <c r="CI14" s="104"/>
      <c r="CJ14" s="103" t="s">
        <v>177</v>
      </c>
      <c r="CK14" s="103" t="s">
        <v>177</v>
      </c>
      <c r="CL14" s="103" t="s">
        <v>177</v>
      </c>
      <c r="CM14" s="103">
        <v>86.03</v>
      </c>
      <c r="CN14" s="104"/>
      <c r="CO14" s="103">
        <v>82.3</v>
      </c>
      <c r="CP14" s="103">
        <v>82.14</v>
      </c>
      <c r="CQ14" s="103">
        <v>91.63</v>
      </c>
      <c r="CR14" s="104"/>
      <c r="CS14" s="103">
        <v>79.22</v>
      </c>
      <c r="CT14" s="103">
        <v>96.06</v>
      </c>
      <c r="CU14" s="103">
        <v>88.18</v>
      </c>
      <c r="CV14" s="103">
        <v>63.56</v>
      </c>
      <c r="CW14" s="103">
        <v>64.569999999999993</v>
      </c>
      <c r="CX14" s="103" t="s">
        <v>177</v>
      </c>
      <c r="CY14" s="104"/>
      <c r="CZ14" s="103" t="s">
        <v>177</v>
      </c>
      <c r="DA14" s="104"/>
      <c r="DB14" s="103" t="s">
        <v>177</v>
      </c>
      <c r="DC14" s="104"/>
      <c r="DD14" s="103">
        <v>88.89</v>
      </c>
      <c r="DE14" s="104"/>
      <c r="DF14" s="103">
        <v>76.92</v>
      </c>
      <c r="DG14" s="104"/>
      <c r="DH14" s="103" t="s">
        <v>177</v>
      </c>
      <c r="DI14" s="104"/>
      <c r="DJ14" s="103" t="s">
        <v>177</v>
      </c>
      <c r="DK14" s="104"/>
      <c r="DL14" s="103" t="s">
        <v>177</v>
      </c>
      <c r="DM14" s="103">
        <v>70.06</v>
      </c>
      <c r="DN14" s="103" t="s">
        <v>177</v>
      </c>
      <c r="DO14" s="103">
        <v>73.22</v>
      </c>
      <c r="DP14" s="103" t="s">
        <v>177</v>
      </c>
      <c r="DQ14" s="103">
        <v>83.33</v>
      </c>
      <c r="DR14" s="104"/>
      <c r="DS14" s="103">
        <v>75.2</v>
      </c>
      <c r="DT14" s="103">
        <v>75.98</v>
      </c>
      <c r="DU14" s="103">
        <v>61.08</v>
      </c>
      <c r="DV14" s="103">
        <v>75.39</v>
      </c>
      <c r="DW14" s="103">
        <v>81.03</v>
      </c>
      <c r="DX14" s="104"/>
      <c r="DY14" s="103" t="s">
        <v>177</v>
      </c>
      <c r="DZ14" s="104"/>
      <c r="EA14" s="103" t="s">
        <v>177</v>
      </c>
      <c r="EB14" s="103" t="s">
        <v>177</v>
      </c>
      <c r="EC14" s="103" t="s">
        <v>177</v>
      </c>
      <c r="ED14" s="104"/>
      <c r="EE14" s="103" t="s">
        <v>177</v>
      </c>
      <c r="EF14" s="103" t="s">
        <v>177</v>
      </c>
      <c r="EG14" s="104"/>
      <c r="EH14" s="103">
        <v>62.93</v>
      </c>
      <c r="EI14" s="103">
        <v>74.040000000000006</v>
      </c>
      <c r="EJ14" s="104"/>
      <c r="EK14" s="103">
        <v>59.69</v>
      </c>
      <c r="EL14" s="103">
        <v>77.31</v>
      </c>
      <c r="EM14" s="104"/>
      <c r="EN14" s="103">
        <v>67.489999999999995</v>
      </c>
      <c r="EO14" s="103">
        <v>60.86</v>
      </c>
      <c r="EP14" s="103">
        <v>43.1</v>
      </c>
      <c r="EQ14" s="103">
        <v>81.81</v>
      </c>
      <c r="ER14" s="103">
        <v>54.92</v>
      </c>
    </row>
    <row r="16" spans="1:148">
      <c r="A16" s="85"/>
      <c r="B16" s="85"/>
      <c r="C16" s="86" t="s">
        <v>180</v>
      </c>
      <c r="D16" s="87"/>
      <c r="E16" s="87"/>
      <c r="F16" s="87"/>
      <c r="G16" s="87"/>
      <c r="H16" s="87"/>
      <c r="I16" s="83"/>
      <c r="J16" s="163">
        <f>+SUM(J3:N3)</f>
        <v>546</v>
      </c>
      <c r="K16" s="165"/>
      <c r="L16" s="165"/>
      <c r="M16" s="165"/>
      <c r="N16" s="164"/>
      <c r="O16" s="83"/>
      <c r="P16" s="163">
        <f>+SUM(P3:Q3)</f>
        <v>546</v>
      </c>
      <c r="Q16" s="164"/>
      <c r="R16" s="83"/>
      <c r="S16" s="163">
        <f>+SUM(S3:W3)</f>
        <v>546</v>
      </c>
      <c r="T16" s="165"/>
      <c r="U16" s="165"/>
      <c r="V16" s="165"/>
      <c r="W16" s="164"/>
      <c r="X16" s="83"/>
      <c r="Y16" s="163">
        <f>+SUM(Y3:AC3)</f>
        <v>546</v>
      </c>
      <c r="Z16" s="165"/>
      <c r="AA16" s="165"/>
      <c r="AB16" s="165"/>
      <c r="AC16" s="164"/>
      <c r="AD16" s="83"/>
      <c r="AE16" s="163">
        <f>+SUM(AE3:AF3)</f>
        <v>546</v>
      </c>
      <c r="AF16" s="164"/>
      <c r="AG16" s="83"/>
      <c r="AH16" s="163">
        <f>+SUM(AH3:AK3)</f>
        <v>512</v>
      </c>
      <c r="AI16" s="165"/>
      <c r="AJ16" s="165"/>
      <c r="AK16" s="164"/>
      <c r="AL16" s="83"/>
      <c r="AM16" s="163">
        <f>+SUM(AM3:AS3)</f>
        <v>121</v>
      </c>
      <c r="AN16" s="165"/>
      <c r="AO16" s="165"/>
      <c r="AP16" s="165"/>
      <c r="AQ16" s="165"/>
      <c r="AR16" s="165"/>
      <c r="AS16" s="164"/>
      <c r="AT16" s="83"/>
      <c r="AU16" s="163">
        <f>+SUM(AU3:BA3)</f>
        <v>253</v>
      </c>
      <c r="AV16" s="165"/>
      <c r="AW16" s="165"/>
      <c r="AX16" s="165"/>
      <c r="AY16" s="165"/>
      <c r="AZ16" s="165"/>
      <c r="BA16" s="164"/>
      <c r="BB16" s="83"/>
      <c r="BC16" s="163">
        <f>+SUM(BC3:BI3)</f>
        <v>172</v>
      </c>
      <c r="BD16" s="165"/>
      <c r="BE16" s="165"/>
      <c r="BF16" s="165"/>
      <c r="BG16" s="165"/>
      <c r="BH16" s="165"/>
      <c r="BI16" s="164"/>
      <c r="BJ16" s="83"/>
      <c r="BK16" s="163">
        <f>+SUM(BK3:BL3)</f>
        <v>7</v>
      </c>
      <c r="BL16" s="164"/>
      <c r="BM16" s="83"/>
      <c r="BN16" s="163">
        <f>+SUM(BN3:BQ3)</f>
        <v>6</v>
      </c>
      <c r="BO16" s="165"/>
      <c r="BP16" s="165"/>
      <c r="BQ16" s="164"/>
      <c r="BR16" s="83"/>
      <c r="BS16" s="163">
        <f>+SUM(BS3:BV3)</f>
        <v>54</v>
      </c>
      <c r="BT16" s="165"/>
      <c r="BU16" s="165"/>
      <c r="BV16" s="164"/>
      <c r="BW16" s="83"/>
      <c r="BX16" s="163">
        <f>+SUM(BX3:BY3)</f>
        <v>5</v>
      </c>
      <c r="BY16" s="164"/>
      <c r="BZ16" s="83"/>
      <c r="CA16" s="163">
        <f>+SUM(CA3:CB3)</f>
        <v>5</v>
      </c>
      <c r="CB16" s="164"/>
      <c r="CC16" s="83"/>
      <c r="CD16" s="163">
        <f>+SUM(CD3:CE3)</f>
        <v>41</v>
      </c>
      <c r="CE16" s="164"/>
      <c r="CF16" s="83"/>
      <c r="CG16" s="163">
        <f>+SUM(CG3:CH3)</f>
        <v>3</v>
      </c>
      <c r="CH16" s="164"/>
      <c r="CI16" s="83"/>
      <c r="CJ16" s="163">
        <f>+SUM(CJ3:CM3)</f>
        <v>22</v>
      </c>
      <c r="CK16" s="165"/>
      <c r="CL16" s="165"/>
      <c r="CM16" s="164"/>
      <c r="CN16" s="83"/>
      <c r="CO16" s="163">
        <f>+SUM(CO3:CQ3)</f>
        <v>157</v>
      </c>
      <c r="CP16" s="165"/>
      <c r="CQ16" s="164"/>
      <c r="CR16" s="83"/>
      <c r="CS16" s="163">
        <f>+SUM(CS3:CX3)</f>
        <v>41</v>
      </c>
      <c r="CT16" s="165"/>
      <c r="CU16" s="165"/>
      <c r="CV16" s="165"/>
      <c r="CW16" s="165"/>
      <c r="CX16" s="164"/>
      <c r="CY16" s="83"/>
      <c r="CZ16" s="153">
        <f>+SUM(CZ3:CZ3)</f>
        <v>5</v>
      </c>
      <c r="DA16" s="83"/>
      <c r="DB16" s="153">
        <f>+SUM(DB3:DB3)</f>
        <v>4</v>
      </c>
      <c r="DC16" s="83"/>
      <c r="DD16" s="153">
        <f>+SUM(DD3:DD3)</f>
        <v>7</v>
      </c>
      <c r="DE16" s="83"/>
      <c r="DF16" s="153">
        <f>+SUM(DF3:DF3)</f>
        <v>17</v>
      </c>
      <c r="DG16" s="83"/>
      <c r="DH16" s="153">
        <f>+SUM(DH3:DH3)</f>
        <v>5</v>
      </c>
      <c r="DI16" s="83"/>
      <c r="DJ16" s="153">
        <f>+SUM(DJ3:DJ3)</f>
        <v>2</v>
      </c>
      <c r="DK16" s="83"/>
      <c r="DL16" s="163">
        <f>+SUM(DL3:DQ3)</f>
        <v>50</v>
      </c>
      <c r="DM16" s="165"/>
      <c r="DN16" s="165"/>
      <c r="DO16" s="165"/>
      <c r="DP16" s="165"/>
      <c r="DQ16" s="164"/>
      <c r="DR16" s="83"/>
      <c r="DS16" s="163">
        <f>+SUM(DS3:DW3)</f>
        <v>60</v>
      </c>
      <c r="DT16" s="165"/>
      <c r="DU16" s="165"/>
      <c r="DV16" s="165"/>
      <c r="DW16" s="164"/>
      <c r="DX16" s="83"/>
      <c r="DY16" s="153">
        <f>+SUM(DY3:DY3)</f>
        <v>2</v>
      </c>
      <c r="DZ16" s="83"/>
      <c r="EA16" s="163">
        <f>+SUM(EA3:EC3)</f>
        <v>9</v>
      </c>
      <c r="EB16" s="165"/>
      <c r="EC16" s="164"/>
      <c r="ED16" s="83"/>
      <c r="EE16" s="163">
        <f>+SUM(EE3:EF3)</f>
        <v>6</v>
      </c>
      <c r="EF16" s="164"/>
      <c r="EG16" s="83"/>
      <c r="EH16" s="163">
        <f>+SUM(EH3:EI3)</f>
        <v>38</v>
      </c>
      <c r="EI16" s="164"/>
      <c r="EJ16" s="83"/>
      <c r="EK16" s="163">
        <f>+SUM(EK3:EL3)</f>
        <v>546</v>
      </c>
      <c r="EL16" s="164"/>
      <c r="EM16" s="83"/>
      <c r="EN16" s="163">
        <f>+SUM(EN3:ER3)</f>
        <v>513</v>
      </c>
      <c r="EO16" s="165"/>
      <c r="EP16" s="165"/>
      <c r="EQ16" s="165"/>
      <c r="ER16" s="164"/>
    </row>
    <row r="17" spans="1:148">
      <c r="A17" s="88"/>
      <c r="B17" s="88"/>
      <c r="C17" s="89" t="s">
        <v>181</v>
      </c>
      <c r="D17" s="90"/>
      <c r="E17" s="90"/>
      <c r="F17" s="90"/>
      <c r="G17" s="90"/>
      <c r="H17" s="90"/>
      <c r="I17" s="83"/>
      <c r="J17" s="105">
        <f>+J3/$J$16</f>
        <v>9.1575091575091579E-3</v>
      </c>
      <c r="K17" s="105">
        <f t="shared" ref="K17:N17" si="0">+K3/$J$16</f>
        <v>6.2271062271062272E-2</v>
      </c>
      <c r="L17" s="105">
        <f t="shared" si="0"/>
        <v>0.1446886446886447</v>
      </c>
      <c r="M17" s="105">
        <f t="shared" si="0"/>
        <v>0.74908424908424909</v>
      </c>
      <c r="N17" s="105">
        <f t="shared" si="0"/>
        <v>3.47985347985348E-2</v>
      </c>
      <c r="O17" s="83"/>
      <c r="P17" s="105">
        <f>+P3/$P$16</f>
        <v>0.63369963369963367</v>
      </c>
      <c r="Q17" s="105">
        <f>+Q3/$P$16</f>
        <v>0.36630036630036628</v>
      </c>
      <c r="R17" s="83"/>
      <c r="S17" s="105">
        <f>+S3/$S$16</f>
        <v>4.5787545787545784E-2</v>
      </c>
      <c r="T17" s="105">
        <f t="shared" ref="T17:W17" si="1">+T3/$S$16</f>
        <v>0.29853479853479853</v>
      </c>
      <c r="U17" s="105">
        <f t="shared" si="1"/>
        <v>0.38278388278388276</v>
      </c>
      <c r="V17" s="105">
        <f t="shared" si="1"/>
        <v>0.23443223443223443</v>
      </c>
      <c r="W17" s="105">
        <f t="shared" si="1"/>
        <v>3.8461538461538464E-2</v>
      </c>
      <c r="X17" s="83"/>
      <c r="Y17" s="105">
        <f>+Y3/$Y$16</f>
        <v>0.14102564102564102</v>
      </c>
      <c r="Z17" s="105">
        <f t="shared" ref="Z17:AC17" si="2">+Z3/$Y$16</f>
        <v>0.39194139194139194</v>
      </c>
      <c r="AA17" s="105">
        <f t="shared" si="2"/>
        <v>0.21062271062271062</v>
      </c>
      <c r="AB17" s="105">
        <f t="shared" si="2"/>
        <v>0.11172161172161173</v>
      </c>
      <c r="AC17" s="105">
        <f t="shared" si="2"/>
        <v>0.1446886446886447</v>
      </c>
      <c r="AD17" s="83"/>
      <c r="AE17" s="105">
        <f>+AE3/$AE$16</f>
        <v>0.96336996336996339</v>
      </c>
      <c r="AF17" s="105">
        <f>+AF3/$AE$16</f>
        <v>3.6630036630036632E-2</v>
      </c>
      <c r="AG17" s="83"/>
      <c r="AH17" s="105">
        <f>+AH3/$AH$16</f>
        <v>0.365234375</v>
      </c>
      <c r="AI17" s="105">
        <f t="shared" ref="AI17:AK17" si="3">+AI3/$AH$16</f>
        <v>0.205078125</v>
      </c>
      <c r="AJ17" s="105">
        <f t="shared" si="3"/>
        <v>0.267578125</v>
      </c>
      <c r="AK17" s="105">
        <f t="shared" si="3"/>
        <v>0.162109375</v>
      </c>
      <c r="AL17" s="83"/>
      <c r="AM17" s="105">
        <f>+AM3/$AM$16</f>
        <v>5.7851239669421489E-2</v>
      </c>
      <c r="AN17" s="105">
        <f t="shared" ref="AN17:AS17" si="4">+AN3/$AM$16</f>
        <v>4.9586776859504134E-2</v>
      </c>
      <c r="AO17" s="105">
        <f t="shared" si="4"/>
        <v>0.4462809917355372</v>
      </c>
      <c r="AP17" s="105">
        <f t="shared" si="4"/>
        <v>4.1322314049586778E-2</v>
      </c>
      <c r="AQ17" s="105">
        <f t="shared" si="4"/>
        <v>4.1322314049586778E-2</v>
      </c>
      <c r="AR17" s="105">
        <f t="shared" si="4"/>
        <v>0.33884297520661155</v>
      </c>
      <c r="AS17" s="105">
        <f t="shared" si="4"/>
        <v>2.4793388429752067E-2</v>
      </c>
      <c r="AT17" s="83"/>
      <c r="AU17" s="105">
        <f>+AU3/$AU$16</f>
        <v>8.6956521739130432E-2</v>
      </c>
      <c r="AV17" s="105">
        <f t="shared" ref="AV17:BA17" si="5">+AV3/$AU$16</f>
        <v>0.62055335968379444</v>
      </c>
      <c r="AW17" s="105">
        <f t="shared" si="5"/>
        <v>0.16205533596837945</v>
      </c>
      <c r="AX17" s="105">
        <f t="shared" si="5"/>
        <v>1.9762845849802372E-2</v>
      </c>
      <c r="AY17" s="105">
        <f t="shared" si="5"/>
        <v>1.5810276679841896E-2</v>
      </c>
      <c r="AZ17" s="105">
        <f t="shared" si="5"/>
        <v>2.766798418972332E-2</v>
      </c>
      <c r="BA17" s="105">
        <f t="shared" si="5"/>
        <v>6.7193675889328064E-2</v>
      </c>
      <c r="BB17" s="83"/>
      <c r="BC17" s="105">
        <f>+BC3/$BC$16</f>
        <v>2.9069767441860465E-2</v>
      </c>
      <c r="BD17" s="105">
        <f t="shared" ref="BD17:BI17" si="6">+BD3/$BC$16</f>
        <v>1.1627906976744186E-2</v>
      </c>
      <c r="BE17" s="105">
        <f t="shared" si="6"/>
        <v>0.63953488372093026</v>
      </c>
      <c r="BF17" s="105">
        <f t="shared" si="6"/>
        <v>1.1627906976744186E-2</v>
      </c>
      <c r="BG17" s="105">
        <f t="shared" si="6"/>
        <v>5.232558139534884E-2</v>
      </c>
      <c r="BH17" s="105">
        <f t="shared" si="6"/>
        <v>3.4883720930232558E-2</v>
      </c>
      <c r="BI17" s="105">
        <f t="shared" si="6"/>
        <v>0.22093023255813954</v>
      </c>
      <c r="BJ17" s="83"/>
      <c r="BK17" s="105">
        <f>+BK3/$BK$16</f>
        <v>0.14285714285714285</v>
      </c>
      <c r="BL17" s="105">
        <f>+BL3/$BK$16</f>
        <v>0.8571428571428571</v>
      </c>
      <c r="BM17" s="83"/>
      <c r="BN17" s="105">
        <f>+BN3/$BN$16</f>
        <v>0.16666666666666666</v>
      </c>
      <c r="BO17" s="105">
        <f t="shared" ref="BO17:BQ17" si="7">+BO3/$BN$16</f>
        <v>0.16666666666666666</v>
      </c>
      <c r="BP17" s="105">
        <f t="shared" si="7"/>
        <v>0.66666666666666663</v>
      </c>
      <c r="BQ17" s="105">
        <f t="shared" si="7"/>
        <v>0</v>
      </c>
      <c r="BR17" s="83"/>
      <c r="BS17" s="105">
        <f>+BS3/$BS$16</f>
        <v>1.8518518518518517E-2</v>
      </c>
      <c r="BT17" s="105">
        <f t="shared" ref="BT17:BV17" si="8">+BT3/$BS$16</f>
        <v>1.8518518518518517E-2</v>
      </c>
      <c r="BU17" s="105">
        <f t="shared" si="8"/>
        <v>0.64814814814814814</v>
      </c>
      <c r="BV17" s="105">
        <f t="shared" si="8"/>
        <v>0.31481481481481483</v>
      </c>
      <c r="BW17" s="83"/>
      <c r="BX17" s="105">
        <f>+BX3/$BX$16</f>
        <v>0.8</v>
      </c>
      <c r="BY17" s="105">
        <f>+BY3/$BX$16</f>
        <v>0.2</v>
      </c>
      <c r="BZ17" s="83"/>
      <c r="CA17" s="105">
        <f>+CA3/$CA$16</f>
        <v>0.2</v>
      </c>
      <c r="CB17" s="105">
        <f>+CB3/$CA$16</f>
        <v>0.8</v>
      </c>
      <c r="CC17" s="83"/>
      <c r="CD17" s="105">
        <f>+CD3/$CD$16</f>
        <v>0.68292682926829273</v>
      </c>
      <c r="CE17" s="105">
        <f>+CE3/$CD$16</f>
        <v>0.31707317073170732</v>
      </c>
      <c r="CF17" s="83"/>
      <c r="CG17" s="105">
        <f>+CG3/$CG$16</f>
        <v>1</v>
      </c>
      <c r="CH17" s="105">
        <f>+CH3/$CG$16</f>
        <v>0</v>
      </c>
      <c r="CI17" s="83"/>
      <c r="CJ17" s="105">
        <f>+CJ3/$CJ$16</f>
        <v>0.22727272727272727</v>
      </c>
      <c r="CK17" s="105">
        <f t="shared" ref="CK17:CM17" si="9">+CK3/$CJ$16</f>
        <v>9.0909090909090912E-2</v>
      </c>
      <c r="CL17" s="105">
        <f t="shared" si="9"/>
        <v>0.18181818181818182</v>
      </c>
      <c r="CM17" s="105">
        <f t="shared" si="9"/>
        <v>0.5</v>
      </c>
      <c r="CN17" s="83"/>
      <c r="CO17" s="105">
        <f>+CO3/$CO$16</f>
        <v>5.0955414012738856E-2</v>
      </c>
      <c r="CP17" s="105">
        <f t="shared" ref="CP17:CQ17" si="10">+CP3/$CO$16</f>
        <v>0.88535031847133761</v>
      </c>
      <c r="CQ17" s="105">
        <f t="shared" si="10"/>
        <v>6.3694267515923567E-2</v>
      </c>
      <c r="CR17" s="83"/>
      <c r="CS17" s="105">
        <f>+CS3/$CS$16</f>
        <v>0.17073170731707318</v>
      </c>
      <c r="CT17" s="105">
        <f t="shared" ref="CT17:CX17" si="11">+CT3/$CS$16</f>
        <v>0.12195121951219512</v>
      </c>
      <c r="CU17" s="105">
        <f t="shared" si="11"/>
        <v>0.17073170731707318</v>
      </c>
      <c r="CV17" s="105">
        <f t="shared" si="11"/>
        <v>0.34146341463414637</v>
      </c>
      <c r="CW17" s="105">
        <f t="shared" si="11"/>
        <v>0.14634146341463414</v>
      </c>
      <c r="CX17" s="105">
        <f t="shared" si="11"/>
        <v>4.878048780487805E-2</v>
      </c>
      <c r="CY17" s="83"/>
      <c r="CZ17" s="105">
        <f>+CZ3/$CZ$16</f>
        <v>1</v>
      </c>
      <c r="DA17" s="83"/>
      <c r="DB17" s="105">
        <f>+DB3/$DB$16</f>
        <v>1</v>
      </c>
      <c r="DC17" s="83"/>
      <c r="DD17" s="105">
        <f>+DD3/$DD$16</f>
        <v>1</v>
      </c>
      <c r="DE17" s="83"/>
      <c r="DF17" s="105">
        <f>+DF3/$DF$16</f>
        <v>1</v>
      </c>
      <c r="DG17" s="83"/>
      <c r="DH17" s="105">
        <f>+DH3/$DH$16</f>
        <v>1</v>
      </c>
      <c r="DI17" s="83"/>
      <c r="DJ17" s="105">
        <f>+DJ3/$DJ$16</f>
        <v>1</v>
      </c>
      <c r="DK17" s="83"/>
      <c r="DL17" s="105">
        <f>+DL3/$DL$16</f>
        <v>0.08</v>
      </c>
      <c r="DM17" s="105">
        <f t="shared" ref="DM17:DQ17" si="12">+DM3/$DL$16</f>
        <v>0.16</v>
      </c>
      <c r="DN17" s="105">
        <f t="shared" si="12"/>
        <v>0.22</v>
      </c>
      <c r="DO17" s="105">
        <f t="shared" si="12"/>
        <v>0.34</v>
      </c>
      <c r="DP17" s="105">
        <f t="shared" si="12"/>
        <v>0.02</v>
      </c>
      <c r="DQ17" s="105">
        <f t="shared" si="12"/>
        <v>0.18</v>
      </c>
      <c r="DR17" s="83"/>
      <c r="DS17" s="105">
        <f>+DS3/$DL$16</f>
        <v>0.6</v>
      </c>
      <c r="DT17" s="105">
        <f t="shared" ref="DT17:DW17" si="13">+DT3/$DL$16</f>
        <v>0.26</v>
      </c>
      <c r="DU17" s="105">
        <f t="shared" si="13"/>
        <v>0.16</v>
      </c>
      <c r="DV17" s="105">
        <f t="shared" si="13"/>
        <v>0.04</v>
      </c>
      <c r="DW17" s="105">
        <f t="shared" si="13"/>
        <v>0.14000000000000001</v>
      </c>
      <c r="DX17" s="83"/>
      <c r="DY17" s="105">
        <f>+DY3/$DY$16</f>
        <v>1</v>
      </c>
      <c r="DZ17" s="83"/>
      <c r="EA17" s="105">
        <f>+EA3/$EA$16</f>
        <v>0.55555555555555558</v>
      </c>
      <c r="EB17" s="105">
        <f t="shared" ref="EB17:EC17" si="14">+EB3/$EA$16</f>
        <v>0.33333333333333331</v>
      </c>
      <c r="EC17" s="105">
        <f t="shared" si="14"/>
        <v>0.1111111111111111</v>
      </c>
      <c r="ED17" s="83"/>
      <c r="EE17" s="105">
        <f>+EE3/$EE$16</f>
        <v>0.33333333333333331</v>
      </c>
      <c r="EF17" s="105">
        <f>+EF3/$EE$16</f>
        <v>0.66666666666666663</v>
      </c>
      <c r="EG17" s="83"/>
      <c r="EH17" s="105">
        <f>+EH3/$EH$16</f>
        <v>0.5</v>
      </c>
      <c r="EI17" s="105">
        <f>+EI3/$EH$16</f>
        <v>0.5</v>
      </c>
      <c r="EJ17" s="83"/>
      <c r="EK17" s="105">
        <f>+EK3/$EK$16</f>
        <v>0.2216117216117216</v>
      </c>
      <c r="EL17" s="105">
        <f>+EL3/$EK$16</f>
        <v>0.7783882783882784</v>
      </c>
      <c r="EM17" s="83"/>
      <c r="EN17" s="105">
        <f>+EN3/$EN$16</f>
        <v>0.26900584795321636</v>
      </c>
      <c r="EO17" s="105">
        <f t="shared" ref="EO17:EQ17" si="15">+EO3/$EN$16</f>
        <v>8.3820662768031184E-2</v>
      </c>
      <c r="EP17" s="105">
        <f t="shared" si="15"/>
        <v>1.9493177387914229E-2</v>
      </c>
      <c r="EQ17" s="105">
        <f t="shared" si="15"/>
        <v>0.51851851851851849</v>
      </c>
      <c r="ER17" s="105">
        <f>+ER3/$EN$16</f>
        <v>0.10916179337231968</v>
      </c>
    </row>
    <row r="18" spans="1:148">
      <c r="A18" s="146"/>
      <c r="B18" s="146"/>
      <c r="C18" s="147" t="s">
        <v>182</v>
      </c>
      <c r="D18" s="148"/>
      <c r="E18" s="148"/>
      <c r="F18" s="148"/>
      <c r="G18" s="148"/>
      <c r="H18" s="148"/>
      <c r="I18" s="83"/>
      <c r="J18" s="148"/>
      <c r="K18" s="148"/>
      <c r="L18" s="148"/>
      <c r="M18" s="148"/>
      <c r="N18" s="148"/>
      <c r="O18" s="83"/>
      <c r="P18" s="148"/>
      <c r="Q18" s="148"/>
      <c r="R18" s="83"/>
      <c r="S18" s="148"/>
      <c r="T18" s="148"/>
      <c r="U18" s="148"/>
      <c r="V18" s="148"/>
      <c r="W18" s="148"/>
      <c r="X18" s="83"/>
      <c r="Y18" s="148"/>
      <c r="Z18" s="148"/>
      <c r="AA18" s="148"/>
      <c r="AB18" s="148"/>
      <c r="AC18" s="148"/>
      <c r="AD18" s="83"/>
      <c r="AE18" s="148"/>
      <c r="AF18" s="148"/>
      <c r="AG18" s="83"/>
      <c r="AH18" s="148"/>
      <c r="AI18" s="148"/>
      <c r="AJ18" s="148"/>
      <c r="AK18" s="148"/>
      <c r="AL18" s="83"/>
      <c r="AM18" s="149">
        <f>+AM3/AM4</f>
        <v>0.58333333333333337</v>
      </c>
      <c r="AN18" s="149">
        <f t="shared" ref="AN18:AS18" si="16">+AN3/AN4</f>
        <v>0.66666666666666663</v>
      </c>
      <c r="AO18" s="149">
        <f t="shared" si="16"/>
        <v>0.5625</v>
      </c>
      <c r="AP18" s="149">
        <f t="shared" si="16"/>
        <v>0.83333333333333337</v>
      </c>
      <c r="AQ18" s="149">
        <f t="shared" si="16"/>
        <v>0.625</v>
      </c>
      <c r="AR18" s="149">
        <f t="shared" si="16"/>
        <v>0.77358490566037741</v>
      </c>
      <c r="AS18" s="149">
        <f t="shared" si="16"/>
        <v>0.5</v>
      </c>
      <c r="AT18" s="83"/>
      <c r="AU18" s="149">
        <f>+AU3/AU4</f>
        <v>1</v>
      </c>
      <c r="AV18" s="149">
        <f t="shared" ref="AV18:BA18" si="17">+AV3/AV4</f>
        <v>0.96913580246913578</v>
      </c>
      <c r="AW18" s="149">
        <f t="shared" si="17"/>
        <v>0.87234042553191493</v>
      </c>
      <c r="AX18" s="149">
        <f t="shared" si="17"/>
        <v>1</v>
      </c>
      <c r="AY18" s="149">
        <f t="shared" si="17"/>
        <v>1</v>
      </c>
      <c r="AZ18" s="149">
        <f t="shared" si="17"/>
        <v>1</v>
      </c>
      <c r="BA18" s="149">
        <f t="shared" si="17"/>
        <v>0.77272727272727271</v>
      </c>
      <c r="BB18" s="83"/>
      <c r="BC18" s="149">
        <f>+BC3/BC4</f>
        <v>1</v>
      </c>
      <c r="BD18" s="149">
        <f t="shared" ref="BD18:BI18" si="18">+BD3/BD4</f>
        <v>1</v>
      </c>
      <c r="BE18" s="149">
        <f t="shared" si="18"/>
        <v>0.7857142857142857</v>
      </c>
      <c r="BF18" s="149">
        <f t="shared" si="18"/>
        <v>0.66666666666666663</v>
      </c>
      <c r="BG18" s="149">
        <f t="shared" si="18"/>
        <v>0.9</v>
      </c>
      <c r="BH18" s="149">
        <f t="shared" si="18"/>
        <v>1</v>
      </c>
      <c r="BI18" s="149">
        <f t="shared" si="18"/>
        <v>0.73076923076923073</v>
      </c>
      <c r="BJ18" s="83"/>
      <c r="BK18" s="149"/>
      <c r="BL18" s="149"/>
      <c r="BM18" s="83"/>
      <c r="BN18" s="149"/>
      <c r="BO18" s="149"/>
      <c r="BP18" s="149"/>
      <c r="BQ18" s="149"/>
      <c r="BR18" s="83"/>
      <c r="BS18" s="149"/>
      <c r="BT18" s="149"/>
      <c r="BU18" s="149"/>
      <c r="BV18" s="149"/>
      <c r="BW18" s="83"/>
      <c r="BX18" s="149"/>
      <c r="BY18" s="149"/>
      <c r="BZ18" s="83"/>
      <c r="CA18" s="149"/>
      <c r="CB18" s="149"/>
      <c r="CC18" s="83"/>
      <c r="CD18" s="149"/>
      <c r="CE18" s="149"/>
      <c r="CF18" s="83"/>
      <c r="CG18" s="149"/>
      <c r="CH18" s="149"/>
      <c r="CI18" s="83"/>
      <c r="CJ18" s="149"/>
      <c r="CK18" s="149"/>
      <c r="CL18" s="149"/>
      <c r="CM18" s="149"/>
      <c r="CN18" s="83"/>
      <c r="CO18" s="149"/>
      <c r="CP18" s="149"/>
      <c r="CQ18" s="149"/>
      <c r="CR18" s="83"/>
      <c r="CS18" s="149"/>
      <c r="CT18" s="149"/>
      <c r="CU18" s="149"/>
      <c r="CV18" s="149"/>
      <c r="CW18" s="149"/>
      <c r="CX18" s="149"/>
      <c r="CY18" s="83"/>
      <c r="CZ18" s="149"/>
      <c r="DA18" s="83"/>
      <c r="DB18" s="149"/>
      <c r="DC18" s="83"/>
      <c r="DD18" s="149"/>
      <c r="DE18" s="83"/>
      <c r="DF18" s="149"/>
      <c r="DG18" s="83"/>
      <c r="DH18" s="149"/>
      <c r="DI18" s="83"/>
      <c r="DJ18" s="149"/>
      <c r="DK18" s="83"/>
      <c r="DL18" s="149"/>
      <c r="DM18" s="149"/>
      <c r="DN18" s="149"/>
      <c r="DO18" s="149"/>
      <c r="DP18" s="149"/>
      <c r="DQ18" s="149"/>
      <c r="DR18" s="83"/>
      <c r="DS18" s="149"/>
      <c r="DT18" s="149"/>
      <c r="DU18" s="149"/>
      <c r="DV18" s="149"/>
      <c r="DW18" s="149"/>
      <c r="DX18" s="83"/>
      <c r="DY18" s="149"/>
      <c r="DZ18" s="83"/>
      <c r="EA18" s="149"/>
      <c r="EB18" s="149"/>
      <c r="EC18" s="149"/>
      <c r="ED18" s="83"/>
      <c r="EE18" s="149"/>
      <c r="EF18" s="149"/>
      <c r="EG18" s="83"/>
      <c r="EH18" s="149"/>
      <c r="EI18" s="149"/>
      <c r="EJ18" s="83"/>
      <c r="EK18" s="149"/>
      <c r="EL18" s="149"/>
      <c r="EM18" s="83"/>
      <c r="EN18" s="148"/>
      <c r="EO18" s="148"/>
      <c r="EP18" s="148"/>
      <c r="EQ18" s="148"/>
      <c r="ER18" s="148"/>
    </row>
    <row r="19" spans="1:148">
      <c r="A19" s="91"/>
      <c r="B19" s="91"/>
      <c r="C19" s="92" t="s">
        <v>183</v>
      </c>
      <c r="D19" s="93"/>
      <c r="E19" s="93"/>
      <c r="F19" s="93"/>
      <c r="G19" s="93"/>
      <c r="H19" s="93"/>
      <c r="I19" s="83"/>
      <c r="J19" s="93"/>
      <c r="K19" s="93"/>
      <c r="L19" s="93"/>
      <c r="M19" s="93"/>
      <c r="N19" s="93"/>
      <c r="O19" s="83"/>
      <c r="P19" s="93"/>
      <c r="Q19" s="93"/>
      <c r="R19" s="83"/>
      <c r="S19" s="93"/>
      <c r="T19" s="93"/>
      <c r="U19" s="93"/>
      <c r="V19" s="93"/>
      <c r="W19" s="93"/>
      <c r="X19" s="83"/>
      <c r="Y19" s="93"/>
      <c r="Z19" s="93"/>
      <c r="AA19" s="93"/>
      <c r="AB19" s="93"/>
      <c r="AC19" s="93"/>
      <c r="AD19" s="83"/>
      <c r="AE19" s="93"/>
      <c r="AF19" s="93"/>
      <c r="AG19" s="83"/>
      <c r="AH19" s="93"/>
      <c r="AI19" s="93"/>
      <c r="AJ19" s="93"/>
      <c r="AK19" s="93"/>
      <c r="AL19" s="83"/>
      <c r="AM19" s="93"/>
      <c r="AN19" s="93"/>
      <c r="AO19" s="93"/>
      <c r="AP19" s="93"/>
      <c r="AQ19" s="93"/>
      <c r="AR19" s="93"/>
      <c r="AS19" s="93"/>
      <c r="AT19" s="83"/>
      <c r="AU19" s="93"/>
      <c r="AV19" s="93"/>
      <c r="AW19" s="93"/>
      <c r="AX19" s="93"/>
      <c r="AY19" s="93"/>
      <c r="AZ19" s="93"/>
      <c r="BA19" s="93"/>
      <c r="BB19" s="83"/>
      <c r="BC19" s="93"/>
      <c r="BD19" s="93"/>
      <c r="BE19" s="93"/>
      <c r="BF19" s="93"/>
      <c r="BG19" s="93"/>
      <c r="BH19" s="93"/>
      <c r="BI19" s="93"/>
      <c r="BJ19" s="83"/>
      <c r="BK19" s="93"/>
      <c r="BL19" s="93"/>
      <c r="BM19" s="83"/>
      <c r="BN19" s="93"/>
      <c r="BO19" s="93"/>
      <c r="BP19" s="93"/>
      <c r="BQ19" s="93"/>
      <c r="BR19" s="83"/>
      <c r="BS19" s="93"/>
      <c r="BT19" s="93"/>
      <c r="BU19" s="93"/>
      <c r="BV19" s="93"/>
      <c r="BW19" s="83"/>
      <c r="BX19" s="93"/>
      <c r="BY19" s="93"/>
      <c r="BZ19" s="83"/>
      <c r="CA19" s="93"/>
      <c r="CB19" s="93"/>
      <c r="CC19" s="83"/>
      <c r="CD19" s="93"/>
      <c r="CE19" s="93"/>
      <c r="CF19" s="83"/>
      <c r="CG19" s="93"/>
      <c r="CH19" s="93"/>
      <c r="CI19" s="83"/>
      <c r="CJ19" s="93"/>
      <c r="CK19" s="93"/>
      <c r="CL19" s="93"/>
      <c r="CM19" s="93"/>
      <c r="CN19" s="83"/>
      <c r="CO19" s="93"/>
      <c r="CP19" s="93"/>
      <c r="CQ19" s="93"/>
      <c r="CR19" s="83"/>
      <c r="CS19" s="93"/>
      <c r="CT19" s="93"/>
      <c r="CU19" s="93"/>
      <c r="CV19" s="93"/>
      <c r="CW19" s="93"/>
      <c r="CX19" s="93"/>
      <c r="CY19" s="83"/>
      <c r="CZ19" s="93"/>
      <c r="DA19" s="83"/>
      <c r="DB19" s="93"/>
      <c r="DC19" s="83"/>
      <c r="DD19" s="93"/>
      <c r="DE19" s="83"/>
      <c r="DF19" s="93"/>
      <c r="DG19" s="83"/>
      <c r="DH19" s="93"/>
      <c r="DI19" s="83"/>
      <c r="DJ19" s="93"/>
      <c r="DK19" s="83"/>
      <c r="DL19" s="93"/>
      <c r="DM19" s="93"/>
      <c r="DN19" s="93"/>
      <c r="DO19" s="93"/>
      <c r="DP19" s="93"/>
      <c r="DQ19" s="93"/>
      <c r="DR19" s="83"/>
      <c r="DS19" s="93"/>
      <c r="DT19" s="93"/>
      <c r="DU19" s="93"/>
      <c r="DV19" s="93"/>
      <c r="DW19" s="93"/>
      <c r="DX19" s="83"/>
      <c r="DY19" s="93"/>
      <c r="DZ19" s="83"/>
      <c r="EA19" s="93"/>
      <c r="EB19" s="93"/>
      <c r="EC19" s="93"/>
      <c r="ED19" s="83"/>
      <c r="EE19" s="93"/>
      <c r="EF19" s="93"/>
      <c r="EG19" s="83"/>
      <c r="EH19" s="93"/>
      <c r="EI19" s="93"/>
      <c r="EJ19" s="83"/>
      <c r="EK19" s="93"/>
      <c r="EL19" s="93"/>
      <c r="EM19" s="83"/>
      <c r="EN19" s="166">
        <f>+SUM(EN5:ER5)</f>
        <v>579</v>
      </c>
      <c r="EO19" s="167"/>
      <c r="EP19" s="167"/>
      <c r="EQ19" s="167"/>
      <c r="ER19" s="168"/>
    </row>
    <row r="20" spans="1:148">
      <c r="A20" s="91"/>
      <c r="B20" s="91"/>
      <c r="C20" s="92" t="s">
        <v>184</v>
      </c>
      <c r="D20" s="93"/>
      <c r="E20" s="93"/>
      <c r="F20" s="93"/>
      <c r="G20" s="93"/>
      <c r="H20" s="93"/>
      <c r="I20" s="83"/>
      <c r="J20" s="93"/>
      <c r="K20" s="93"/>
      <c r="L20" s="93"/>
      <c r="M20" s="93"/>
      <c r="N20" s="93"/>
      <c r="O20" s="83"/>
      <c r="P20" s="93"/>
      <c r="Q20" s="93"/>
      <c r="R20" s="83"/>
      <c r="S20" s="93"/>
      <c r="T20" s="93"/>
      <c r="U20" s="93"/>
      <c r="V20" s="93"/>
      <c r="W20" s="93"/>
      <c r="X20" s="83"/>
      <c r="Y20" s="93"/>
      <c r="Z20" s="93"/>
      <c r="AA20" s="93"/>
      <c r="AB20" s="93"/>
      <c r="AC20" s="93"/>
      <c r="AD20" s="83"/>
      <c r="AE20" s="93"/>
      <c r="AF20" s="93"/>
      <c r="AG20" s="83"/>
      <c r="AH20" s="93"/>
      <c r="AI20" s="93"/>
      <c r="AJ20" s="93"/>
      <c r="AK20" s="93"/>
      <c r="AL20" s="83"/>
      <c r="AM20" s="93"/>
      <c r="AN20" s="93"/>
      <c r="AO20" s="93"/>
      <c r="AP20" s="93"/>
      <c r="AQ20" s="93"/>
      <c r="AR20" s="93"/>
      <c r="AS20" s="93"/>
      <c r="AT20" s="83"/>
      <c r="AU20" s="93"/>
      <c r="AV20" s="93"/>
      <c r="AW20" s="93"/>
      <c r="AX20" s="93"/>
      <c r="AY20" s="93"/>
      <c r="AZ20" s="93"/>
      <c r="BA20" s="93"/>
      <c r="BB20" s="83"/>
      <c r="BC20" s="93"/>
      <c r="BD20" s="93"/>
      <c r="BE20" s="93"/>
      <c r="BF20" s="93"/>
      <c r="BG20" s="93"/>
      <c r="BH20" s="93"/>
      <c r="BI20" s="93"/>
      <c r="BJ20" s="83"/>
      <c r="BK20" s="93"/>
      <c r="BL20" s="93"/>
      <c r="BM20" s="83"/>
      <c r="BN20" s="93"/>
      <c r="BO20" s="93"/>
      <c r="BP20" s="93"/>
      <c r="BQ20" s="93"/>
      <c r="BR20" s="83"/>
      <c r="BS20" s="93"/>
      <c r="BT20" s="93"/>
      <c r="BU20" s="93"/>
      <c r="BV20" s="93"/>
      <c r="BW20" s="83"/>
      <c r="BX20" s="93"/>
      <c r="BY20" s="93"/>
      <c r="BZ20" s="83"/>
      <c r="CA20" s="93"/>
      <c r="CB20" s="93"/>
      <c r="CC20" s="83"/>
      <c r="CD20" s="93"/>
      <c r="CE20" s="93"/>
      <c r="CF20" s="83"/>
      <c r="CG20" s="93"/>
      <c r="CH20" s="93"/>
      <c r="CI20" s="83"/>
      <c r="CJ20" s="93"/>
      <c r="CK20" s="93"/>
      <c r="CL20" s="93"/>
      <c r="CM20" s="93"/>
      <c r="CN20" s="83"/>
      <c r="CO20" s="93"/>
      <c r="CP20" s="93"/>
      <c r="CQ20" s="93"/>
      <c r="CR20" s="83"/>
      <c r="CS20" s="93"/>
      <c r="CT20" s="93"/>
      <c r="CU20" s="93"/>
      <c r="CV20" s="93"/>
      <c r="CW20" s="93"/>
      <c r="CX20" s="93"/>
      <c r="CY20" s="83"/>
      <c r="CZ20" s="93"/>
      <c r="DA20" s="83"/>
      <c r="DB20" s="93"/>
      <c r="DC20" s="83"/>
      <c r="DD20" s="93"/>
      <c r="DE20" s="83"/>
      <c r="DF20" s="93"/>
      <c r="DG20" s="83"/>
      <c r="DH20" s="93"/>
      <c r="DI20" s="83"/>
      <c r="DJ20" s="93"/>
      <c r="DK20" s="83"/>
      <c r="DL20" s="93"/>
      <c r="DM20" s="93"/>
      <c r="DN20" s="93"/>
      <c r="DO20" s="93"/>
      <c r="DP20" s="93"/>
      <c r="DQ20" s="93"/>
      <c r="DR20" s="83"/>
      <c r="DS20" s="93"/>
      <c r="DT20" s="93"/>
      <c r="DU20" s="93"/>
      <c r="DV20" s="93"/>
      <c r="DW20" s="93"/>
      <c r="DX20" s="83"/>
      <c r="DY20" s="93"/>
      <c r="DZ20" s="83"/>
      <c r="EA20" s="93"/>
      <c r="EB20" s="93"/>
      <c r="EC20" s="93"/>
      <c r="ED20" s="83"/>
      <c r="EE20" s="93"/>
      <c r="EF20" s="93"/>
      <c r="EG20" s="83"/>
      <c r="EH20" s="93"/>
      <c r="EI20" s="93"/>
      <c r="EJ20" s="83"/>
      <c r="EK20" s="93"/>
      <c r="EL20" s="93"/>
      <c r="EM20" s="83"/>
      <c r="EN20" s="151">
        <f>+EN5/$EN$19</f>
        <v>0.30224525043177891</v>
      </c>
      <c r="EO20" s="151">
        <f t="shared" ref="EO20:ER20" si="19">+EO5/$EN$19</f>
        <v>8.1174438687392061E-2</v>
      </c>
      <c r="EP20" s="151">
        <f t="shared" si="19"/>
        <v>1.7271157167530225E-2</v>
      </c>
      <c r="EQ20" s="151">
        <f t="shared" si="19"/>
        <v>0.51986183074265979</v>
      </c>
      <c r="ER20" s="151">
        <f t="shared" si="19"/>
        <v>7.9447322970639028E-2</v>
      </c>
    </row>
    <row r="22" spans="1:148">
      <c r="AM22" s="152" t="s">
        <v>428</v>
      </c>
      <c r="AN22" s="152"/>
      <c r="AO22" s="152"/>
      <c r="AP22" s="152"/>
      <c r="AQ22" s="152"/>
      <c r="AR22" s="152"/>
      <c r="AS22" s="152"/>
      <c r="AT22" s="152"/>
      <c r="AU22" s="152"/>
      <c r="AV22" s="152"/>
      <c r="AW22" s="152"/>
      <c r="AX22" s="152"/>
      <c r="AY22" s="152"/>
      <c r="AZ22" s="152"/>
      <c r="BA22" s="152"/>
      <c r="BB22" s="152"/>
      <c r="BC22" s="152"/>
      <c r="BD22" s="152"/>
      <c r="BE22" s="152"/>
      <c r="BF22" s="152"/>
      <c r="BG22" s="152"/>
      <c r="BH22" s="152"/>
      <c r="BI22" s="152"/>
    </row>
  </sheetData>
  <mergeCells count="62">
    <mergeCell ref="BC16:BI16"/>
    <mergeCell ref="BK16:BL16"/>
    <mergeCell ref="BN16:BQ16"/>
    <mergeCell ref="Y1:AC1"/>
    <mergeCell ref="AE1:AF1"/>
    <mergeCell ref="A13:C13"/>
    <mergeCell ref="BS1:BV1"/>
    <mergeCell ref="A2:C2"/>
    <mergeCell ref="A1:B1"/>
    <mergeCell ref="A7:C7"/>
    <mergeCell ref="A8:C8"/>
    <mergeCell ref="A9:C9"/>
    <mergeCell ref="A10:C10"/>
    <mergeCell ref="A11:C11"/>
    <mergeCell ref="BC1:BI1"/>
    <mergeCell ref="BK1:BL1"/>
    <mergeCell ref="BN1:BQ1"/>
    <mergeCell ref="BS16:BV16"/>
    <mergeCell ref="D1:H1"/>
    <mergeCell ref="J1:N1"/>
    <mergeCell ref="P1:Q1"/>
    <mergeCell ref="S1:W1"/>
    <mergeCell ref="AH1:AK1"/>
    <mergeCell ref="AM1:AS1"/>
    <mergeCell ref="AU1:BA1"/>
    <mergeCell ref="J16:N16"/>
    <mergeCell ref="P16:Q16"/>
    <mergeCell ref="S16:W16"/>
    <mergeCell ref="Y16:AC16"/>
    <mergeCell ref="AE16:AF16"/>
    <mergeCell ref="AH16:AK16"/>
    <mergeCell ref="AM16:AS16"/>
    <mergeCell ref="AU16:BA16"/>
    <mergeCell ref="BX1:BY1"/>
    <mergeCell ref="CA1:CB1"/>
    <mergeCell ref="CD1:CE1"/>
    <mergeCell ref="CG1:CH1"/>
    <mergeCell ref="CJ1:CM1"/>
    <mergeCell ref="CO1:CQ1"/>
    <mergeCell ref="CS1:CX1"/>
    <mergeCell ref="DL1:DQ1"/>
    <mergeCell ref="DS1:DW1"/>
    <mergeCell ref="EA1:EC1"/>
    <mergeCell ref="CO16:CQ16"/>
    <mergeCell ref="CS16:CX16"/>
    <mergeCell ref="DL16:DQ16"/>
    <mergeCell ref="DS16:DW16"/>
    <mergeCell ref="EA16:EC16"/>
    <mergeCell ref="BX16:BY16"/>
    <mergeCell ref="CA16:CB16"/>
    <mergeCell ref="CD16:CE16"/>
    <mergeCell ref="CG16:CH16"/>
    <mergeCell ref="CJ16:CM16"/>
    <mergeCell ref="EK16:EL16"/>
    <mergeCell ref="EN16:ER16"/>
    <mergeCell ref="EN19:ER19"/>
    <mergeCell ref="EE1:EF1"/>
    <mergeCell ref="EH1:EI1"/>
    <mergeCell ref="EK1:EL1"/>
    <mergeCell ref="EN1:ER1"/>
    <mergeCell ref="EE16:EF16"/>
    <mergeCell ref="EH16:EI16"/>
  </mergeCells>
  <conditionalFormatting sqref="J7:N11 Y7:AC11 AH7:AK11 AM7:AQ11 BK7:BK11 DS7:DV11 EA7:EB11">
    <cfRule type="cellIs" dxfId="427" priority="154" stopIfTrue="1" operator="lessThanOrEqual">
      <formula>44.49</formula>
    </cfRule>
    <cfRule type="cellIs" dxfId="426" priority="155" stopIfTrue="1" operator="greaterThanOrEqual">
      <formula>85.5</formula>
    </cfRule>
    <cfRule type="cellIs" dxfId="425" priority="156" stopIfTrue="1" operator="between">
      <formula>44.5</formula>
      <formula>60.49</formula>
    </cfRule>
  </conditionalFormatting>
  <conditionalFormatting sqref="D7:D11">
    <cfRule type="cellIs" dxfId="424" priority="151" stopIfTrue="1" operator="lessThanOrEqual">
      <formula>44.49</formula>
    </cfRule>
    <cfRule type="cellIs" dxfId="423" priority="152" stopIfTrue="1" operator="greaterThanOrEqual">
      <formula>85.5</formula>
    </cfRule>
    <cfRule type="cellIs" dxfId="422" priority="153" stopIfTrue="1" operator="between">
      <formula>44.5</formula>
      <formula>60.49</formula>
    </cfRule>
  </conditionalFormatting>
  <conditionalFormatting sqref="E7:F11">
    <cfRule type="cellIs" dxfId="421" priority="148" stopIfTrue="1" operator="lessThanOrEqual">
      <formula>44.49</formula>
    </cfRule>
    <cfRule type="cellIs" dxfId="420" priority="149" stopIfTrue="1" operator="greaterThanOrEqual">
      <formula>85.5</formula>
    </cfRule>
    <cfRule type="cellIs" dxfId="419" priority="150" stopIfTrue="1" operator="between">
      <formula>44.5</formula>
      <formula>60.49</formula>
    </cfRule>
  </conditionalFormatting>
  <conditionalFormatting sqref="G7:G11">
    <cfRule type="cellIs" dxfId="418" priority="145" stopIfTrue="1" operator="lessThanOrEqual">
      <formula>44.49</formula>
    </cfRule>
    <cfRule type="cellIs" dxfId="417" priority="146" stopIfTrue="1" operator="greaterThanOrEqual">
      <formula>85.5</formula>
    </cfRule>
    <cfRule type="cellIs" dxfId="416" priority="147" stopIfTrue="1" operator="between">
      <formula>44.5</formula>
      <formula>60.49</formula>
    </cfRule>
  </conditionalFormatting>
  <conditionalFormatting sqref="P7:P11">
    <cfRule type="cellIs" dxfId="415" priority="142" stopIfTrue="1" operator="lessThanOrEqual">
      <formula>44.49</formula>
    </cfRule>
    <cfRule type="cellIs" dxfId="414" priority="143" stopIfTrue="1" operator="greaterThanOrEqual">
      <formula>85.5</formula>
    </cfRule>
    <cfRule type="cellIs" dxfId="413" priority="144" stopIfTrue="1" operator="between">
      <formula>44.5</formula>
      <formula>60.49</formula>
    </cfRule>
  </conditionalFormatting>
  <conditionalFormatting sqref="Q7:Q11">
    <cfRule type="cellIs" dxfId="412" priority="139" stopIfTrue="1" operator="lessThanOrEqual">
      <formula>44.49</formula>
    </cfRule>
    <cfRule type="cellIs" dxfId="411" priority="140" stopIfTrue="1" operator="greaterThanOrEqual">
      <formula>85.5</formula>
    </cfRule>
    <cfRule type="cellIs" dxfId="410" priority="141" stopIfTrue="1" operator="between">
      <formula>44.5</formula>
      <formula>60.49</formula>
    </cfRule>
  </conditionalFormatting>
  <conditionalFormatting sqref="S7:S11">
    <cfRule type="cellIs" dxfId="409" priority="136" stopIfTrue="1" operator="lessThanOrEqual">
      <formula>44.49</formula>
    </cfRule>
    <cfRule type="cellIs" dxfId="408" priority="137" stopIfTrue="1" operator="greaterThanOrEqual">
      <formula>85.5</formula>
    </cfRule>
    <cfRule type="cellIs" dxfId="407" priority="138" stopIfTrue="1" operator="between">
      <formula>44.5</formula>
      <formula>60.49</formula>
    </cfRule>
  </conditionalFormatting>
  <conditionalFormatting sqref="T7:W11">
    <cfRule type="cellIs" dxfId="406" priority="133" stopIfTrue="1" operator="lessThanOrEqual">
      <formula>44.49</formula>
    </cfRule>
    <cfRule type="cellIs" dxfId="405" priority="134" stopIfTrue="1" operator="greaterThanOrEqual">
      <formula>85.5</formula>
    </cfRule>
    <cfRule type="cellIs" dxfId="404" priority="135" stopIfTrue="1" operator="between">
      <formula>44.5</formula>
      <formula>60.49</formula>
    </cfRule>
  </conditionalFormatting>
  <conditionalFormatting sqref="AS7:AS11">
    <cfRule type="cellIs" dxfId="403" priority="130" stopIfTrue="1" operator="lessThanOrEqual">
      <formula>44.49</formula>
    </cfRule>
    <cfRule type="cellIs" dxfId="402" priority="131" stopIfTrue="1" operator="greaterThanOrEqual">
      <formula>85.5</formula>
    </cfRule>
    <cfRule type="cellIs" dxfId="401" priority="132" stopIfTrue="1" operator="between">
      <formula>44.5</formula>
      <formula>60.49</formula>
    </cfRule>
  </conditionalFormatting>
  <conditionalFormatting sqref="EN7:ER11">
    <cfRule type="cellIs" dxfId="400" priority="127" stopIfTrue="1" operator="lessThanOrEqual">
      <formula>44.49</formula>
    </cfRule>
    <cfRule type="cellIs" dxfId="399" priority="128" stopIfTrue="1" operator="greaterThanOrEqual">
      <formula>85.5</formula>
    </cfRule>
    <cfRule type="cellIs" dxfId="398" priority="129" stopIfTrue="1" operator="between">
      <formula>44.5</formula>
      <formula>60.49</formula>
    </cfRule>
  </conditionalFormatting>
  <conditionalFormatting sqref="AE7:AE11">
    <cfRule type="cellIs" dxfId="397" priority="124" stopIfTrue="1" operator="lessThanOrEqual">
      <formula>44.49</formula>
    </cfRule>
    <cfRule type="cellIs" dxfId="396" priority="125" stopIfTrue="1" operator="greaterThanOrEqual">
      <formula>85.5</formula>
    </cfRule>
    <cfRule type="cellIs" dxfId="395" priority="126" stopIfTrue="1" operator="between">
      <formula>44.5</formula>
      <formula>60.49</formula>
    </cfRule>
  </conditionalFormatting>
  <conditionalFormatting sqref="AF7:AF11">
    <cfRule type="cellIs" dxfId="394" priority="121" stopIfTrue="1" operator="lessThanOrEqual">
      <formula>44.49</formula>
    </cfRule>
    <cfRule type="cellIs" dxfId="393" priority="122" stopIfTrue="1" operator="greaterThanOrEqual">
      <formula>85.5</formula>
    </cfRule>
    <cfRule type="cellIs" dxfId="392" priority="123" stopIfTrue="1" operator="between">
      <formula>44.5</formula>
      <formula>60.49</formula>
    </cfRule>
  </conditionalFormatting>
  <conditionalFormatting sqref="AU7:AY11">
    <cfRule type="cellIs" dxfId="391" priority="118" stopIfTrue="1" operator="lessThanOrEqual">
      <formula>44.49</formula>
    </cfRule>
    <cfRule type="cellIs" dxfId="390" priority="119" stopIfTrue="1" operator="greaterThanOrEqual">
      <formula>85.5</formula>
    </cfRule>
    <cfRule type="cellIs" dxfId="389" priority="120" stopIfTrue="1" operator="between">
      <formula>44.5</formula>
      <formula>60.49</formula>
    </cfRule>
  </conditionalFormatting>
  <conditionalFormatting sqref="BA7:BA11">
    <cfRule type="cellIs" dxfId="388" priority="115" stopIfTrue="1" operator="lessThanOrEqual">
      <formula>44.49</formula>
    </cfRule>
    <cfRule type="cellIs" dxfId="387" priority="116" stopIfTrue="1" operator="greaterThanOrEqual">
      <formula>85.5</formula>
    </cfRule>
    <cfRule type="cellIs" dxfId="386" priority="117" stopIfTrue="1" operator="between">
      <formula>44.5</formula>
      <formula>60.49</formula>
    </cfRule>
  </conditionalFormatting>
  <conditionalFormatting sqref="BC7:BG11">
    <cfRule type="cellIs" dxfId="385" priority="112" stopIfTrue="1" operator="lessThanOrEqual">
      <formula>44.49</formula>
    </cfRule>
    <cfRule type="cellIs" dxfId="384" priority="113" stopIfTrue="1" operator="greaterThanOrEqual">
      <formula>85.5</formula>
    </cfRule>
    <cfRule type="cellIs" dxfId="383" priority="114" stopIfTrue="1" operator="between">
      <formula>44.5</formula>
      <formula>60.49</formula>
    </cfRule>
  </conditionalFormatting>
  <conditionalFormatting sqref="BI7:BI11">
    <cfRule type="cellIs" dxfId="382" priority="109" stopIfTrue="1" operator="lessThanOrEqual">
      <formula>44.49</formula>
    </cfRule>
    <cfRule type="cellIs" dxfId="381" priority="110" stopIfTrue="1" operator="greaterThanOrEqual">
      <formula>85.5</formula>
    </cfRule>
    <cfRule type="cellIs" dxfId="380" priority="111" stopIfTrue="1" operator="between">
      <formula>44.5</formula>
      <formula>60.49</formula>
    </cfRule>
  </conditionalFormatting>
  <conditionalFormatting sqref="BL7:BL11">
    <cfRule type="cellIs" dxfId="379" priority="106" stopIfTrue="1" operator="lessThanOrEqual">
      <formula>44.49</formula>
    </cfRule>
    <cfRule type="cellIs" dxfId="378" priority="107" stopIfTrue="1" operator="greaterThanOrEqual">
      <formula>85.5</formula>
    </cfRule>
    <cfRule type="cellIs" dxfId="377" priority="108" stopIfTrue="1" operator="between">
      <formula>44.5</formula>
      <formula>60.49</formula>
    </cfRule>
  </conditionalFormatting>
  <conditionalFormatting sqref="BN7:BP11">
    <cfRule type="cellIs" dxfId="376" priority="103" stopIfTrue="1" operator="lessThanOrEqual">
      <formula>44.49</formula>
    </cfRule>
    <cfRule type="cellIs" dxfId="375" priority="104" stopIfTrue="1" operator="greaterThanOrEqual">
      <formula>85.5</formula>
    </cfRule>
    <cfRule type="cellIs" dxfId="374" priority="105" stopIfTrue="1" operator="between">
      <formula>44.5</formula>
      <formula>60.49</formula>
    </cfRule>
  </conditionalFormatting>
  <conditionalFormatting sqref="BQ7:BQ11">
    <cfRule type="cellIs" dxfId="373" priority="100" stopIfTrue="1" operator="lessThanOrEqual">
      <formula>44.49</formula>
    </cfRule>
    <cfRule type="cellIs" dxfId="372" priority="101" stopIfTrue="1" operator="greaterThanOrEqual">
      <formula>85.5</formula>
    </cfRule>
    <cfRule type="cellIs" dxfId="371" priority="102" stopIfTrue="1" operator="between">
      <formula>44.5</formula>
      <formula>60.49</formula>
    </cfRule>
  </conditionalFormatting>
  <conditionalFormatting sqref="BS7:BU11">
    <cfRule type="cellIs" dxfId="370" priority="97" stopIfTrue="1" operator="lessThanOrEqual">
      <formula>44.49</formula>
    </cfRule>
    <cfRule type="cellIs" dxfId="369" priority="98" stopIfTrue="1" operator="greaterThanOrEqual">
      <formula>85.5</formula>
    </cfRule>
    <cfRule type="cellIs" dxfId="368" priority="99" stopIfTrue="1" operator="between">
      <formula>44.5</formula>
      <formula>60.49</formula>
    </cfRule>
  </conditionalFormatting>
  <conditionalFormatting sqref="BV7:BV11">
    <cfRule type="cellIs" dxfId="367" priority="94" stopIfTrue="1" operator="lessThanOrEqual">
      <formula>44.49</formula>
    </cfRule>
    <cfRule type="cellIs" dxfId="366" priority="95" stopIfTrue="1" operator="greaterThanOrEqual">
      <formula>85.5</formula>
    </cfRule>
    <cfRule type="cellIs" dxfId="365" priority="96" stopIfTrue="1" operator="between">
      <formula>44.5</formula>
      <formula>60.49</formula>
    </cfRule>
  </conditionalFormatting>
  <conditionalFormatting sqref="BX7:BX11">
    <cfRule type="cellIs" dxfId="364" priority="91" stopIfTrue="1" operator="lessThanOrEqual">
      <formula>44.49</formula>
    </cfRule>
    <cfRule type="cellIs" dxfId="363" priority="92" stopIfTrue="1" operator="greaterThanOrEqual">
      <formula>85.5</formula>
    </cfRule>
    <cfRule type="cellIs" dxfId="362" priority="93" stopIfTrue="1" operator="between">
      <formula>44.5</formula>
      <formula>60.49</formula>
    </cfRule>
  </conditionalFormatting>
  <conditionalFormatting sqref="BY7:BY11">
    <cfRule type="cellIs" dxfId="361" priority="88" stopIfTrue="1" operator="lessThanOrEqual">
      <formula>44.49</formula>
    </cfRule>
    <cfRule type="cellIs" dxfId="360" priority="89" stopIfTrue="1" operator="greaterThanOrEqual">
      <formula>85.5</formula>
    </cfRule>
    <cfRule type="cellIs" dxfId="359" priority="90" stopIfTrue="1" operator="between">
      <formula>44.5</formula>
      <formula>60.49</formula>
    </cfRule>
  </conditionalFormatting>
  <conditionalFormatting sqref="CA7:CA11">
    <cfRule type="cellIs" dxfId="358" priority="85" stopIfTrue="1" operator="lessThanOrEqual">
      <formula>44.49</formula>
    </cfRule>
    <cfRule type="cellIs" dxfId="357" priority="86" stopIfTrue="1" operator="greaterThanOrEqual">
      <formula>85.5</formula>
    </cfRule>
    <cfRule type="cellIs" dxfId="356" priority="87" stopIfTrue="1" operator="between">
      <formula>44.5</formula>
      <formula>60.49</formula>
    </cfRule>
  </conditionalFormatting>
  <conditionalFormatting sqref="CB7:CB11">
    <cfRule type="cellIs" dxfId="355" priority="82" stopIfTrue="1" operator="lessThanOrEqual">
      <formula>44.49</formula>
    </cfRule>
    <cfRule type="cellIs" dxfId="354" priority="83" stopIfTrue="1" operator="greaterThanOrEqual">
      <formula>85.5</formula>
    </cfRule>
    <cfRule type="cellIs" dxfId="353" priority="84" stopIfTrue="1" operator="between">
      <formula>44.5</formula>
      <formula>60.49</formula>
    </cfRule>
  </conditionalFormatting>
  <conditionalFormatting sqref="CD7:CD11">
    <cfRule type="cellIs" dxfId="352" priority="79" stopIfTrue="1" operator="lessThanOrEqual">
      <formula>44.49</formula>
    </cfRule>
    <cfRule type="cellIs" dxfId="351" priority="80" stopIfTrue="1" operator="greaterThanOrEqual">
      <formula>85.5</formula>
    </cfRule>
    <cfRule type="cellIs" dxfId="350" priority="81" stopIfTrue="1" operator="between">
      <formula>44.5</formula>
      <formula>60.49</formula>
    </cfRule>
  </conditionalFormatting>
  <conditionalFormatting sqref="CE7:CE11">
    <cfRule type="cellIs" dxfId="349" priority="76" stopIfTrue="1" operator="lessThanOrEqual">
      <formula>44.49</formula>
    </cfRule>
    <cfRule type="cellIs" dxfId="348" priority="77" stopIfTrue="1" operator="greaterThanOrEqual">
      <formula>85.5</formula>
    </cfRule>
    <cfRule type="cellIs" dxfId="347" priority="78" stopIfTrue="1" operator="between">
      <formula>44.5</formula>
      <formula>60.49</formula>
    </cfRule>
  </conditionalFormatting>
  <conditionalFormatting sqref="CG7:CG11">
    <cfRule type="cellIs" dxfId="346" priority="73" stopIfTrue="1" operator="lessThanOrEqual">
      <formula>44.49</formula>
    </cfRule>
    <cfRule type="cellIs" dxfId="345" priority="74" stopIfTrue="1" operator="greaterThanOrEqual">
      <formula>85.5</formula>
    </cfRule>
    <cfRule type="cellIs" dxfId="344" priority="75" stopIfTrue="1" operator="between">
      <formula>44.5</formula>
      <formula>60.49</formula>
    </cfRule>
  </conditionalFormatting>
  <conditionalFormatting sqref="CH7:CH11">
    <cfRule type="cellIs" dxfId="343" priority="70" stopIfTrue="1" operator="lessThanOrEqual">
      <formula>44.49</formula>
    </cfRule>
    <cfRule type="cellIs" dxfId="342" priority="71" stopIfTrue="1" operator="greaterThanOrEqual">
      <formula>85.5</formula>
    </cfRule>
    <cfRule type="cellIs" dxfId="341" priority="72" stopIfTrue="1" operator="between">
      <formula>44.5</formula>
      <formula>60.49</formula>
    </cfRule>
  </conditionalFormatting>
  <conditionalFormatting sqref="CJ7:CL11">
    <cfRule type="cellIs" dxfId="340" priority="67" stopIfTrue="1" operator="lessThanOrEqual">
      <formula>44.49</formula>
    </cfRule>
    <cfRule type="cellIs" dxfId="339" priority="68" stopIfTrue="1" operator="greaterThanOrEqual">
      <formula>85.5</formula>
    </cfRule>
    <cfRule type="cellIs" dxfId="338" priority="69" stopIfTrue="1" operator="between">
      <formula>44.5</formula>
      <formula>60.49</formula>
    </cfRule>
  </conditionalFormatting>
  <conditionalFormatting sqref="CM7:CM11">
    <cfRule type="cellIs" dxfId="337" priority="64" stopIfTrue="1" operator="lessThanOrEqual">
      <formula>44.49</formula>
    </cfRule>
    <cfRule type="cellIs" dxfId="336" priority="65" stopIfTrue="1" operator="greaterThanOrEqual">
      <formula>85.5</formula>
    </cfRule>
    <cfRule type="cellIs" dxfId="335" priority="66" stopIfTrue="1" operator="between">
      <formula>44.5</formula>
      <formula>60.49</formula>
    </cfRule>
  </conditionalFormatting>
  <conditionalFormatting sqref="CO7:CP11">
    <cfRule type="cellIs" dxfId="334" priority="61" stopIfTrue="1" operator="lessThanOrEqual">
      <formula>44.49</formula>
    </cfRule>
    <cfRule type="cellIs" dxfId="333" priority="62" stopIfTrue="1" operator="greaterThanOrEqual">
      <formula>85.5</formula>
    </cfRule>
    <cfRule type="cellIs" dxfId="332" priority="63" stopIfTrue="1" operator="between">
      <formula>44.5</formula>
      <formula>60.49</formula>
    </cfRule>
  </conditionalFormatting>
  <conditionalFormatting sqref="CQ7:CQ11">
    <cfRule type="cellIs" dxfId="331" priority="58" stopIfTrue="1" operator="lessThanOrEqual">
      <formula>44.49</formula>
    </cfRule>
    <cfRule type="cellIs" dxfId="330" priority="59" stopIfTrue="1" operator="greaterThanOrEqual">
      <formula>85.5</formula>
    </cfRule>
    <cfRule type="cellIs" dxfId="329" priority="60" stopIfTrue="1" operator="between">
      <formula>44.5</formula>
      <formula>60.49</formula>
    </cfRule>
  </conditionalFormatting>
  <conditionalFormatting sqref="CS7:CW11">
    <cfRule type="cellIs" dxfId="328" priority="55" stopIfTrue="1" operator="lessThanOrEqual">
      <formula>44.49</formula>
    </cfRule>
    <cfRule type="cellIs" dxfId="327" priority="56" stopIfTrue="1" operator="greaterThanOrEqual">
      <formula>85.5</formula>
    </cfRule>
    <cfRule type="cellIs" dxfId="326" priority="57" stopIfTrue="1" operator="between">
      <formula>44.5</formula>
      <formula>60.49</formula>
    </cfRule>
  </conditionalFormatting>
  <conditionalFormatting sqref="CX7:CX11">
    <cfRule type="cellIs" dxfId="325" priority="52" stopIfTrue="1" operator="lessThanOrEqual">
      <formula>44.49</formula>
    </cfRule>
    <cfRule type="cellIs" dxfId="324" priority="53" stopIfTrue="1" operator="greaterThanOrEqual">
      <formula>85.5</formula>
    </cfRule>
    <cfRule type="cellIs" dxfId="323" priority="54" stopIfTrue="1" operator="between">
      <formula>44.5</formula>
      <formula>60.49</formula>
    </cfRule>
  </conditionalFormatting>
  <conditionalFormatting sqref="CZ7:CZ11">
    <cfRule type="cellIs" dxfId="322" priority="49" stopIfTrue="1" operator="lessThanOrEqual">
      <formula>44.49</formula>
    </cfRule>
    <cfRule type="cellIs" dxfId="321" priority="50" stopIfTrue="1" operator="greaterThanOrEqual">
      <formula>85.5</formula>
    </cfRule>
    <cfRule type="cellIs" dxfId="320" priority="51" stopIfTrue="1" operator="between">
      <formula>44.5</formula>
      <formula>60.49</formula>
    </cfRule>
  </conditionalFormatting>
  <conditionalFormatting sqref="DB7:DB11">
    <cfRule type="cellIs" dxfId="319" priority="46" stopIfTrue="1" operator="lessThanOrEqual">
      <formula>44.49</formula>
    </cfRule>
    <cfRule type="cellIs" dxfId="318" priority="47" stopIfTrue="1" operator="greaterThanOrEqual">
      <formula>85.5</formula>
    </cfRule>
    <cfRule type="cellIs" dxfId="317" priority="48" stopIfTrue="1" operator="between">
      <formula>44.5</formula>
      <formula>60.49</formula>
    </cfRule>
  </conditionalFormatting>
  <conditionalFormatting sqref="DD7:DD11">
    <cfRule type="cellIs" dxfId="316" priority="43" stopIfTrue="1" operator="lessThanOrEqual">
      <formula>44.49</formula>
    </cfRule>
    <cfRule type="cellIs" dxfId="315" priority="44" stopIfTrue="1" operator="greaterThanOrEqual">
      <formula>85.5</formula>
    </cfRule>
    <cfRule type="cellIs" dxfId="314" priority="45" stopIfTrue="1" operator="between">
      <formula>44.5</formula>
      <formula>60.49</formula>
    </cfRule>
  </conditionalFormatting>
  <conditionalFormatting sqref="DF7:DF11">
    <cfRule type="cellIs" dxfId="313" priority="40" stopIfTrue="1" operator="lessThanOrEqual">
      <formula>44.49</formula>
    </cfRule>
    <cfRule type="cellIs" dxfId="312" priority="41" stopIfTrue="1" operator="greaterThanOrEqual">
      <formula>85.5</formula>
    </cfRule>
    <cfRule type="cellIs" dxfId="311" priority="42" stopIfTrue="1" operator="between">
      <formula>44.5</formula>
      <formula>60.49</formula>
    </cfRule>
  </conditionalFormatting>
  <conditionalFormatting sqref="DH7:DH11">
    <cfRule type="cellIs" dxfId="310" priority="37" stopIfTrue="1" operator="lessThanOrEqual">
      <formula>44.49</formula>
    </cfRule>
    <cfRule type="cellIs" dxfId="309" priority="38" stopIfTrue="1" operator="greaterThanOrEqual">
      <formula>85.5</formula>
    </cfRule>
    <cfRule type="cellIs" dxfId="308" priority="39" stopIfTrue="1" operator="between">
      <formula>44.5</formula>
      <formula>60.49</formula>
    </cfRule>
  </conditionalFormatting>
  <conditionalFormatting sqref="DJ7:DJ11">
    <cfRule type="cellIs" dxfId="307" priority="34" stopIfTrue="1" operator="lessThanOrEqual">
      <formula>44.49</formula>
    </cfRule>
    <cfRule type="cellIs" dxfId="306" priority="35" stopIfTrue="1" operator="greaterThanOrEqual">
      <formula>85.5</formula>
    </cfRule>
    <cfRule type="cellIs" dxfId="305" priority="36" stopIfTrue="1" operator="between">
      <formula>44.5</formula>
      <formula>60.49</formula>
    </cfRule>
  </conditionalFormatting>
  <conditionalFormatting sqref="DQ7:DQ11">
    <cfRule type="cellIs" dxfId="304" priority="28" stopIfTrue="1" operator="lessThanOrEqual">
      <formula>44.49</formula>
    </cfRule>
    <cfRule type="cellIs" dxfId="303" priority="29" stopIfTrue="1" operator="greaterThanOrEqual">
      <formula>85.5</formula>
    </cfRule>
    <cfRule type="cellIs" dxfId="302" priority="30" stopIfTrue="1" operator="between">
      <formula>44.5</formula>
      <formula>60.49</formula>
    </cfRule>
  </conditionalFormatting>
  <conditionalFormatting sqref="DL7:DP11">
    <cfRule type="cellIs" dxfId="301" priority="31" stopIfTrue="1" operator="lessThanOrEqual">
      <formula>44.49</formula>
    </cfRule>
    <cfRule type="cellIs" dxfId="300" priority="32" stopIfTrue="1" operator="greaterThanOrEqual">
      <formula>85.5</formula>
    </cfRule>
    <cfRule type="cellIs" dxfId="299" priority="33" stopIfTrue="1" operator="between">
      <formula>44.5</formula>
      <formula>60.49</formula>
    </cfRule>
  </conditionalFormatting>
  <conditionalFormatting sqref="DW7:DW11">
    <cfRule type="cellIs" dxfId="298" priority="25" stopIfTrue="1" operator="lessThanOrEqual">
      <formula>44.49</formula>
    </cfRule>
    <cfRule type="cellIs" dxfId="297" priority="26" stopIfTrue="1" operator="greaterThanOrEqual">
      <formula>85.5</formula>
    </cfRule>
    <cfRule type="cellIs" dxfId="296" priority="27" stopIfTrue="1" operator="between">
      <formula>44.5</formula>
      <formula>60.49</formula>
    </cfRule>
  </conditionalFormatting>
  <conditionalFormatting sqref="DY7:DY11">
    <cfRule type="cellIs" dxfId="295" priority="22" stopIfTrue="1" operator="lessThanOrEqual">
      <formula>44.49</formula>
    </cfRule>
    <cfRule type="cellIs" dxfId="294" priority="23" stopIfTrue="1" operator="greaterThanOrEqual">
      <formula>85.5</formula>
    </cfRule>
    <cfRule type="cellIs" dxfId="293" priority="24" stopIfTrue="1" operator="between">
      <formula>44.5</formula>
      <formula>60.49</formula>
    </cfRule>
  </conditionalFormatting>
  <conditionalFormatting sqref="EC7:EC11">
    <cfRule type="cellIs" dxfId="292" priority="19" stopIfTrue="1" operator="lessThanOrEqual">
      <formula>44.49</formula>
    </cfRule>
    <cfRule type="cellIs" dxfId="291" priority="20" stopIfTrue="1" operator="greaterThanOrEqual">
      <formula>85.5</formula>
    </cfRule>
    <cfRule type="cellIs" dxfId="290" priority="21" stopIfTrue="1" operator="between">
      <formula>44.5</formula>
      <formula>60.49</formula>
    </cfRule>
  </conditionalFormatting>
  <conditionalFormatting sqref="EE7:EE11">
    <cfRule type="cellIs" dxfId="289" priority="16" stopIfTrue="1" operator="lessThanOrEqual">
      <formula>44.49</formula>
    </cfRule>
    <cfRule type="cellIs" dxfId="288" priority="17" stopIfTrue="1" operator="greaterThanOrEqual">
      <formula>85.5</formula>
    </cfRule>
    <cfRule type="cellIs" dxfId="287" priority="18" stopIfTrue="1" operator="between">
      <formula>44.5</formula>
      <formula>60.49</formula>
    </cfRule>
  </conditionalFormatting>
  <conditionalFormatting sqref="EF7:EF11">
    <cfRule type="cellIs" dxfId="286" priority="13" stopIfTrue="1" operator="lessThanOrEqual">
      <formula>44.49</formula>
    </cfRule>
    <cfRule type="cellIs" dxfId="285" priority="14" stopIfTrue="1" operator="greaterThanOrEqual">
      <formula>85.5</formula>
    </cfRule>
    <cfRule type="cellIs" dxfId="284" priority="15" stopIfTrue="1" operator="between">
      <formula>44.5</formula>
      <formula>60.49</formula>
    </cfRule>
  </conditionalFormatting>
  <conditionalFormatting sqref="EH7:EH11">
    <cfRule type="cellIs" dxfId="283" priority="10" stopIfTrue="1" operator="lessThanOrEqual">
      <formula>44.49</formula>
    </cfRule>
    <cfRule type="cellIs" dxfId="282" priority="11" stopIfTrue="1" operator="greaterThanOrEqual">
      <formula>85.5</formula>
    </cfRule>
    <cfRule type="cellIs" dxfId="281" priority="12" stopIfTrue="1" operator="between">
      <formula>44.5</formula>
      <formula>60.49</formula>
    </cfRule>
  </conditionalFormatting>
  <conditionalFormatting sqref="EI7:EI11">
    <cfRule type="cellIs" dxfId="280" priority="7" stopIfTrue="1" operator="lessThanOrEqual">
      <formula>44.49</formula>
    </cfRule>
    <cfRule type="cellIs" dxfId="279" priority="8" stopIfTrue="1" operator="greaterThanOrEqual">
      <formula>85.5</formula>
    </cfRule>
    <cfRule type="cellIs" dxfId="278" priority="9" stopIfTrue="1" operator="between">
      <formula>44.5</formula>
      <formula>60.49</formula>
    </cfRule>
  </conditionalFormatting>
  <conditionalFormatting sqref="EK7:EK11">
    <cfRule type="cellIs" dxfId="277" priority="4" stopIfTrue="1" operator="lessThanOrEqual">
      <formula>44.49</formula>
    </cfRule>
    <cfRule type="cellIs" dxfId="276" priority="5" stopIfTrue="1" operator="greaterThanOrEqual">
      <formula>85.5</formula>
    </cfRule>
    <cfRule type="cellIs" dxfId="275" priority="6" stopIfTrue="1" operator="between">
      <formula>44.5</formula>
      <formula>60.49</formula>
    </cfRule>
  </conditionalFormatting>
  <conditionalFormatting sqref="EL7:EL11">
    <cfRule type="cellIs" dxfId="274" priority="1" stopIfTrue="1" operator="lessThanOrEqual">
      <formula>44.49</formula>
    </cfRule>
    <cfRule type="cellIs" dxfId="273" priority="2" stopIfTrue="1" operator="greaterThanOrEqual">
      <formula>85.5</formula>
    </cfRule>
    <cfRule type="cellIs" dxfId="272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opLeftCell="B1" zoomScaleNormal="100" workbookViewId="0">
      <selection activeCell="K64" sqref="K64:L70"/>
    </sheetView>
  </sheetViews>
  <sheetFormatPr baseColWidth="10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20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21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9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22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23</v>
      </c>
      <c r="C7" s="21" t="s">
        <v>24</v>
      </c>
      <c r="D7" s="21" t="s">
        <v>25</v>
      </c>
      <c r="E7" s="21" t="s">
        <v>25</v>
      </c>
      <c r="F7" s="21" t="s">
        <v>25</v>
      </c>
      <c r="G7" s="21" t="s">
        <v>25</v>
      </c>
    </row>
    <row r="8" spans="2:9" ht="25.5" customHeight="1" thickBot="1">
      <c r="B8" s="15" t="s">
        <v>26</v>
      </c>
      <c r="C8" s="16" t="s">
        <v>27</v>
      </c>
      <c r="D8" s="16" t="s">
        <v>27</v>
      </c>
      <c r="E8" s="16" t="s">
        <v>27</v>
      </c>
      <c r="F8" s="16" t="s">
        <v>27</v>
      </c>
      <c r="G8" s="16" t="s">
        <v>27</v>
      </c>
    </row>
    <row r="10" spans="2:9">
      <c r="H10" s="11"/>
    </row>
    <row r="11" spans="2:9" ht="23.25">
      <c r="C11" s="208" t="s">
        <v>28</v>
      </c>
      <c r="D11" s="209"/>
      <c r="E11" s="209"/>
      <c r="F11" s="209"/>
      <c r="G11" s="209"/>
      <c r="H11" s="11"/>
    </row>
    <row r="12" spans="2:9">
      <c r="H12" s="11"/>
    </row>
    <row r="13" spans="2:9">
      <c r="C13" s="214" t="s">
        <v>29</v>
      </c>
      <c r="D13" s="214"/>
      <c r="E13" s="215"/>
      <c r="G13" s="206" t="s">
        <v>30</v>
      </c>
      <c r="H13" s="206"/>
      <c r="I13" s="11"/>
    </row>
    <row r="14" spans="2:9">
      <c r="C14" s="200" t="s">
        <v>31</v>
      </c>
      <c r="D14" s="201"/>
      <c r="E14" s="71">
        <v>1.96</v>
      </c>
      <c r="G14" s="73" t="s">
        <v>31</v>
      </c>
      <c r="H14" s="73" t="s">
        <v>32</v>
      </c>
      <c r="I14" s="11"/>
    </row>
    <row r="15" spans="2:9">
      <c r="C15" s="212" t="s">
        <v>33</v>
      </c>
      <c r="D15" s="201"/>
      <c r="E15" s="71">
        <v>0.05</v>
      </c>
      <c r="G15" s="74">
        <v>1.282</v>
      </c>
      <c r="H15" s="75">
        <v>0.8</v>
      </c>
      <c r="I15" s="11"/>
    </row>
    <row r="16" spans="2:9">
      <c r="C16" s="200" t="s">
        <v>34</v>
      </c>
      <c r="D16" s="201"/>
      <c r="E16" s="71">
        <v>0.5</v>
      </c>
      <c r="G16" s="74">
        <v>1.44</v>
      </c>
      <c r="H16" s="75">
        <v>0.85</v>
      </c>
      <c r="I16" s="11"/>
    </row>
    <row r="17" spans="3:9">
      <c r="C17" s="200" t="s">
        <v>35</v>
      </c>
      <c r="D17" s="201"/>
      <c r="E17" s="71">
        <v>0.5</v>
      </c>
      <c r="G17" s="74">
        <v>1.65</v>
      </c>
      <c r="H17" s="75">
        <v>0.9</v>
      </c>
      <c r="I17" s="11"/>
    </row>
    <row r="18" spans="3:9">
      <c r="C18" s="213" t="s">
        <v>36</v>
      </c>
      <c r="D18" s="201"/>
      <c r="E18" s="72">
        <v>115</v>
      </c>
      <c r="G18" s="74">
        <v>1.96</v>
      </c>
      <c r="H18" s="75">
        <v>0.95</v>
      </c>
      <c r="I18" s="11"/>
    </row>
    <row r="19" spans="3:9">
      <c r="I19" s="11"/>
    </row>
    <row r="20" spans="3:9">
      <c r="C20" s="206" t="s">
        <v>37</v>
      </c>
      <c r="D20" s="206"/>
      <c r="E20" s="207"/>
      <c r="I20" s="11"/>
    </row>
    <row r="21" spans="3:9">
      <c r="C21" s="200" t="s">
        <v>38</v>
      </c>
      <c r="D21" s="201"/>
      <c r="E21" s="71">
        <f>+(E16*E17)</f>
        <v>0.25</v>
      </c>
      <c r="I21" s="11"/>
    </row>
    <row r="22" spans="3:9">
      <c r="C22" s="200" t="s">
        <v>39</v>
      </c>
      <c r="D22" s="201"/>
      <c r="E22" s="76">
        <f>+E15/E14</f>
        <v>2.5510204081632654E-2</v>
      </c>
      <c r="I22" s="11"/>
    </row>
    <row r="23" spans="3:9">
      <c r="C23" s="200" t="s">
        <v>50</v>
      </c>
      <c r="D23" s="201"/>
      <c r="E23" s="76">
        <f>+E22*E22</f>
        <v>6.5077051228654734E-4</v>
      </c>
      <c r="I23" s="11"/>
    </row>
    <row r="24" spans="3:9">
      <c r="C24" s="200" t="s">
        <v>40</v>
      </c>
      <c r="D24" s="201"/>
      <c r="E24" s="71">
        <f>+E21/E18</f>
        <v>2.1739130434782609E-3</v>
      </c>
      <c r="I24" s="11"/>
    </row>
    <row r="25" spans="3:9" ht="15.75" thickBot="1">
      <c r="C25" s="203" t="s">
        <v>41</v>
      </c>
      <c r="D25" s="201"/>
      <c r="E25" s="77">
        <f>+E21/(E23+E24)</f>
        <v>88.505489221892788</v>
      </c>
      <c r="I25" s="11"/>
    </row>
    <row r="26" spans="3:9" ht="15.75" thickBot="1">
      <c r="C26" s="203" t="s">
        <v>42</v>
      </c>
      <c r="D26" s="201"/>
      <c r="E26" s="77">
        <f>+E25*2</f>
        <v>177.01097844378558</v>
      </c>
      <c r="G26" s="210" t="s">
        <v>43</v>
      </c>
      <c r="H26" s="211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208" t="s">
        <v>44</v>
      </c>
      <c r="D29" s="209"/>
      <c r="E29" s="209"/>
      <c r="F29" s="209"/>
      <c r="G29" s="209"/>
      <c r="H29" s="11"/>
    </row>
    <row r="30" spans="3:9">
      <c r="C30" s="206" t="s">
        <v>29</v>
      </c>
      <c r="D30" s="206"/>
      <c r="E30" s="207"/>
      <c r="G30" s="31"/>
      <c r="H30" s="31"/>
      <c r="I30" s="22"/>
    </row>
    <row r="31" spans="3:9" ht="20.100000000000001" customHeight="1">
      <c r="C31" s="200" t="s">
        <v>31</v>
      </c>
      <c r="D31" s="201"/>
      <c r="E31" s="78">
        <v>1.65</v>
      </c>
      <c r="G31" s="25"/>
      <c r="H31" s="25"/>
      <c r="I31" s="11"/>
    </row>
    <row r="32" spans="3:9">
      <c r="C32" s="200" t="s">
        <v>34</v>
      </c>
      <c r="D32" s="201"/>
      <c r="E32" s="71">
        <v>0.5</v>
      </c>
      <c r="G32" s="25"/>
      <c r="H32" s="25"/>
      <c r="I32" s="11"/>
    </row>
    <row r="33" spans="3:9">
      <c r="C33" s="200" t="s">
        <v>35</v>
      </c>
      <c r="D33" s="201"/>
      <c r="E33" s="71">
        <v>0.5</v>
      </c>
      <c r="G33" s="25"/>
      <c r="H33" s="25"/>
      <c r="I33" s="11"/>
    </row>
    <row r="34" spans="3:9">
      <c r="C34" s="204" t="s">
        <v>36</v>
      </c>
      <c r="D34" s="205"/>
      <c r="E34" s="72">
        <f>$G$3</f>
        <v>5231</v>
      </c>
      <c r="G34" s="26"/>
      <c r="H34" s="26"/>
      <c r="I34" s="11"/>
    </row>
    <row r="35" spans="3:9">
      <c r="C35" s="204" t="s">
        <v>41</v>
      </c>
      <c r="D35" s="205"/>
      <c r="E35" s="72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206" t="s">
        <v>37</v>
      </c>
      <c r="D37" s="206"/>
      <c r="E37" s="207"/>
      <c r="G37" s="31"/>
      <c r="H37" s="31"/>
      <c r="I37" s="11"/>
    </row>
    <row r="38" spans="3:9">
      <c r="C38" s="200" t="s">
        <v>38</v>
      </c>
      <c r="D38" s="201"/>
      <c r="E38" s="79">
        <f>+(E32*E33)</f>
        <v>0.25</v>
      </c>
      <c r="F38" s="23"/>
      <c r="G38" s="25"/>
      <c r="H38" s="28"/>
      <c r="I38" s="11"/>
    </row>
    <row r="39" spans="3:9">
      <c r="C39" s="200" t="s">
        <v>45</v>
      </c>
      <c r="D39" s="201"/>
      <c r="E39" s="76">
        <f>(1/E35)-(1/E34)</f>
        <v>1.3498357073878575E-5</v>
      </c>
      <c r="F39" s="23"/>
      <c r="G39" s="25"/>
      <c r="H39" s="29"/>
      <c r="I39" s="11"/>
    </row>
    <row r="40" spans="3:9">
      <c r="C40" s="200" t="s">
        <v>46</v>
      </c>
      <c r="D40" s="201"/>
      <c r="E40" s="80">
        <f>+E38*E39</f>
        <v>3.3745892684696436E-6</v>
      </c>
      <c r="F40" s="23"/>
      <c r="G40" s="25"/>
      <c r="H40" s="30"/>
      <c r="I40" s="11"/>
    </row>
    <row r="41" spans="3:9" ht="15.75" thickBot="1">
      <c r="C41" s="200" t="s">
        <v>47</v>
      </c>
      <c r="D41" s="202"/>
      <c r="E41" s="80">
        <f>SQRT(E40)</f>
        <v>1.8370055167227027E-3</v>
      </c>
      <c r="F41" s="23"/>
      <c r="G41" s="25"/>
      <c r="H41" s="30"/>
      <c r="I41" s="11"/>
    </row>
    <row r="42" spans="3:9" ht="15.75" thickBot="1">
      <c r="C42" s="203" t="s">
        <v>48</v>
      </c>
      <c r="D42" s="201"/>
      <c r="E42" s="81">
        <f>+E41*E31</f>
        <v>3.0310591025924593E-3</v>
      </c>
      <c r="G42" s="210" t="s">
        <v>49</v>
      </c>
      <c r="H42" s="211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  <mergeCell ref="C24:D24"/>
    <mergeCell ref="C25:D25"/>
    <mergeCell ref="C26:D26"/>
    <mergeCell ref="C30:E30"/>
    <mergeCell ref="C39:D39"/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3"/>
  <sheetViews>
    <sheetView topLeftCell="A55" workbookViewId="0">
      <selection activeCell="B34" sqref="B34"/>
    </sheetView>
  </sheetViews>
  <sheetFormatPr baseColWidth="10" defaultRowHeight="15"/>
  <cols>
    <col min="1" max="1" width="5.7109375" customWidth="1"/>
    <col min="2" max="2" width="22.140625" style="112" bestFit="1" customWidth="1"/>
    <col min="3" max="3" width="21.7109375" style="110" bestFit="1" customWidth="1"/>
    <col min="4" max="4" width="25.28515625" bestFit="1" customWidth="1"/>
    <col min="5" max="6" width="10.7109375" style="120" customWidth="1"/>
    <col min="7" max="7" width="15.140625" bestFit="1" customWidth="1"/>
    <col min="8" max="8" width="13" bestFit="1" customWidth="1"/>
  </cols>
  <sheetData>
    <row r="2" spans="2:8">
      <c r="B2" s="108" t="s">
        <v>185</v>
      </c>
      <c r="C2" s="106">
        <v>2</v>
      </c>
    </row>
    <row r="3" spans="2:8">
      <c r="B3" s="108" t="s">
        <v>300</v>
      </c>
      <c r="C3" s="106">
        <v>2</v>
      </c>
    </row>
    <row r="4" spans="2:8">
      <c r="C4" s="109"/>
    </row>
    <row r="5" spans="2:8" ht="15" customHeight="1">
      <c r="B5" s="113" t="s">
        <v>162</v>
      </c>
      <c r="C5" s="222" t="s">
        <v>231</v>
      </c>
      <c r="D5" s="223"/>
      <c r="E5" s="121" t="s">
        <v>186</v>
      </c>
      <c r="F5" s="121" t="s">
        <v>187</v>
      </c>
      <c r="G5" s="121" t="s">
        <v>274</v>
      </c>
      <c r="H5" s="121" t="s">
        <v>275</v>
      </c>
    </row>
    <row r="6" spans="2:8" ht="30">
      <c r="B6" s="114" t="s">
        <v>248</v>
      </c>
      <c r="C6" s="111" t="s">
        <v>232</v>
      </c>
      <c r="D6" s="116"/>
      <c r="E6" s="117" t="s">
        <v>272</v>
      </c>
      <c r="F6" s="117" t="s">
        <v>223</v>
      </c>
      <c r="G6" s="117"/>
      <c r="H6" s="117"/>
    </row>
    <row r="7" spans="2:8" ht="30">
      <c r="B7" s="114" t="s">
        <v>268</v>
      </c>
      <c r="C7" s="111" t="s">
        <v>233</v>
      </c>
      <c r="D7" s="116"/>
      <c r="E7" s="117" t="s">
        <v>313</v>
      </c>
      <c r="F7" s="117" t="s">
        <v>314</v>
      </c>
      <c r="G7" s="117" t="s">
        <v>309</v>
      </c>
      <c r="H7" s="117" t="s">
        <v>310</v>
      </c>
    </row>
    <row r="8" spans="2:8" ht="30.75" customHeight="1">
      <c r="B8" s="114" t="s">
        <v>249</v>
      </c>
      <c r="C8" s="111" t="s">
        <v>246</v>
      </c>
      <c r="D8" s="116"/>
      <c r="E8" s="117" t="s">
        <v>273</v>
      </c>
      <c r="F8" s="117" t="s">
        <v>224</v>
      </c>
      <c r="G8" s="117"/>
      <c r="H8" s="117"/>
    </row>
    <row r="9" spans="2:8" ht="45">
      <c r="B9" s="114" t="s">
        <v>269</v>
      </c>
      <c r="C9" s="111" t="s">
        <v>247</v>
      </c>
      <c r="D9" s="116"/>
      <c r="E9" s="117" t="s">
        <v>311</v>
      </c>
      <c r="F9" s="117" t="s">
        <v>312</v>
      </c>
      <c r="G9" s="117" t="s">
        <v>309</v>
      </c>
      <c r="H9" s="117" t="s">
        <v>310</v>
      </c>
    </row>
    <row r="10" spans="2:8">
      <c r="B10" s="113" t="s">
        <v>162</v>
      </c>
      <c r="C10" s="224" t="s">
        <v>153</v>
      </c>
      <c r="D10" s="225"/>
      <c r="E10" s="121" t="s">
        <v>186</v>
      </c>
      <c r="F10" s="121" t="s">
        <v>187</v>
      </c>
      <c r="G10" s="121" t="s">
        <v>274</v>
      </c>
      <c r="H10" s="121" t="s">
        <v>275</v>
      </c>
    </row>
    <row r="11" spans="2:8">
      <c r="B11" s="115" t="s">
        <v>262</v>
      </c>
      <c r="C11" s="111" t="s">
        <v>188</v>
      </c>
      <c r="D11" s="118"/>
      <c r="E11" s="119" t="s">
        <v>273</v>
      </c>
      <c r="F11" s="119" t="s">
        <v>276</v>
      </c>
      <c r="G11" s="117"/>
      <c r="H11" s="117"/>
    </row>
    <row r="12" spans="2:8">
      <c r="B12" s="216" t="s">
        <v>250</v>
      </c>
      <c r="C12" s="227" t="s">
        <v>188</v>
      </c>
      <c r="D12" s="107" t="s">
        <v>56</v>
      </c>
      <c r="E12" s="119" t="s">
        <v>189</v>
      </c>
      <c r="F12" s="119" t="s">
        <v>190</v>
      </c>
      <c r="G12" s="117"/>
      <c r="H12" s="117"/>
    </row>
    <row r="13" spans="2:8">
      <c r="B13" s="220"/>
      <c r="C13" s="227"/>
      <c r="D13" s="107" t="s">
        <v>63</v>
      </c>
      <c r="E13" s="119" t="s">
        <v>191</v>
      </c>
      <c r="F13" s="119" t="s">
        <v>192</v>
      </c>
      <c r="G13" s="117"/>
      <c r="H13" s="117"/>
    </row>
    <row r="14" spans="2:8">
      <c r="B14" s="221"/>
      <c r="C14" s="227"/>
      <c r="D14" s="107" t="s">
        <v>73</v>
      </c>
      <c r="E14" s="119" t="s">
        <v>193</v>
      </c>
      <c r="F14" s="119" t="s">
        <v>194</v>
      </c>
      <c r="G14" s="117"/>
      <c r="H14" s="117"/>
    </row>
    <row r="15" spans="2:8">
      <c r="B15" s="115" t="s">
        <v>263</v>
      </c>
      <c r="C15" s="111" t="s">
        <v>195</v>
      </c>
      <c r="D15" s="118"/>
      <c r="E15" s="119" t="s">
        <v>277</v>
      </c>
      <c r="F15" s="119" t="s">
        <v>278</v>
      </c>
      <c r="G15" s="117"/>
      <c r="H15" s="117"/>
    </row>
    <row r="16" spans="2:8">
      <c r="B16" s="216" t="s">
        <v>251</v>
      </c>
      <c r="C16" s="219" t="s">
        <v>195</v>
      </c>
      <c r="D16" s="107" t="s">
        <v>80</v>
      </c>
      <c r="E16" s="119" t="s">
        <v>196</v>
      </c>
      <c r="F16" s="119" t="s">
        <v>197</v>
      </c>
      <c r="G16" s="117"/>
      <c r="H16" s="117"/>
    </row>
    <row r="17" spans="2:8">
      <c r="B17" s="220"/>
      <c r="C17" s="228"/>
      <c r="D17" s="116" t="s">
        <v>87</v>
      </c>
      <c r="E17" s="117" t="s">
        <v>198</v>
      </c>
      <c r="F17" s="117" t="s">
        <v>199</v>
      </c>
      <c r="G17" s="117"/>
      <c r="H17" s="117"/>
    </row>
    <row r="18" spans="2:8">
      <c r="B18" s="221"/>
      <c r="C18" s="228"/>
      <c r="D18" s="107" t="s">
        <v>91</v>
      </c>
      <c r="E18" s="119" t="s">
        <v>200</v>
      </c>
      <c r="F18" s="119" t="s">
        <v>201</v>
      </c>
      <c r="G18" s="117"/>
      <c r="H18" s="117"/>
    </row>
    <row r="19" spans="2:8">
      <c r="B19" s="115" t="s">
        <v>264</v>
      </c>
      <c r="C19" s="111" t="s">
        <v>202</v>
      </c>
      <c r="D19" s="118"/>
      <c r="E19" s="119" t="s">
        <v>279</v>
      </c>
      <c r="F19" s="119" t="s">
        <v>280</v>
      </c>
      <c r="G19" s="117"/>
      <c r="H19" s="117"/>
    </row>
    <row r="20" spans="2:8">
      <c r="B20" s="216" t="s">
        <v>252</v>
      </c>
      <c r="C20" s="219" t="s">
        <v>202</v>
      </c>
      <c r="D20" s="107" t="s">
        <v>101</v>
      </c>
      <c r="E20" s="119" t="s">
        <v>203</v>
      </c>
      <c r="F20" s="119" t="s">
        <v>204</v>
      </c>
      <c r="G20" s="117"/>
      <c r="H20" s="117"/>
    </row>
    <row r="21" spans="2:8">
      <c r="B21" s="220"/>
      <c r="C21" s="228"/>
      <c r="D21" s="116" t="s">
        <v>108</v>
      </c>
      <c r="E21" s="117" t="s">
        <v>205</v>
      </c>
      <c r="F21" s="117" t="s">
        <v>206</v>
      </c>
      <c r="G21" s="117"/>
      <c r="H21" s="117"/>
    </row>
    <row r="22" spans="2:8">
      <c r="B22" s="221"/>
      <c r="C22" s="228"/>
      <c r="D22" s="107" t="s">
        <v>112</v>
      </c>
      <c r="E22" s="119" t="s">
        <v>207</v>
      </c>
      <c r="F22" s="119" t="s">
        <v>208</v>
      </c>
      <c r="G22" s="117"/>
      <c r="H22" s="117"/>
    </row>
    <row r="23" spans="2:8" ht="15" customHeight="1">
      <c r="B23" s="115" t="s">
        <v>265</v>
      </c>
      <c r="C23" s="111" t="s">
        <v>209</v>
      </c>
      <c r="D23" s="118"/>
      <c r="E23" s="119" t="s">
        <v>281</v>
      </c>
      <c r="F23" s="119" t="s">
        <v>282</v>
      </c>
      <c r="G23" s="117"/>
      <c r="H23" s="117"/>
    </row>
    <row r="24" spans="2:8">
      <c r="B24" s="216" t="s">
        <v>253</v>
      </c>
      <c r="C24" s="227" t="s">
        <v>209</v>
      </c>
      <c r="D24" s="116" t="s">
        <v>120</v>
      </c>
      <c r="E24" s="117" t="s">
        <v>210</v>
      </c>
      <c r="F24" s="117" t="s">
        <v>211</v>
      </c>
      <c r="G24" s="117"/>
      <c r="H24" s="117"/>
    </row>
    <row r="25" spans="2:8">
      <c r="B25" s="220"/>
      <c r="C25" s="227"/>
      <c r="D25" s="116" t="s">
        <v>123</v>
      </c>
      <c r="E25" s="117" t="s">
        <v>212</v>
      </c>
      <c r="F25" s="117" t="s">
        <v>213</v>
      </c>
      <c r="G25" s="117"/>
      <c r="H25" s="117"/>
    </row>
    <row r="26" spans="2:8">
      <c r="B26" s="221"/>
      <c r="C26" s="227"/>
      <c r="D26" s="116" t="s">
        <v>126</v>
      </c>
      <c r="E26" s="117" t="s">
        <v>214</v>
      </c>
      <c r="F26" s="117" t="s">
        <v>215</v>
      </c>
      <c r="G26" s="117"/>
      <c r="H26" s="117"/>
    </row>
    <row r="27" spans="2:8">
      <c r="B27" s="115" t="s">
        <v>266</v>
      </c>
      <c r="C27" s="111" t="s">
        <v>216</v>
      </c>
      <c r="D27" s="118"/>
      <c r="E27" s="119" t="s">
        <v>283</v>
      </c>
      <c r="F27" s="119" t="s">
        <v>224</v>
      </c>
      <c r="G27" s="117"/>
      <c r="H27" s="117"/>
    </row>
    <row r="28" spans="2:8">
      <c r="B28" s="216" t="s">
        <v>254</v>
      </c>
      <c r="C28" s="227" t="s">
        <v>216</v>
      </c>
      <c r="D28" s="116" t="s">
        <v>131</v>
      </c>
      <c r="E28" s="117" t="s">
        <v>217</v>
      </c>
      <c r="F28" s="117" t="s">
        <v>218</v>
      </c>
      <c r="G28" s="117"/>
      <c r="H28" s="117"/>
    </row>
    <row r="29" spans="2:8">
      <c r="B29" s="220"/>
      <c r="C29" s="227"/>
      <c r="D29" s="107" t="s">
        <v>135</v>
      </c>
      <c r="E29" s="119" t="s">
        <v>219</v>
      </c>
      <c r="F29" s="119" t="s">
        <v>220</v>
      </c>
      <c r="G29" s="117"/>
      <c r="H29" s="117"/>
    </row>
    <row r="30" spans="2:8">
      <c r="B30" s="221"/>
      <c r="C30" s="227"/>
      <c r="D30" s="116" t="s">
        <v>142</v>
      </c>
      <c r="E30" s="117" t="s">
        <v>221</v>
      </c>
      <c r="F30" s="117" t="s">
        <v>222</v>
      </c>
      <c r="G30" s="117"/>
      <c r="H30" s="117"/>
    </row>
    <row r="31" spans="2:8">
      <c r="B31" s="113" t="s">
        <v>162</v>
      </c>
      <c r="C31" s="224" t="s">
        <v>234</v>
      </c>
      <c r="D31" s="225"/>
      <c r="E31" s="121" t="s">
        <v>186</v>
      </c>
      <c r="F31" s="121" t="s">
        <v>187</v>
      </c>
      <c r="G31" s="121" t="s">
        <v>274</v>
      </c>
      <c r="H31" s="121" t="s">
        <v>275</v>
      </c>
    </row>
    <row r="32" spans="2:8">
      <c r="B32" s="114" t="s">
        <v>255</v>
      </c>
      <c r="C32" s="111" t="s">
        <v>188</v>
      </c>
      <c r="D32" s="116" t="s">
        <v>235</v>
      </c>
      <c r="E32" s="117" t="s">
        <v>236</v>
      </c>
      <c r="F32" s="117" t="s">
        <v>237</v>
      </c>
      <c r="G32" s="117"/>
      <c r="H32" s="117"/>
    </row>
    <row r="33" spans="2:8">
      <c r="B33" s="114" t="s">
        <v>256</v>
      </c>
      <c r="C33" s="111" t="s">
        <v>195</v>
      </c>
      <c r="D33" s="116" t="s">
        <v>235</v>
      </c>
      <c r="E33" s="117" t="s">
        <v>238</v>
      </c>
      <c r="F33" s="117" t="s">
        <v>242</v>
      </c>
      <c r="G33" s="117"/>
      <c r="H33" s="117"/>
    </row>
    <row r="34" spans="2:8">
      <c r="B34" s="114" t="s">
        <v>259</v>
      </c>
      <c r="C34" s="111" t="s">
        <v>202</v>
      </c>
      <c r="D34" s="116" t="s">
        <v>235</v>
      </c>
      <c r="E34" s="117" t="s">
        <v>239</v>
      </c>
      <c r="F34" s="117" t="s">
        <v>243</v>
      </c>
      <c r="G34" s="117"/>
      <c r="H34" s="117"/>
    </row>
    <row r="35" spans="2:8">
      <c r="B35" s="114" t="s">
        <v>257</v>
      </c>
      <c r="C35" s="111" t="s">
        <v>209</v>
      </c>
      <c r="D35" s="116" t="s">
        <v>235</v>
      </c>
      <c r="E35" s="117" t="s">
        <v>240</v>
      </c>
      <c r="F35" s="117" t="s">
        <v>244</v>
      </c>
      <c r="G35" s="117"/>
      <c r="H35" s="117"/>
    </row>
    <row r="36" spans="2:8">
      <c r="B36" s="114" t="s">
        <v>258</v>
      </c>
      <c r="C36" s="111" t="s">
        <v>216</v>
      </c>
      <c r="D36" s="116" t="s">
        <v>235</v>
      </c>
      <c r="E36" s="117" t="s">
        <v>241</v>
      </c>
      <c r="F36" s="117" t="s">
        <v>245</v>
      </c>
      <c r="G36" s="117"/>
      <c r="H36" s="117"/>
    </row>
    <row r="37" spans="2:8">
      <c r="B37" s="113" t="s">
        <v>162</v>
      </c>
      <c r="C37" s="224" t="s">
        <v>267</v>
      </c>
      <c r="D37" s="225"/>
      <c r="E37" s="121" t="s">
        <v>186</v>
      </c>
      <c r="F37" s="121" t="s">
        <v>187</v>
      </c>
      <c r="G37" s="121" t="s">
        <v>274</v>
      </c>
      <c r="H37" s="121" t="s">
        <v>275</v>
      </c>
    </row>
    <row r="38" spans="2:8">
      <c r="B38" s="216" t="s">
        <v>299</v>
      </c>
      <c r="C38" s="219" t="s">
        <v>267</v>
      </c>
      <c r="D38" s="107" t="s">
        <v>56</v>
      </c>
      <c r="E38" s="119" t="s">
        <v>284</v>
      </c>
      <c r="F38" s="117"/>
      <c r="G38" s="119" t="s">
        <v>189</v>
      </c>
      <c r="H38" s="117"/>
    </row>
    <row r="39" spans="2:8">
      <c r="B39" s="217"/>
      <c r="C39" s="217"/>
      <c r="D39" s="107" t="s">
        <v>63</v>
      </c>
      <c r="E39" s="119" t="s">
        <v>285</v>
      </c>
      <c r="F39" s="117"/>
      <c r="G39" s="119" t="s">
        <v>191</v>
      </c>
      <c r="H39" s="117"/>
    </row>
    <row r="40" spans="2:8">
      <c r="B40" s="217"/>
      <c r="C40" s="217"/>
      <c r="D40" s="107" t="s">
        <v>73</v>
      </c>
      <c r="E40" s="119" t="s">
        <v>286</v>
      </c>
      <c r="F40" s="117"/>
      <c r="G40" s="119" t="s">
        <v>193</v>
      </c>
      <c r="H40" s="117"/>
    </row>
    <row r="41" spans="2:8">
      <c r="B41" s="217"/>
      <c r="C41" s="217"/>
      <c r="D41" s="107" t="s">
        <v>80</v>
      </c>
      <c r="E41" s="119" t="s">
        <v>287</v>
      </c>
      <c r="F41" s="117"/>
      <c r="G41" s="119" t="s">
        <v>196</v>
      </c>
      <c r="H41" s="117"/>
    </row>
    <row r="42" spans="2:8">
      <c r="B42" s="217"/>
      <c r="C42" s="217"/>
      <c r="D42" s="116" t="s">
        <v>87</v>
      </c>
      <c r="E42" s="117" t="s">
        <v>288</v>
      </c>
      <c r="F42" s="117"/>
      <c r="G42" s="117" t="s">
        <v>198</v>
      </c>
      <c r="H42" s="117"/>
    </row>
    <row r="43" spans="2:8">
      <c r="B43" s="217"/>
      <c r="C43" s="217"/>
      <c r="D43" s="107" t="s">
        <v>91</v>
      </c>
      <c r="E43" s="119" t="s">
        <v>289</v>
      </c>
      <c r="F43" s="117"/>
      <c r="G43" s="119" t="s">
        <v>200</v>
      </c>
      <c r="H43" s="117"/>
    </row>
    <row r="44" spans="2:8">
      <c r="B44" s="217"/>
      <c r="C44" s="217"/>
      <c r="D44" s="107" t="s">
        <v>101</v>
      </c>
      <c r="E44" s="119" t="s">
        <v>290</v>
      </c>
      <c r="F44" s="117"/>
      <c r="G44" s="119" t="s">
        <v>203</v>
      </c>
      <c r="H44" s="117"/>
    </row>
    <row r="45" spans="2:8">
      <c r="B45" s="217"/>
      <c r="C45" s="217"/>
      <c r="D45" s="116" t="s">
        <v>108</v>
      </c>
      <c r="E45" s="117" t="s">
        <v>291</v>
      </c>
      <c r="F45" s="117"/>
      <c r="G45" s="117" t="s">
        <v>205</v>
      </c>
      <c r="H45" s="117"/>
    </row>
    <row r="46" spans="2:8">
      <c r="B46" s="217"/>
      <c r="C46" s="217"/>
      <c r="D46" s="107" t="s">
        <v>112</v>
      </c>
      <c r="E46" s="119" t="s">
        <v>292</v>
      </c>
      <c r="F46" s="117"/>
      <c r="G46" s="119" t="s">
        <v>207</v>
      </c>
      <c r="H46" s="117"/>
    </row>
    <row r="47" spans="2:8">
      <c r="B47" s="217"/>
      <c r="C47" s="217"/>
      <c r="D47" s="116" t="s">
        <v>120</v>
      </c>
      <c r="E47" s="117" t="s">
        <v>293</v>
      </c>
      <c r="F47" s="117"/>
      <c r="G47" s="117" t="s">
        <v>210</v>
      </c>
      <c r="H47" s="117"/>
    </row>
    <row r="48" spans="2:8">
      <c r="B48" s="217"/>
      <c r="C48" s="217"/>
      <c r="D48" s="116" t="s">
        <v>123</v>
      </c>
      <c r="E48" s="117" t="s">
        <v>294</v>
      </c>
      <c r="F48" s="117"/>
      <c r="G48" s="117" t="s">
        <v>212</v>
      </c>
      <c r="H48" s="117"/>
    </row>
    <row r="49" spans="2:8">
      <c r="B49" s="217"/>
      <c r="C49" s="217"/>
      <c r="D49" s="116" t="s">
        <v>126</v>
      </c>
      <c r="E49" s="117" t="s">
        <v>295</v>
      </c>
      <c r="F49" s="117"/>
      <c r="G49" s="117" t="s">
        <v>214</v>
      </c>
      <c r="H49" s="117"/>
    </row>
    <row r="50" spans="2:8">
      <c r="B50" s="217"/>
      <c r="C50" s="217"/>
      <c r="D50" s="116" t="s">
        <v>131</v>
      </c>
      <c r="E50" s="117" t="s">
        <v>296</v>
      </c>
      <c r="F50" s="117"/>
      <c r="G50" s="117" t="s">
        <v>217</v>
      </c>
      <c r="H50" s="117"/>
    </row>
    <row r="51" spans="2:8">
      <c r="B51" s="217"/>
      <c r="C51" s="217"/>
      <c r="D51" s="107" t="s">
        <v>135</v>
      </c>
      <c r="E51" s="119" t="s">
        <v>297</v>
      </c>
      <c r="F51" s="117"/>
      <c r="G51" s="119" t="s">
        <v>219</v>
      </c>
      <c r="H51" s="117"/>
    </row>
    <row r="52" spans="2:8">
      <c r="B52" s="218"/>
      <c r="C52" s="218"/>
      <c r="D52" s="116" t="s">
        <v>142</v>
      </c>
      <c r="E52" s="117" t="s">
        <v>298</v>
      </c>
      <c r="F52" s="117"/>
      <c r="G52" s="117" t="s">
        <v>221</v>
      </c>
      <c r="H52" s="117"/>
    </row>
    <row r="53" spans="2:8">
      <c r="B53" s="216" t="s">
        <v>270</v>
      </c>
      <c r="C53" s="219" t="s">
        <v>267</v>
      </c>
      <c r="D53" s="107" t="s">
        <v>303</v>
      </c>
      <c r="E53" s="119" t="s">
        <v>304</v>
      </c>
      <c r="F53" s="119" t="s">
        <v>305</v>
      </c>
      <c r="G53" s="117"/>
      <c r="H53" s="117"/>
    </row>
    <row r="54" spans="2:8" ht="15" customHeight="1">
      <c r="B54" s="217"/>
      <c r="C54" s="217"/>
      <c r="D54" s="107" t="s">
        <v>56</v>
      </c>
      <c r="E54" s="119" t="s">
        <v>189</v>
      </c>
      <c r="F54" s="119" t="s">
        <v>190</v>
      </c>
      <c r="G54" s="117"/>
      <c r="H54" s="117"/>
    </row>
    <row r="55" spans="2:8">
      <c r="B55" s="217"/>
      <c r="C55" s="217"/>
      <c r="D55" s="107" t="s">
        <v>63</v>
      </c>
      <c r="E55" s="119" t="s">
        <v>191</v>
      </c>
      <c r="F55" s="119" t="s">
        <v>192</v>
      </c>
      <c r="G55" s="117"/>
      <c r="H55" s="117"/>
    </row>
    <row r="56" spans="2:8">
      <c r="B56" s="217"/>
      <c r="C56" s="217"/>
      <c r="D56" s="107" t="s">
        <v>73</v>
      </c>
      <c r="E56" s="119" t="s">
        <v>193</v>
      </c>
      <c r="F56" s="119" t="s">
        <v>194</v>
      </c>
      <c r="G56" s="117"/>
      <c r="H56" s="117"/>
    </row>
    <row r="57" spans="2:8">
      <c r="B57" s="217"/>
      <c r="C57" s="217"/>
      <c r="D57" s="107" t="s">
        <v>80</v>
      </c>
      <c r="E57" s="119" t="s">
        <v>196</v>
      </c>
      <c r="F57" s="119" t="s">
        <v>197</v>
      </c>
      <c r="G57" s="117"/>
      <c r="H57" s="117"/>
    </row>
    <row r="58" spans="2:8">
      <c r="B58" s="217"/>
      <c r="C58" s="217"/>
      <c r="D58" s="116" t="s">
        <v>87</v>
      </c>
      <c r="E58" s="117" t="s">
        <v>198</v>
      </c>
      <c r="F58" s="117" t="s">
        <v>199</v>
      </c>
      <c r="G58" s="117"/>
      <c r="H58" s="117"/>
    </row>
    <row r="59" spans="2:8">
      <c r="B59" s="217"/>
      <c r="C59" s="217"/>
      <c r="D59" s="107" t="s">
        <v>91</v>
      </c>
      <c r="E59" s="119" t="s">
        <v>200</v>
      </c>
      <c r="F59" s="119" t="s">
        <v>201</v>
      </c>
      <c r="G59" s="117"/>
      <c r="H59" s="117"/>
    </row>
    <row r="60" spans="2:8">
      <c r="B60" s="217"/>
      <c r="C60" s="217"/>
      <c r="D60" s="107" t="s">
        <v>101</v>
      </c>
      <c r="E60" s="119" t="s">
        <v>203</v>
      </c>
      <c r="F60" s="119" t="s">
        <v>204</v>
      </c>
      <c r="G60" s="117"/>
      <c r="H60" s="117"/>
    </row>
    <row r="61" spans="2:8">
      <c r="B61" s="217"/>
      <c r="C61" s="217"/>
      <c r="D61" s="116" t="s">
        <v>108</v>
      </c>
      <c r="E61" s="117" t="s">
        <v>205</v>
      </c>
      <c r="F61" s="117" t="s">
        <v>206</v>
      </c>
      <c r="G61" s="117"/>
      <c r="H61" s="117"/>
    </row>
    <row r="62" spans="2:8">
      <c r="B62" s="217"/>
      <c r="C62" s="217"/>
      <c r="D62" s="107" t="s">
        <v>112</v>
      </c>
      <c r="E62" s="119" t="s">
        <v>207</v>
      </c>
      <c r="F62" s="119" t="s">
        <v>208</v>
      </c>
      <c r="G62" s="117"/>
      <c r="H62" s="117"/>
    </row>
    <row r="63" spans="2:8">
      <c r="B63" s="217"/>
      <c r="C63" s="217"/>
      <c r="D63" s="116" t="s">
        <v>120</v>
      </c>
      <c r="E63" s="117" t="s">
        <v>210</v>
      </c>
      <c r="F63" s="117" t="s">
        <v>211</v>
      </c>
      <c r="G63" s="117"/>
      <c r="H63" s="117"/>
    </row>
    <row r="64" spans="2:8" ht="15" customHeight="1">
      <c r="B64" s="217"/>
      <c r="C64" s="217"/>
      <c r="D64" s="116" t="s">
        <v>123</v>
      </c>
      <c r="E64" s="117" t="s">
        <v>212</v>
      </c>
      <c r="F64" s="117" t="s">
        <v>213</v>
      </c>
      <c r="G64" s="117"/>
      <c r="H64" s="117"/>
    </row>
    <row r="65" spans="2:8">
      <c r="B65" s="217"/>
      <c r="C65" s="217"/>
      <c r="D65" s="116" t="s">
        <v>126</v>
      </c>
      <c r="E65" s="117" t="s">
        <v>214</v>
      </c>
      <c r="F65" s="117" t="s">
        <v>215</v>
      </c>
      <c r="G65" s="117"/>
      <c r="H65" s="117"/>
    </row>
    <row r="66" spans="2:8">
      <c r="B66" s="217"/>
      <c r="C66" s="217"/>
      <c r="D66" s="116" t="s">
        <v>131</v>
      </c>
      <c r="E66" s="117" t="s">
        <v>217</v>
      </c>
      <c r="F66" s="117" t="s">
        <v>218</v>
      </c>
      <c r="G66" s="117"/>
      <c r="H66" s="117"/>
    </row>
    <row r="67" spans="2:8">
      <c r="B67" s="217"/>
      <c r="C67" s="217"/>
      <c r="D67" s="107" t="s">
        <v>135</v>
      </c>
      <c r="E67" s="119" t="s">
        <v>219</v>
      </c>
      <c r="F67" s="119" t="s">
        <v>220</v>
      </c>
      <c r="G67" s="117"/>
      <c r="H67" s="117"/>
    </row>
    <row r="68" spans="2:8">
      <c r="B68" s="218"/>
      <c r="C68" s="218"/>
      <c r="D68" s="116" t="s">
        <v>142</v>
      </c>
      <c r="E68" s="117" t="s">
        <v>221</v>
      </c>
      <c r="F68" s="117" t="s">
        <v>222</v>
      </c>
      <c r="G68" s="117"/>
      <c r="H68" s="117"/>
    </row>
    <row r="69" spans="2:8" ht="15" customHeight="1">
      <c r="B69" s="113" t="s">
        <v>162</v>
      </c>
      <c r="C69" s="224" t="s">
        <v>225</v>
      </c>
      <c r="D69" s="226"/>
      <c r="E69" s="121" t="s">
        <v>186</v>
      </c>
      <c r="F69" s="121" t="s">
        <v>187</v>
      </c>
      <c r="G69" s="121" t="s">
        <v>274</v>
      </c>
      <c r="H69" s="121" t="s">
        <v>275</v>
      </c>
    </row>
    <row r="70" spans="2:8">
      <c r="B70" s="114" t="s">
        <v>271</v>
      </c>
      <c r="C70" s="122" t="s">
        <v>226</v>
      </c>
      <c r="D70" s="116" t="s">
        <v>235</v>
      </c>
      <c r="E70" s="117" t="s">
        <v>302</v>
      </c>
      <c r="F70" s="117" t="s">
        <v>301</v>
      </c>
      <c r="G70" s="117"/>
      <c r="H70" s="117"/>
    </row>
    <row r="71" spans="2:8" ht="15" customHeight="1">
      <c r="B71" s="113" t="s">
        <v>162</v>
      </c>
      <c r="C71" s="224" t="s">
        <v>32</v>
      </c>
      <c r="D71" s="226"/>
      <c r="E71" s="121" t="s">
        <v>186</v>
      </c>
      <c r="F71" s="121" t="s">
        <v>187</v>
      </c>
      <c r="G71" s="121" t="s">
        <v>274</v>
      </c>
      <c r="H71" s="121" t="s">
        <v>275</v>
      </c>
    </row>
    <row r="72" spans="2:8">
      <c r="B72" s="114" t="s">
        <v>260</v>
      </c>
      <c r="C72" s="122" t="s">
        <v>227</v>
      </c>
      <c r="D72" s="116" t="s">
        <v>235</v>
      </c>
      <c r="E72" s="117" t="s">
        <v>306</v>
      </c>
      <c r="F72" s="117" t="s">
        <v>229</v>
      </c>
      <c r="G72" s="117"/>
      <c r="H72" s="117"/>
    </row>
    <row r="73" spans="2:8" ht="30">
      <c r="B73" s="114" t="s">
        <v>261</v>
      </c>
      <c r="C73" s="122" t="s">
        <v>228</v>
      </c>
      <c r="D73" s="116" t="s">
        <v>235</v>
      </c>
      <c r="E73" s="117" t="s">
        <v>307</v>
      </c>
      <c r="F73" s="117" t="s">
        <v>230</v>
      </c>
      <c r="G73" s="117"/>
      <c r="H73" s="117"/>
    </row>
  </sheetData>
  <mergeCells count="20">
    <mergeCell ref="C69:D69"/>
    <mergeCell ref="C71:D71"/>
    <mergeCell ref="C12:C14"/>
    <mergeCell ref="C16:C18"/>
    <mergeCell ref="C20:C22"/>
    <mergeCell ref="C24:C26"/>
    <mergeCell ref="C28:C30"/>
    <mergeCell ref="C31:D31"/>
    <mergeCell ref="C37:D37"/>
    <mergeCell ref="C53:C68"/>
    <mergeCell ref="B38:B52"/>
    <mergeCell ref="C38:C52"/>
    <mergeCell ref="B28:B30"/>
    <mergeCell ref="B53:B68"/>
    <mergeCell ref="C5:D5"/>
    <mergeCell ref="B12:B14"/>
    <mergeCell ref="B16:B18"/>
    <mergeCell ref="B20:B22"/>
    <mergeCell ref="B24:B26"/>
    <mergeCell ref="C10:D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73</xdr:row>
                    <xdr:rowOff>180975</xdr:rowOff>
                  </from>
                  <to>
                    <xdr:col>8</xdr:col>
                    <xdr:colOff>0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77</xdr:row>
                    <xdr:rowOff>9525</xdr:rowOff>
                  </from>
                  <to>
                    <xdr:col>8</xdr:col>
                    <xdr:colOff>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10:S354"/>
  <sheetViews>
    <sheetView topLeftCell="A326" workbookViewId="0">
      <selection activeCell="J346" sqref="J346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09" customWidth="1"/>
    <col min="14" max="19" width="10.140625" style="123" customWidth="1"/>
  </cols>
  <sheetData>
    <row r="210" spans="2:9">
      <c r="B210" s="260" t="s">
        <v>56</v>
      </c>
      <c r="C210" s="262" t="s">
        <v>57</v>
      </c>
      <c r="D210" s="33">
        <v>1</v>
      </c>
      <c r="E210" s="34" t="s">
        <v>58</v>
      </c>
      <c r="F210" s="35">
        <v>85.48</v>
      </c>
      <c r="G210" s="35">
        <v>81.28</v>
      </c>
      <c r="H210" s="35">
        <v>87</v>
      </c>
      <c r="I210" s="35">
        <v>73.260000000000005</v>
      </c>
    </row>
    <row r="211" spans="2:9" ht="15.75" thickBot="1">
      <c r="B211" s="260"/>
      <c r="C211" s="263"/>
      <c r="D211" s="36">
        <v>2</v>
      </c>
      <c r="E211" s="37" t="s">
        <v>59</v>
      </c>
      <c r="F211" s="35">
        <v>84.05</v>
      </c>
      <c r="G211" s="35">
        <v>81.319999999999993</v>
      </c>
      <c r="H211" s="35">
        <v>85.72</v>
      </c>
      <c r="I211" s="35">
        <v>73.92</v>
      </c>
    </row>
    <row r="212" spans="2:9">
      <c r="B212" s="260"/>
      <c r="C212" s="262" t="s">
        <v>60</v>
      </c>
      <c r="D212" s="33">
        <v>3</v>
      </c>
      <c r="E212" s="34" t="s">
        <v>61</v>
      </c>
      <c r="F212" s="38">
        <v>87.08</v>
      </c>
      <c r="G212" s="38">
        <v>84.81</v>
      </c>
      <c r="H212" s="38">
        <v>90.53</v>
      </c>
      <c r="I212" s="38">
        <v>81.55</v>
      </c>
    </row>
    <row r="213" spans="2:9" ht="15.75" thickBot="1">
      <c r="B213" s="261"/>
      <c r="C213" s="263"/>
      <c r="D213" s="36">
        <v>4</v>
      </c>
      <c r="E213" s="37" t="s">
        <v>62</v>
      </c>
      <c r="F213" s="39">
        <v>89.51</v>
      </c>
      <c r="G213" s="39">
        <v>86.68</v>
      </c>
      <c r="H213" s="39">
        <v>92.63</v>
      </c>
      <c r="I213" s="39">
        <v>85.01</v>
      </c>
    </row>
    <row r="214" spans="2:9">
      <c r="B214" s="260" t="s">
        <v>63</v>
      </c>
      <c r="C214" s="262" t="s">
        <v>64</v>
      </c>
      <c r="D214" s="33">
        <v>5</v>
      </c>
      <c r="E214" s="34" t="s">
        <v>65</v>
      </c>
      <c r="F214" s="38">
        <v>89.01</v>
      </c>
      <c r="G214" s="38">
        <v>86.33</v>
      </c>
      <c r="H214" s="38">
        <v>92.02</v>
      </c>
      <c r="I214" s="38">
        <v>82.79</v>
      </c>
    </row>
    <row r="215" spans="2:9">
      <c r="B215" s="260"/>
      <c r="C215" s="262"/>
      <c r="D215" s="33">
        <v>6</v>
      </c>
      <c r="E215" s="34" t="s">
        <v>66</v>
      </c>
      <c r="F215" s="35">
        <v>84.34</v>
      </c>
      <c r="G215" s="35">
        <v>80.52</v>
      </c>
      <c r="H215" s="35">
        <v>89.81</v>
      </c>
      <c r="I215" s="35">
        <v>77.66</v>
      </c>
    </row>
    <row r="216" spans="2:9" ht="15.75" thickBot="1">
      <c r="B216" s="260"/>
      <c r="C216" s="263"/>
      <c r="D216" s="36">
        <v>7</v>
      </c>
      <c r="E216" s="37" t="s">
        <v>67</v>
      </c>
      <c r="F216" s="39">
        <v>76.25</v>
      </c>
      <c r="G216" s="39">
        <v>72.42</v>
      </c>
      <c r="H216" s="39">
        <v>81.66</v>
      </c>
      <c r="I216" s="39">
        <v>69.28</v>
      </c>
    </row>
    <row r="217" spans="2:9" ht="28.5">
      <c r="B217" s="260"/>
      <c r="C217" s="262" t="s">
        <v>68</v>
      </c>
      <c r="D217" s="33">
        <v>8</v>
      </c>
      <c r="E217" s="34" t="s">
        <v>69</v>
      </c>
      <c r="F217" s="38">
        <v>87.18</v>
      </c>
      <c r="G217" s="38">
        <v>82.59</v>
      </c>
      <c r="H217" s="38">
        <v>90.81</v>
      </c>
      <c r="I217" s="38">
        <v>83.23</v>
      </c>
    </row>
    <row r="218" spans="2:9" ht="15.75" thickBot="1">
      <c r="B218" s="260"/>
      <c r="C218" s="263"/>
      <c r="D218" s="36">
        <v>9</v>
      </c>
      <c r="E218" s="37" t="s">
        <v>70</v>
      </c>
      <c r="F218" s="39">
        <v>89.17</v>
      </c>
      <c r="G218" s="39">
        <v>86.38</v>
      </c>
      <c r="H218" s="39">
        <v>93.8</v>
      </c>
      <c r="I218" s="39">
        <v>86.01</v>
      </c>
    </row>
    <row r="219" spans="2:9" ht="15.75" thickBot="1">
      <c r="B219" s="261"/>
      <c r="C219" s="134" t="s">
        <v>71</v>
      </c>
      <c r="D219" s="36">
        <v>10</v>
      </c>
      <c r="E219" s="37" t="s">
        <v>72</v>
      </c>
      <c r="F219" s="38">
        <v>88.56</v>
      </c>
      <c r="G219" s="38">
        <v>85.59</v>
      </c>
      <c r="H219" s="38">
        <v>88.81</v>
      </c>
      <c r="I219" s="38">
        <v>78.319999999999993</v>
      </c>
    </row>
    <row r="220" spans="2:9">
      <c r="B220" s="260" t="s">
        <v>73</v>
      </c>
      <c r="C220" s="262" t="s">
        <v>74</v>
      </c>
      <c r="D220" s="33">
        <v>11</v>
      </c>
      <c r="E220" s="34" t="s">
        <v>75</v>
      </c>
      <c r="F220" s="38">
        <v>82.4</v>
      </c>
      <c r="G220" s="38">
        <v>79.239999999999995</v>
      </c>
      <c r="H220" s="38">
        <v>87.46</v>
      </c>
      <c r="I220" s="38">
        <v>74.48</v>
      </c>
    </row>
    <row r="221" spans="2:9">
      <c r="B221" s="260"/>
      <c r="C221" s="262"/>
      <c r="D221" s="33">
        <v>12</v>
      </c>
      <c r="E221" s="34" t="s">
        <v>76</v>
      </c>
      <c r="F221" s="35">
        <v>82.42</v>
      </c>
      <c r="G221" s="35">
        <v>78.900000000000006</v>
      </c>
      <c r="H221" s="35">
        <v>86.41</v>
      </c>
      <c r="I221" s="35">
        <v>74.459999999999994</v>
      </c>
    </row>
    <row r="222" spans="2:9" ht="15.75" thickBot="1">
      <c r="B222" s="260"/>
      <c r="C222" s="263"/>
      <c r="D222" s="36">
        <v>13</v>
      </c>
      <c r="E222" s="37" t="s">
        <v>77</v>
      </c>
      <c r="F222" s="39">
        <v>85.31</v>
      </c>
      <c r="G222" s="39">
        <v>81.11</v>
      </c>
      <c r="H222" s="39">
        <v>91.27</v>
      </c>
      <c r="I222" s="39">
        <v>81.56</v>
      </c>
    </row>
    <row r="223" spans="2:9" ht="15.75" thickBot="1">
      <c r="B223" s="261"/>
      <c r="C223" s="134" t="s">
        <v>78</v>
      </c>
      <c r="D223" s="36">
        <v>14</v>
      </c>
      <c r="E223" s="37" t="s">
        <v>79</v>
      </c>
      <c r="F223" s="40">
        <v>92.33</v>
      </c>
      <c r="G223" s="40">
        <v>90.16</v>
      </c>
      <c r="H223" s="40">
        <v>94.49</v>
      </c>
      <c r="I223" s="40">
        <v>86.62</v>
      </c>
    </row>
    <row r="224" spans="2:9" ht="15.75" thickBot="1"/>
    <row r="225" spans="2:9">
      <c r="B225" s="245" t="s">
        <v>80</v>
      </c>
      <c r="C225" s="264" t="s">
        <v>81</v>
      </c>
      <c r="D225" s="41">
        <v>15</v>
      </c>
      <c r="E225" s="42" t="s">
        <v>82</v>
      </c>
      <c r="F225" s="43">
        <v>79.709999999999994</v>
      </c>
      <c r="G225" s="43">
        <v>78.09</v>
      </c>
      <c r="H225" s="43">
        <v>90.38</v>
      </c>
      <c r="I225" s="43">
        <v>75.58</v>
      </c>
    </row>
    <row r="226" spans="2:9" ht="15.75" thickBot="1">
      <c r="B226" s="246"/>
      <c r="C226" s="249"/>
      <c r="D226" s="44">
        <v>16</v>
      </c>
      <c r="E226" s="37" t="s">
        <v>83</v>
      </c>
      <c r="F226" s="45">
        <v>83.11</v>
      </c>
      <c r="G226" s="45">
        <v>79.209999999999994</v>
      </c>
      <c r="H226" s="45">
        <v>90.31</v>
      </c>
      <c r="I226" s="45">
        <v>80.12</v>
      </c>
    </row>
    <row r="227" spans="2:9">
      <c r="B227" s="246"/>
      <c r="C227" s="248" t="s">
        <v>84</v>
      </c>
      <c r="D227" s="46">
        <v>17</v>
      </c>
      <c r="E227" s="34" t="s">
        <v>85</v>
      </c>
      <c r="F227" s="43">
        <v>79.77</v>
      </c>
      <c r="G227" s="43">
        <v>75.95</v>
      </c>
      <c r="H227" s="43">
        <v>86.87</v>
      </c>
      <c r="I227" s="43">
        <v>72.39</v>
      </c>
    </row>
    <row r="228" spans="2:9" ht="15.75" thickBot="1">
      <c r="B228" s="247"/>
      <c r="C228" s="249"/>
      <c r="D228" s="44">
        <v>18</v>
      </c>
      <c r="E228" s="37" t="s">
        <v>86</v>
      </c>
      <c r="F228" s="45">
        <v>85.53</v>
      </c>
      <c r="G228" s="45">
        <v>81.819999999999993</v>
      </c>
      <c r="H228" s="45">
        <v>90.24</v>
      </c>
      <c r="I228" s="45">
        <v>80.569999999999993</v>
      </c>
    </row>
    <row r="229" spans="2:9" ht="28.5">
      <c r="B229" s="245" t="s">
        <v>87</v>
      </c>
      <c r="C229" s="248" t="s">
        <v>88</v>
      </c>
      <c r="D229" s="46">
        <v>19</v>
      </c>
      <c r="E229" s="34" t="s">
        <v>89</v>
      </c>
      <c r="F229" s="43">
        <v>83.52</v>
      </c>
      <c r="G229" s="43">
        <v>80.23</v>
      </c>
      <c r="H229" s="43">
        <v>89.1</v>
      </c>
      <c r="I229" s="43">
        <v>75.97</v>
      </c>
    </row>
    <row r="230" spans="2:9" ht="29.25" thickBot="1">
      <c r="B230" s="247"/>
      <c r="C230" s="249"/>
      <c r="D230" s="44">
        <v>20</v>
      </c>
      <c r="E230" s="37" t="s">
        <v>90</v>
      </c>
      <c r="F230" s="45">
        <v>79.17</v>
      </c>
      <c r="G230" s="45">
        <v>74.58</v>
      </c>
      <c r="H230" s="45">
        <v>85.39</v>
      </c>
      <c r="I230" s="45">
        <v>69.849999999999994</v>
      </c>
    </row>
    <row r="231" spans="2:9">
      <c r="B231" s="245" t="s">
        <v>91</v>
      </c>
      <c r="C231" s="248" t="s">
        <v>92</v>
      </c>
      <c r="D231" s="46">
        <v>21</v>
      </c>
      <c r="E231" s="34" t="s">
        <v>93</v>
      </c>
      <c r="F231" s="43">
        <v>91.17</v>
      </c>
      <c r="G231" s="43">
        <v>87.92</v>
      </c>
      <c r="H231" s="43">
        <v>93.89</v>
      </c>
      <c r="I231" s="43">
        <v>87.06</v>
      </c>
    </row>
    <row r="232" spans="2:9">
      <c r="B232" s="246"/>
      <c r="C232" s="248"/>
      <c r="D232" s="46">
        <v>22</v>
      </c>
      <c r="E232" s="34" t="s">
        <v>94</v>
      </c>
      <c r="F232" s="47">
        <v>69.52</v>
      </c>
      <c r="G232" s="47">
        <v>62.9</v>
      </c>
      <c r="H232" s="47">
        <v>84.39</v>
      </c>
      <c r="I232" s="47">
        <v>75.239999999999995</v>
      </c>
    </row>
    <row r="233" spans="2:9" ht="15.75" thickBot="1">
      <c r="B233" s="246"/>
      <c r="C233" s="249"/>
      <c r="D233" s="44">
        <v>23</v>
      </c>
      <c r="E233" s="37" t="s">
        <v>95</v>
      </c>
      <c r="F233" s="45">
        <v>80.98</v>
      </c>
      <c r="G233" s="45">
        <v>79.680000000000007</v>
      </c>
      <c r="H233" s="45">
        <v>91.12</v>
      </c>
      <c r="I233" s="45">
        <v>79.72</v>
      </c>
    </row>
    <row r="234" spans="2:9">
      <c r="B234" s="246"/>
      <c r="C234" s="248" t="s">
        <v>96</v>
      </c>
      <c r="D234" s="46">
        <v>24</v>
      </c>
      <c r="E234" s="34" t="s">
        <v>97</v>
      </c>
      <c r="F234" s="43">
        <v>84.76</v>
      </c>
      <c r="G234" s="43">
        <v>80.78</v>
      </c>
      <c r="H234" s="43">
        <v>89.06</v>
      </c>
      <c r="I234" s="43">
        <v>84.38</v>
      </c>
    </row>
    <row r="235" spans="2:9">
      <c r="B235" s="246"/>
      <c r="C235" s="248"/>
      <c r="D235" s="46">
        <v>25</v>
      </c>
      <c r="E235" s="34" t="s">
        <v>98</v>
      </c>
      <c r="F235" s="47">
        <v>75.88</v>
      </c>
      <c r="G235" s="47">
        <v>70.78</v>
      </c>
      <c r="H235" s="47">
        <v>82.86</v>
      </c>
      <c r="I235" s="47">
        <v>71.58</v>
      </c>
    </row>
    <row r="236" spans="2:9">
      <c r="B236" s="246"/>
      <c r="C236" s="248"/>
      <c r="D236" s="46">
        <v>26</v>
      </c>
      <c r="E236" s="34" t="s">
        <v>99</v>
      </c>
      <c r="F236" s="47">
        <v>85.43</v>
      </c>
      <c r="G236" s="47">
        <v>82.23</v>
      </c>
      <c r="H236" s="47">
        <v>89.55</v>
      </c>
      <c r="I236" s="47">
        <v>78.52</v>
      </c>
    </row>
    <row r="237" spans="2:9" ht="15.75" thickBot="1">
      <c r="B237" s="247"/>
      <c r="C237" s="249"/>
      <c r="D237" s="44">
        <v>27</v>
      </c>
      <c r="E237" s="37" t="s">
        <v>100</v>
      </c>
      <c r="F237" s="48">
        <v>81.680000000000007</v>
      </c>
      <c r="G237" s="48">
        <v>74.459999999999994</v>
      </c>
      <c r="H237" s="48">
        <v>88.64</v>
      </c>
      <c r="I237" s="48">
        <v>72.95</v>
      </c>
    </row>
    <row r="239" spans="2:9" ht="15.75" thickBot="1"/>
    <row r="240" spans="2:9">
      <c r="B240" s="250" t="s">
        <v>101</v>
      </c>
      <c r="C240" s="252" t="s">
        <v>102</v>
      </c>
      <c r="D240" s="49">
        <v>28</v>
      </c>
      <c r="E240" s="50" t="s">
        <v>103</v>
      </c>
      <c r="F240" s="43">
        <v>63.94</v>
      </c>
      <c r="G240" s="43">
        <v>58.53</v>
      </c>
      <c r="H240" s="43">
        <v>63.86</v>
      </c>
      <c r="I240" s="43">
        <v>53.61</v>
      </c>
    </row>
    <row r="241" spans="2:9" ht="15.75" thickBot="1">
      <c r="B241" s="250"/>
      <c r="C241" s="253"/>
      <c r="D241" s="46">
        <v>29</v>
      </c>
      <c r="E241" s="34" t="s">
        <v>104</v>
      </c>
      <c r="F241" s="45">
        <v>45.85</v>
      </c>
      <c r="G241" s="45">
        <v>40.159999999999997</v>
      </c>
      <c r="H241" s="45">
        <v>60.32</v>
      </c>
      <c r="I241" s="45">
        <v>46.37</v>
      </c>
    </row>
    <row r="242" spans="2:9">
      <c r="B242" s="250"/>
      <c r="C242" s="254" t="s">
        <v>105</v>
      </c>
      <c r="D242" s="41">
        <v>30</v>
      </c>
      <c r="E242" s="42" t="s">
        <v>106</v>
      </c>
      <c r="F242" s="43">
        <v>72.17</v>
      </c>
      <c r="G242" s="43">
        <v>65.27</v>
      </c>
      <c r="H242" s="43">
        <v>87.32</v>
      </c>
      <c r="I242" s="43">
        <v>68.23</v>
      </c>
    </row>
    <row r="243" spans="2:9" ht="15.75" thickBot="1">
      <c r="B243" s="251"/>
      <c r="C243" s="255"/>
      <c r="D243" s="44">
        <v>31</v>
      </c>
      <c r="E243" s="37" t="s">
        <v>107</v>
      </c>
      <c r="F243" s="45">
        <v>92.08</v>
      </c>
      <c r="G243" s="45">
        <v>89.27</v>
      </c>
      <c r="H243" s="45">
        <v>96.07</v>
      </c>
      <c r="I243" s="45">
        <v>90.73</v>
      </c>
    </row>
    <row r="244" spans="2:9">
      <c r="B244" s="256" t="s">
        <v>108</v>
      </c>
      <c r="C244" s="256"/>
      <c r="D244" s="46">
        <v>32</v>
      </c>
      <c r="E244" s="34" t="s">
        <v>109</v>
      </c>
      <c r="F244" s="43">
        <v>58.81</v>
      </c>
      <c r="G244" s="43">
        <v>53.37</v>
      </c>
      <c r="H244" s="43">
        <v>74.13</v>
      </c>
      <c r="I244" s="43">
        <v>60.01</v>
      </c>
    </row>
    <row r="245" spans="2:9">
      <c r="B245" s="257"/>
      <c r="C245" s="257"/>
      <c r="D245" s="46">
        <v>33</v>
      </c>
      <c r="E245" s="34" t="s">
        <v>110</v>
      </c>
      <c r="F245" s="47">
        <v>73.19</v>
      </c>
      <c r="G245" s="47">
        <v>68.22</v>
      </c>
      <c r="H245" s="47">
        <v>77.489999999999995</v>
      </c>
      <c r="I245" s="47">
        <v>64.290000000000006</v>
      </c>
    </row>
    <row r="246" spans="2:9" ht="15.75" thickBot="1">
      <c r="B246" s="258"/>
      <c r="C246" s="258"/>
      <c r="D246" s="44">
        <v>34</v>
      </c>
      <c r="E246" s="37" t="s">
        <v>111</v>
      </c>
      <c r="F246" s="45">
        <v>71.930000000000007</v>
      </c>
      <c r="G246" s="45">
        <v>65.42</v>
      </c>
      <c r="H246" s="45">
        <v>81.13</v>
      </c>
      <c r="I246" s="45">
        <v>68.75</v>
      </c>
    </row>
    <row r="247" spans="2:9">
      <c r="B247" s="259" t="s">
        <v>112</v>
      </c>
      <c r="C247" s="254" t="s">
        <v>113</v>
      </c>
      <c r="D247" s="41">
        <v>35</v>
      </c>
      <c r="E247" s="42" t="s">
        <v>114</v>
      </c>
      <c r="F247" s="43">
        <v>85.43</v>
      </c>
      <c r="G247" s="43">
        <v>82.03</v>
      </c>
      <c r="H247" s="43">
        <v>94.36</v>
      </c>
      <c r="I247" s="43">
        <v>88.94</v>
      </c>
    </row>
    <row r="248" spans="2:9">
      <c r="B248" s="250"/>
      <c r="C248" s="253"/>
      <c r="D248" s="46">
        <v>36</v>
      </c>
      <c r="E248" s="34" t="s">
        <v>115</v>
      </c>
      <c r="F248" s="47">
        <v>96.52</v>
      </c>
      <c r="G248" s="47">
        <v>94.93</v>
      </c>
      <c r="H248" s="47">
        <v>97.91</v>
      </c>
      <c r="I248" s="47">
        <v>94.99</v>
      </c>
    </row>
    <row r="249" spans="2:9">
      <c r="B249" s="250"/>
      <c r="C249" s="253"/>
      <c r="D249" s="46">
        <v>37</v>
      </c>
      <c r="E249" s="34" t="s">
        <v>116</v>
      </c>
      <c r="F249" s="47">
        <v>94.97</v>
      </c>
      <c r="G249" s="47">
        <v>93.2</v>
      </c>
      <c r="H249" s="47">
        <v>97.37</v>
      </c>
      <c r="I249" s="47">
        <v>94.39</v>
      </c>
    </row>
    <row r="250" spans="2:9" ht="15.75" thickBot="1">
      <c r="B250" s="250"/>
      <c r="C250" s="253"/>
      <c r="D250" s="46">
        <v>38</v>
      </c>
      <c r="E250" s="37" t="s">
        <v>117</v>
      </c>
      <c r="F250" s="45">
        <v>93.83</v>
      </c>
      <c r="G250" s="45">
        <v>91.3</v>
      </c>
      <c r="H250" s="45">
        <v>96.74</v>
      </c>
      <c r="I250" s="45">
        <v>92.77</v>
      </c>
    </row>
    <row r="251" spans="2:9" ht="29.25" thickBot="1">
      <c r="B251" s="251"/>
      <c r="C251" s="51" t="s">
        <v>118</v>
      </c>
      <c r="D251" s="52">
        <v>39</v>
      </c>
      <c r="E251" s="37" t="s">
        <v>119</v>
      </c>
      <c r="F251" s="53">
        <v>84.65</v>
      </c>
      <c r="G251" s="53">
        <v>81.040000000000006</v>
      </c>
      <c r="H251" s="53">
        <v>92.19</v>
      </c>
      <c r="I251" s="53">
        <v>82.14</v>
      </c>
    </row>
    <row r="254" spans="2:9" ht="15.75" thickBot="1"/>
    <row r="255" spans="2:9">
      <c r="B255" s="239" t="s">
        <v>120</v>
      </c>
      <c r="C255" s="240"/>
      <c r="D255" s="54">
        <v>40</v>
      </c>
      <c r="E255" s="42" t="s">
        <v>121</v>
      </c>
      <c r="F255" s="43">
        <v>83.95</v>
      </c>
      <c r="G255" s="43">
        <v>80.67</v>
      </c>
      <c r="H255" s="43">
        <v>88.08</v>
      </c>
      <c r="I255" s="43">
        <v>77.91</v>
      </c>
    </row>
    <row r="256" spans="2:9" ht="15.75" thickBot="1">
      <c r="B256" s="243"/>
      <c r="C256" s="244"/>
      <c r="D256" s="36">
        <v>41</v>
      </c>
      <c r="E256" s="37" t="s">
        <v>122</v>
      </c>
      <c r="F256" s="45">
        <v>77.3</v>
      </c>
      <c r="G256" s="45">
        <v>71.92</v>
      </c>
      <c r="H256" s="45">
        <v>86.97</v>
      </c>
      <c r="I256" s="45">
        <v>75.81</v>
      </c>
    </row>
    <row r="257" spans="2:9">
      <c r="B257" s="239" t="s">
        <v>123</v>
      </c>
      <c r="C257" s="240"/>
      <c r="D257" s="54">
        <v>42</v>
      </c>
      <c r="E257" s="42" t="s">
        <v>124</v>
      </c>
      <c r="F257" s="43">
        <v>90.85</v>
      </c>
      <c r="G257" s="43">
        <v>87.71</v>
      </c>
      <c r="H257" s="43">
        <v>93.18</v>
      </c>
      <c r="I257" s="43">
        <v>87.14</v>
      </c>
    </row>
    <row r="258" spans="2:9" ht="15.75" thickBot="1">
      <c r="B258" s="243"/>
      <c r="C258" s="244"/>
      <c r="D258" s="36">
        <v>43</v>
      </c>
      <c r="E258" s="37" t="s">
        <v>125</v>
      </c>
      <c r="F258" s="45">
        <v>77.12</v>
      </c>
      <c r="G258" s="45">
        <v>71.23</v>
      </c>
      <c r="H258" s="45">
        <v>89.07</v>
      </c>
      <c r="I258" s="45">
        <v>73.77</v>
      </c>
    </row>
    <row r="259" spans="2:9">
      <c r="B259" s="239" t="s">
        <v>126</v>
      </c>
      <c r="C259" s="240"/>
      <c r="D259" s="54">
        <v>44</v>
      </c>
      <c r="E259" s="42" t="s">
        <v>127</v>
      </c>
      <c r="F259" s="43">
        <v>86.83</v>
      </c>
      <c r="G259" s="43">
        <v>82.92</v>
      </c>
      <c r="H259" s="43">
        <v>89.26</v>
      </c>
      <c r="I259" s="43">
        <v>80.959999999999994</v>
      </c>
    </row>
    <row r="260" spans="2:9">
      <c r="B260" s="241"/>
      <c r="C260" s="242"/>
      <c r="D260" s="33">
        <v>45</v>
      </c>
      <c r="E260" s="34" t="s">
        <v>128</v>
      </c>
      <c r="F260" s="47">
        <v>89.37</v>
      </c>
      <c r="G260" s="47">
        <v>85.1</v>
      </c>
      <c r="H260" s="47">
        <v>94.14</v>
      </c>
      <c r="I260" s="47">
        <v>86.83</v>
      </c>
    </row>
    <row r="261" spans="2:9">
      <c r="B261" s="241"/>
      <c r="C261" s="242"/>
      <c r="D261" s="33">
        <v>46</v>
      </c>
      <c r="E261" s="34" t="s">
        <v>129</v>
      </c>
      <c r="F261" s="47">
        <v>79.180000000000007</v>
      </c>
      <c r="G261" s="47">
        <v>71.760000000000005</v>
      </c>
      <c r="H261" s="47">
        <v>91.3</v>
      </c>
      <c r="I261" s="47">
        <v>79.239999999999995</v>
      </c>
    </row>
    <row r="262" spans="2:9" ht="15.75" thickBot="1">
      <c r="B262" s="243"/>
      <c r="C262" s="244"/>
      <c r="D262" s="36">
        <v>47</v>
      </c>
      <c r="E262" s="37" t="s">
        <v>130</v>
      </c>
      <c r="F262" s="45">
        <v>81.77</v>
      </c>
      <c r="G262" s="45">
        <v>76.97</v>
      </c>
      <c r="H262" s="45">
        <v>90.91</v>
      </c>
      <c r="I262" s="45">
        <v>80.56</v>
      </c>
    </row>
    <row r="270" spans="2:9">
      <c r="B270" s="230" t="s">
        <v>131</v>
      </c>
      <c r="C270" s="230"/>
      <c r="D270" s="55">
        <v>48</v>
      </c>
      <c r="E270" s="56" t="s">
        <v>132</v>
      </c>
      <c r="F270" s="47">
        <v>89.81</v>
      </c>
      <c r="G270" s="47">
        <v>86.4</v>
      </c>
      <c r="H270" s="47">
        <v>94.33</v>
      </c>
      <c r="I270" s="47">
        <v>87.83</v>
      </c>
    </row>
    <row r="271" spans="2:9">
      <c r="B271" s="230"/>
      <c r="C271" s="230"/>
      <c r="D271" s="55">
        <v>49</v>
      </c>
      <c r="E271" s="56" t="s">
        <v>133</v>
      </c>
      <c r="F271" s="47">
        <v>88.17</v>
      </c>
      <c r="G271" s="47">
        <v>83.83</v>
      </c>
      <c r="H271" s="47">
        <v>93.57</v>
      </c>
      <c r="I271" s="47">
        <v>84.51</v>
      </c>
    </row>
    <row r="272" spans="2:9" ht="15.75" thickBot="1">
      <c r="B272" s="231"/>
      <c r="C272" s="231"/>
      <c r="D272" s="57">
        <v>50</v>
      </c>
      <c r="E272" s="58" t="s">
        <v>134</v>
      </c>
      <c r="F272" s="45">
        <v>83.84</v>
      </c>
      <c r="G272" s="45">
        <v>80.12</v>
      </c>
      <c r="H272" s="45">
        <v>91.57</v>
      </c>
      <c r="I272" s="45">
        <v>80.680000000000007</v>
      </c>
    </row>
    <row r="273" spans="2:19">
      <c r="B273" s="232" t="s">
        <v>135</v>
      </c>
      <c r="C273" s="235" t="s">
        <v>136</v>
      </c>
      <c r="D273" s="59">
        <v>51</v>
      </c>
      <c r="E273" s="60" t="s">
        <v>137</v>
      </c>
      <c r="F273" s="43">
        <v>90.49</v>
      </c>
      <c r="G273" s="43">
        <v>86.01</v>
      </c>
      <c r="H273" s="43">
        <v>95.77</v>
      </c>
      <c r="I273" s="43">
        <v>88.53</v>
      </c>
    </row>
    <row r="274" spans="2:19" ht="15.75" thickBot="1">
      <c r="B274" s="233"/>
      <c r="C274" s="236"/>
      <c r="D274" s="57">
        <v>52</v>
      </c>
      <c r="E274" s="58" t="s">
        <v>138</v>
      </c>
      <c r="F274" s="45">
        <v>84.02</v>
      </c>
      <c r="G274" s="45">
        <v>78.760000000000005</v>
      </c>
      <c r="H274" s="45">
        <v>92.87</v>
      </c>
      <c r="I274" s="45">
        <v>83.38</v>
      </c>
    </row>
    <row r="275" spans="2:19">
      <c r="B275" s="233"/>
      <c r="C275" s="235" t="s">
        <v>139</v>
      </c>
      <c r="D275" s="59">
        <v>53</v>
      </c>
      <c r="E275" s="60" t="s">
        <v>140</v>
      </c>
      <c r="F275" s="43">
        <v>93.54</v>
      </c>
      <c r="G275" s="43">
        <v>90.86</v>
      </c>
      <c r="H275" s="43">
        <v>96.24</v>
      </c>
      <c r="I275" s="43">
        <v>90.59</v>
      </c>
    </row>
    <row r="276" spans="2:19" ht="29.25" thickBot="1">
      <c r="B276" s="234"/>
      <c r="C276" s="237"/>
      <c r="D276" s="55">
        <v>54</v>
      </c>
      <c r="E276" s="56" t="s">
        <v>141</v>
      </c>
      <c r="F276" s="45">
        <v>85.06</v>
      </c>
      <c r="G276" s="45">
        <v>80.09</v>
      </c>
      <c r="H276" s="45">
        <v>91.76</v>
      </c>
      <c r="I276" s="45">
        <v>82.18</v>
      </c>
    </row>
    <row r="277" spans="2:19">
      <c r="B277" s="238" t="s">
        <v>142</v>
      </c>
      <c r="C277" s="238"/>
      <c r="D277" s="59">
        <v>55</v>
      </c>
      <c r="E277" s="60" t="s">
        <v>143</v>
      </c>
      <c r="F277" s="43">
        <v>81.8</v>
      </c>
      <c r="G277" s="43">
        <v>76.98</v>
      </c>
      <c r="H277" s="43">
        <v>90.42</v>
      </c>
      <c r="I277" s="43">
        <v>78.38</v>
      </c>
    </row>
    <row r="278" spans="2:19">
      <c r="B278" s="230"/>
      <c r="C278" s="230"/>
      <c r="D278" s="55">
        <v>56</v>
      </c>
      <c r="E278" s="56" t="s">
        <v>144</v>
      </c>
      <c r="F278" s="47">
        <v>81.81</v>
      </c>
      <c r="G278" s="47">
        <v>76.680000000000007</v>
      </c>
      <c r="H278" s="47">
        <v>88.99</v>
      </c>
      <c r="I278" s="47">
        <v>75.88</v>
      </c>
    </row>
    <row r="279" spans="2:19" ht="15.75" thickBot="1">
      <c r="B279" s="231"/>
      <c r="C279" s="231"/>
      <c r="D279" s="57">
        <v>57</v>
      </c>
      <c r="E279" s="58" t="s">
        <v>145</v>
      </c>
      <c r="F279" s="45">
        <v>83.31</v>
      </c>
      <c r="G279" s="45">
        <v>78.87</v>
      </c>
      <c r="H279" s="45">
        <v>90.81</v>
      </c>
      <c r="I279" s="45">
        <v>81.12</v>
      </c>
    </row>
    <row r="285" spans="2:19" ht="56.25" customHeight="1">
      <c r="M285" s="109" t="s">
        <v>51</v>
      </c>
      <c r="N285" s="123">
        <v>2016</v>
      </c>
      <c r="O285" s="123">
        <v>2015</v>
      </c>
      <c r="P285" s="123" t="s">
        <v>52</v>
      </c>
      <c r="Q285" s="123" t="s">
        <v>53</v>
      </c>
      <c r="R285" s="123" t="s">
        <v>54</v>
      </c>
      <c r="S285" s="123" t="s">
        <v>55</v>
      </c>
    </row>
    <row r="286" spans="2:19" ht="20.100000000000001" customHeight="1">
      <c r="L286" s="229">
        <v>86</v>
      </c>
      <c r="M286" s="109" t="s">
        <v>56</v>
      </c>
      <c r="N286" s="123">
        <v>87</v>
      </c>
      <c r="O286" s="123">
        <v>84</v>
      </c>
      <c r="P286" s="123">
        <v>89</v>
      </c>
      <c r="Q286" s="123">
        <v>78</v>
      </c>
      <c r="R286" s="123">
        <v>-2</v>
      </c>
      <c r="S286" s="123">
        <v>9</v>
      </c>
    </row>
    <row r="287" spans="2:19" ht="20.100000000000001" customHeight="1">
      <c r="L287" s="229"/>
      <c r="M287" s="109" t="s">
        <v>63</v>
      </c>
      <c r="N287" s="123">
        <v>86</v>
      </c>
      <c r="O287" s="123">
        <v>82</v>
      </c>
      <c r="P287" s="123">
        <v>89</v>
      </c>
      <c r="Q287" s="123">
        <v>80</v>
      </c>
      <c r="R287" s="123">
        <v>-3</v>
      </c>
      <c r="S287" s="123">
        <v>6</v>
      </c>
    </row>
    <row r="288" spans="2:19" ht="20.100000000000001" customHeight="1" thickBot="1">
      <c r="L288" s="229"/>
      <c r="M288" s="124" t="s">
        <v>73</v>
      </c>
      <c r="N288" s="125">
        <v>86</v>
      </c>
      <c r="O288" s="125">
        <v>82</v>
      </c>
      <c r="P288" s="125">
        <v>90</v>
      </c>
      <c r="Q288" s="125">
        <v>79</v>
      </c>
      <c r="R288" s="125">
        <v>-4</v>
      </c>
      <c r="S288" s="125">
        <v>7</v>
      </c>
    </row>
    <row r="289" spans="12:19" ht="20.100000000000001" customHeight="1">
      <c r="L289" s="229">
        <v>82</v>
      </c>
      <c r="M289" s="109" t="s">
        <v>80</v>
      </c>
      <c r="N289" s="123">
        <v>82</v>
      </c>
      <c r="O289" s="123">
        <v>79</v>
      </c>
      <c r="P289" s="123">
        <v>89</v>
      </c>
      <c r="Q289" s="123">
        <v>77</v>
      </c>
      <c r="R289" s="123">
        <v>-7</v>
      </c>
      <c r="S289" s="123">
        <v>5</v>
      </c>
    </row>
    <row r="290" spans="12:19" ht="20.100000000000001" customHeight="1">
      <c r="L290" s="229"/>
      <c r="M290" s="109" t="s">
        <v>87</v>
      </c>
      <c r="N290" s="123">
        <v>81</v>
      </c>
      <c r="O290" s="123">
        <v>77</v>
      </c>
      <c r="P290" s="123">
        <v>87</v>
      </c>
      <c r="Q290" s="123">
        <v>73</v>
      </c>
      <c r="R290" s="123">
        <v>-6</v>
      </c>
      <c r="S290" s="123">
        <v>8</v>
      </c>
    </row>
    <row r="291" spans="12:19" ht="20.100000000000001" customHeight="1" thickBot="1">
      <c r="L291" s="229"/>
      <c r="M291" s="126" t="s">
        <v>91</v>
      </c>
      <c r="N291" s="127">
        <v>81</v>
      </c>
      <c r="O291" s="127">
        <v>77</v>
      </c>
      <c r="P291" s="127">
        <v>89</v>
      </c>
      <c r="Q291" s="127">
        <v>78</v>
      </c>
      <c r="R291" s="127">
        <v>-8</v>
      </c>
      <c r="S291" s="127">
        <v>3</v>
      </c>
    </row>
    <row r="292" spans="12:19" ht="20.100000000000001" customHeight="1">
      <c r="L292" s="229">
        <v>78</v>
      </c>
      <c r="M292" s="109" t="s">
        <v>101</v>
      </c>
      <c r="N292" s="123">
        <v>69</v>
      </c>
      <c r="O292" s="123">
        <v>63</v>
      </c>
      <c r="P292" s="123">
        <v>77</v>
      </c>
      <c r="Q292" s="123">
        <v>65</v>
      </c>
      <c r="R292" s="123">
        <v>-8</v>
      </c>
      <c r="S292" s="123">
        <v>4</v>
      </c>
    </row>
    <row r="293" spans="12:19" ht="20.100000000000001" customHeight="1">
      <c r="L293" s="229"/>
      <c r="M293" s="109" t="s">
        <v>108</v>
      </c>
      <c r="N293" s="123">
        <v>68</v>
      </c>
      <c r="O293" s="123">
        <v>62</v>
      </c>
      <c r="P293" s="123">
        <v>78</v>
      </c>
      <c r="Q293" s="123">
        <v>64</v>
      </c>
      <c r="R293" s="123">
        <v>-10</v>
      </c>
      <c r="S293" s="123">
        <v>4</v>
      </c>
    </row>
    <row r="294" spans="12:19" ht="20.100000000000001" customHeight="1" thickBot="1">
      <c r="L294" s="229"/>
      <c r="M294" s="128" t="s">
        <v>112</v>
      </c>
      <c r="N294" s="129">
        <v>91</v>
      </c>
      <c r="O294" s="129">
        <v>89</v>
      </c>
      <c r="P294" s="129">
        <v>96</v>
      </c>
      <c r="Q294" s="129">
        <v>91</v>
      </c>
      <c r="R294" s="129">
        <v>-5</v>
      </c>
      <c r="S294" s="129">
        <v>0</v>
      </c>
    </row>
    <row r="295" spans="12:19" ht="20.100000000000001" customHeight="1">
      <c r="L295" s="229">
        <v>83</v>
      </c>
      <c r="M295" s="109" t="s">
        <v>120</v>
      </c>
      <c r="N295" s="123">
        <v>81</v>
      </c>
      <c r="O295" s="123">
        <v>76</v>
      </c>
      <c r="P295" s="123">
        <v>88</v>
      </c>
      <c r="Q295" s="123">
        <v>77</v>
      </c>
      <c r="R295" s="123">
        <v>-7</v>
      </c>
      <c r="S295" s="123">
        <v>4</v>
      </c>
    </row>
    <row r="296" spans="12:19" ht="20.100000000000001" customHeight="1">
      <c r="L296" s="229"/>
      <c r="M296" s="109" t="s">
        <v>123</v>
      </c>
      <c r="N296" s="123">
        <v>84</v>
      </c>
      <c r="O296" s="123">
        <v>79</v>
      </c>
      <c r="P296" s="123">
        <v>91</v>
      </c>
      <c r="Q296" s="123">
        <v>80</v>
      </c>
      <c r="R296" s="123">
        <v>-7</v>
      </c>
      <c r="S296" s="123">
        <v>4</v>
      </c>
    </row>
    <row r="297" spans="12:19" ht="20.100000000000001" customHeight="1" thickBot="1">
      <c r="L297" s="229"/>
      <c r="M297" s="130" t="s">
        <v>126</v>
      </c>
      <c r="N297" s="131">
        <v>84</v>
      </c>
      <c r="O297" s="131">
        <v>79</v>
      </c>
      <c r="P297" s="131">
        <v>91</v>
      </c>
      <c r="Q297" s="131">
        <v>82</v>
      </c>
      <c r="R297" s="131">
        <v>-7</v>
      </c>
      <c r="S297" s="131">
        <v>2</v>
      </c>
    </row>
    <row r="298" spans="12:19" ht="20.100000000000001" customHeight="1">
      <c r="L298" s="229">
        <v>86</v>
      </c>
      <c r="M298" s="109" t="s">
        <v>131</v>
      </c>
      <c r="N298" s="123">
        <v>87</v>
      </c>
      <c r="O298" s="123">
        <v>83</v>
      </c>
      <c r="P298" s="123">
        <v>93</v>
      </c>
      <c r="Q298" s="123">
        <v>84</v>
      </c>
      <c r="R298" s="123">
        <v>-6</v>
      </c>
      <c r="S298" s="123">
        <v>3</v>
      </c>
    </row>
    <row r="299" spans="12:19" ht="20.100000000000001" customHeight="1">
      <c r="L299" s="229"/>
      <c r="M299" s="109" t="s">
        <v>135</v>
      </c>
      <c r="N299" s="123">
        <v>88</v>
      </c>
      <c r="O299" s="123">
        <v>84</v>
      </c>
      <c r="P299" s="123">
        <v>94</v>
      </c>
      <c r="Q299" s="123">
        <v>86</v>
      </c>
      <c r="R299" s="123">
        <v>-6</v>
      </c>
      <c r="S299" s="123">
        <v>2</v>
      </c>
    </row>
    <row r="300" spans="12:19" ht="20.100000000000001" customHeight="1" thickBot="1">
      <c r="L300" s="229"/>
      <c r="M300" s="132" t="s">
        <v>142</v>
      </c>
      <c r="N300" s="133">
        <v>82</v>
      </c>
      <c r="O300" s="133">
        <v>78</v>
      </c>
      <c r="P300" s="133">
        <v>90</v>
      </c>
      <c r="Q300" s="133">
        <v>78</v>
      </c>
      <c r="R300" s="133">
        <v>-8</v>
      </c>
      <c r="S300" s="133">
        <v>4</v>
      </c>
    </row>
    <row r="315" spans="4:7">
      <c r="D315" s="55">
        <v>59</v>
      </c>
      <c r="E315" s="56" t="s">
        <v>146</v>
      </c>
      <c r="F315" s="47">
        <v>85.1</v>
      </c>
      <c r="G315" s="47">
        <v>87.45</v>
      </c>
    </row>
    <row r="316" spans="4:7" ht="28.5">
      <c r="D316" s="55">
        <v>60</v>
      </c>
      <c r="E316" s="56" t="s">
        <v>147</v>
      </c>
      <c r="F316" s="47">
        <v>85.09</v>
      </c>
      <c r="G316" s="47">
        <v>79.87</v>
      </c>
    </row>
    <row r="317" spans="4:7" ht="28.5">
      <c r="D317" s="55">
        <v>61</v>
      </c>
      <c r="E317" s="56" t="s">
        <v>148</v>
      </c>
      <c r="F317" s="47">
        <v>54.8</v>
      </c>
      <c r="G317" s="47">
        <v>51.23</v>
      </c>
    </row>
    <row r="318" spans="4:7" ht="28.5">
      <c r="D318" s="55">
        <v>62</v>
      </c>
      <c r="E318" s="56" t="s">
        <v>149</v>
      </c>
      <c r="F318" s="47">
        <v>92.57</v>
      </c>
      <c r="G318" s="47">
        <v>89.81</v>
      </c>
    </row>
    <row r="319" spans="4:7">
      <c r="D319" s="55">
        <v>63</v>
      </c>
      <c r="E319" s="56" t="s">
        <v>150</v>
      </c>
      <c r="F319" s="47">
        <v>93.13</v>
      </c>
      <c r="G319" s="47">
        <v>90.92</v>
      </c>
    </row>
    <row r="320" spans="4:7" ht="28.5">
      <c r="D320" s="55">
        <v>64</v>
      </c>
      <c r="E320" s="56" t="s">
        <v>151</v>
      </c>
      <c r="F320" s="47">
        <v>85.46</v>
      </c>
      <c r="G320" s="47" t="s">
        <v>10</v>
      </c>
    </row>
    <row r="321" spans="1:7" ht="29.25" thickBot="1">
      <c r="D321" s="57">
        <v>65</v>
      </c>
      <c r="E321" s="58" t="s">
        <v>152</v>
      </c>
      <c r="F321" s="45">
        <v>80.86</v>
      </c>
      <c r="G321" s="47" t="s">
        <v>10</v>
      </c>
    </row>
    <row r="330" spans="1:7">
      <c r="A330" s="61" t="s">
        <v>154</v>
      </c>
      <c r="B330" s="62"/>
      <c r="C330" s="62" t="s">
        <v>112</v>
      </c>
      <c r="D330" s="63">
        <v>36</v>
      </c>
      <c r="E330" s="63" t="s">
        <v>115</v>
      </c>
      <c r="F330" s="64">
        <v>96.52</v>
      </c>
      <c r="G330" s="65">
        <v>13.61</v>
      </c>
    </row>
    <row r="331" spans="1:7">
      <c r="A331" s="66" t="s">
        <v>154</v>
      </c>
      <c r="B331" s="67"/>
      <c r="C331" s="67" t="s">
        <v>112</v>
      </c>
      <c r="D331" s="68">
        <v>37</v>
      </c>
      <c r="E331" s="68" t="s">
        <v>116</v>
      </c>
      <c r="F331" s="69">
        <v>94.97</v>
      </c>
      <c r="G331" s="70">
        <v>12.060000000000002</v>
      </c>
    </row>
    <row r="332" spans="1:7">
      <c r="A332" s="66" t="s">
        <v>154</v>
      </c>
      <c r="B332" s="67"/>
      <c r="C332" s="67" t="s">
        <v>112</v>
      </c>
      <c r="D332" s="68">
        <v>38</v>
      </c>
      <c r="E332" s="68" t="s">
        <v>117</v>
      </c>
      <c r="F332" s="69">
        <v>93.83</v>
      </c>
      <c r="G332" s="70">
        <v>10.920000000000002</v>
      </c>
    </row>
    <row r="333" spans="1:7">
      <c r="A333" s="66" t="s">
        <v>155</v>
      </c>
      <c r="B333" s="67"/>
      <c r="C333" s="67" t="s">
        <v>73</v>
      </c>
      <c r="D333" s="68">
        <v>14</v>
      </c>
      <c r="E333" s="68" t="s">
        <v>79</v>
      </c>
      <c r="F333" s="69">
        <v>92.33</v>
      </c>
      <c r="G333" s="70">
        <v>9.4200000000000017</v>
      </c>
    </row>
    <row r="334" spans="1:7">
      <c r="A334" s="66" t="s">
        <v>154</v>
      </c>
      <c r="B334" s="67"/>
      <c r="C334" s="67" t="s">
        <v>101</v>
      </c>
      <c r="D334" s="68">
        <v>31</v>
      </c>
      <c r="E334" s="68" t="s">
        <v>107</v>
      </c>
      <c r="F334" s="69">
        <v>92.08</v>
      </c>
      <c r="G334" s="70">
        <v>9.1700000000000017</v>
      </c>
    </row>
    <row r="335" spans="1:7" ht="24">
      <c r="A335" s="66" t="s">
        <v>156</v>
      </c>
      <c r="B335" s="67"/>
      <c r="C335" s="67" t="s">
        <v>91</v>
      </c>
      <c r="D335" s="68">
        <v>21</v>
      </c>
      <c r="E335" s="68" t="s">
        <v>93</v>
      </c>
      <c r="F335" s="69">
        <v>91.17</v>
      </c>
      <c r="G335" s="70">
        <v>8.2600000000000051</v>
      </c>
    </row>
    <row r="336" spans="1:7">
      <c r="A336" s="66" t="s">
        <v>155</v>
      </c>
      <c r="B336" s="67"/>
      <c r="C336" s="67" t="s">
        <v>56</v>
      </c>
      <c r="D336" s="68">
        <v>4</v>
      </c>
      <c r="E336" s="68" t="s">
        <v>62</v>
      </c>
      <c r="F336" s="69">
        <v>89.51</v>
      </c>
      <c r="G336" s="70">
        <v>6.6000000000000085</v>
      </c>
    </row>
    <row r="337" spans="1:7">
      <c r="A337" s="66" t="s">
        <v>155</v>
      </c>
      <c r="B337" s="67"/>
      <c r="C337" s="67" t="s">
        <v>63</v>
      </c>
      <c r="D337" s="68">
        <v>9</v>
      </c>
      <c r="E337" s="68" t="s">
        <v>70</v>
      </c>
      <c r="F337" s="69">
        <v>89.17</v>
      </c>
      <c r="G337" s="70">
        <v>6.2600000000000051</v>
      </c>
    </row>
    <row r="338" spans="1:7">
      <c r="A338" s="66" t="s">
        <v>155</v>
      </c>
      <c r="B338" s="67"/>
      <c r="C338" s="67" t="s">
        <v>63</v>
      </c>
      <c r="D338" s="68">
        <v>5</v>
      </c>
      <c r="E338" s="68" t="s">
        <v>65</v>
      </c>
      <c r="F338" s="69">
        <v>89.01</v>
      </c>
      <c r="G338" s="70">
        <v>6.1000000000000085</v>
      </c>
    </row>
    <row r="339" spans="1:7">
      <c r="A339" s="66" t="s">
        <v>155</v>
      </c>
      <c r="B339" s="67"/>
      <c r="C339" s="67" t="s">
        <v>63</v>
      </c>
      <c r="D339" s="68">
        <v>10</v>
      </c>
      <c r="E339" s="68" t="s">
        <v>72</v>
      </c>
      <c r="F339" s="69">
        <v>88.56</v>
      </c>
      <c r="G339" s="70">
        <v>5.6500000000000057</v>
      </c>
    </row>
    <row r="345" spans="1:7">
      <c r="A345" s="61" t="s">
        <v>154</v>
      </c>
      <c r="B345" s="62"/>
      <c r="C345" s="62" t="s">
        <v>101</v>
      </c>
      <c r="D345" s="63">
        <v>29</v>
      </c>
      <c r="E345" s="63" t="s">
        <v>104</v>
      </c>
      <c r="F345" s="64">
        <v>45.85</v>
      </c>
      <c r="G345" s="65">
        <v>-37.059999999999995</v>
      </c>
    </row>
    <row r="346" spans="1:7" ht="24">
      <c r="A346" s="61" t="s">
        <v>154</v>
      </c>
      <c r="B346" s="62"/>
      <c r="C346" s="62" t="s">
        <v>108</v>
      </c>
      <c r="D346" s="63">
        <v>32</v>
      </c>
      <c r="E346" s="63" t="s">
        <v>109</v>
      </c>
      <c r="F346" s="64">
        <v>58.81</v>
      </c>
      <c r="G346" s="65">
        <v>-24.099999999999994</v>
      </c>
    </row>
    <row r="347" spans="1:7">
      <c r="A347" s="61" t="s">
        <v>154</v>
      </c>
      <c r="B347" s="62"/>
      <c r="C347" s="62" t="s">
        <v>101</v>
      </c>
      <c r="D347" s="63">
        <v>28</v>
      </c>
      <c r="E347" s="63" t="s">
        <v>103</v>
      </c>
      <c r="F347" s="64">
        <v>63.94</v>
      </c>
      <c r="G347" s="65">
        <v>-18.97</v>
      </c>
    </row>
    <row r="348" spans="1:7" ht="24">
      <c r="A348" s="61" t="s">
        <v>156</v>
      </c>
      <c r="B348" s="62"/>
      <c r="C348" s="62" t="s">
        <v>91</v>
      </c>
      <c r="D348" s="63">
        <v>22</v>
      </c>
      <c r="E348" s="63" t="s">
        <v>94</v>
      </c>
      <c r="F348" s="64">
        <v>69.52</v>
      </c>
      <c r="G348" s="65">
        <v>-13.39</v>
      </c>
    </row>
    <row r="349" spans="1:7" ht="24">
      <c r="A349" s="61" t="s">
        <v>154</v>
      </c>
      <c r="B349" s="62"/>
      <c r="C349" s="62" t="s">
        <v>108</v>
      </c>
      <c r="D349" s="63">
        <v>34</v>
      </c>
      <c r="E349" s="63" t="s">
        <v>111</v>
      </c>
      <c r="F349" s="64">
        <v>71.930000000000007</v>
      </c>
      <c r="G349" s="65">
        <v>-10.97999999999999</v>
      </c>
    </row>
    <row r="350" spans="1:7">
      <c r="A350" s="61" t="s">
        <v>154</v>
      </c>
      <c r="B350" s="62"/>
      <c r="C350" s="62" t="s">
        <v>101</v>
      </c>
      <c r="D350" s="63">
        <v>30</v>
      </c>
      <c r="E350" s="63" t="s">
        <v>106</v>
      </c>
      <c r="F350" s="64">
        <v>72.17</v>
      </c>
      <c r="G350" s="65">
        <v>-10.739999999999995</v>
      </c>
    </row>
    <row r="351" spans="1:7" ht="24">
      <c r="A351" s="61" t="s">
        <v>154</v>
      </c>
      <c r="B351" s="62"/>
      <c r="C351" s="62" t="s">
        <v>108</v>
      </c>
      <c r="D351" s="63">
        <v>33</v>
      </c>
      <c r="E351" s="63" t="s">
        <v>110</v>
      </c>
      <c r="F351" s="64">
        <v>73.19</v>
      </c>
      <c r="G351" s="65">
        <v>-9.7199999999999989</v>
      </c>
    </row>
    <row r="352" spans="1:7" ht="24">
      <c r="A352" s="61" t="s">
        <v>156</v>
      </c>
      <c r="B352" s="62"/>
      <c r="C352" s="62" t="s">
        <v>91</v>
      </c>
      <c r="D352" s="63">
        <v>25</v>
      </c>
      <c r="E352" s="63" t="s">
        <v>98</v>
      </c>
      <c r="F352" s="64">
        <v>75.88</v>
      </c>
      <c r="G352" s="65">
        <v>-7.0300000000000011</v>
      </c>
    </row>
    <row r="353" spans="1:7">
      <c r="A353" s="61" t="s">
        <v>155</v>
      </c>
      <c r="B353" s="62"/>
      <c r="C353" s="62" t="s">
        <v>63</v>
      </c>
      <c r="D353" s="63">
        <v>7</v>
      </c>
      <c r="E353" s="63" t="s">
        <v>67</v>
      </c>
      <c r="F353" s="64">
        <v>76.25</v>
      </c>
      <c r="G353" s="65">
        <v>-6.6599999999999966</v>
      </c>
    </row>
    <row r="354" spans="1:7">
      <c r="A354" s="61" t="s">
        <v>157</v>
      </c>
      <c r="B354" s="62"/>
      <c r="C354" s="62" t="s">
        <v>157</v>
      </c>
      <c r="D354" s="63" t="s">
        <v>157</v>
      </c>
      <c r="E354" s="63" t="s">
        <v>157</v>
      </c>
      <c r="F354" s="64" t="s">
        <v>157</v>
      </c>
      <c r="G354" s="65" t="s">
        <v>157</v>
      </c>
    </row>
  </sheetData>
  <mergeCells count="35">
    <mergeCell ref="B229:B230"/>
    <mergeCell ref="C229:C230"/>
    <mergeCell ref="B210:B213"/>
    <mergeCell ref="C210:C211"/>
    <mergeCell ref="C212:C213"/>
    <mergeCell ref="B214:B219"/>
    <mergeCell ref="C214:C216"/>
    <mergeCell ref="C217:C218"/>
    <mergeCell ref="B220:B223"/>
    <mergeCell ref="C220:C222"/>
    <mergeCell ref="B225:B228"/>
    <mergeCell ref="C225:C226"/>
    <mergeCell ref="C227:C228"/>
    <mergeCell ref="B259:C262"/>
    <mergeCell ref="B231:B237"/>
    <mergeCell ref="C231:C233"/>
    <mergeCell ref="C234:C237"/>
    <mergeCell ref="B240:B243"/>
    <mergeCell ref="C240:C241"/>
    <mergeCell ref="C242:C243"/>
    <mergeCell ref="B244:C246"/>
    <mergeCell ref="B247:B251"/>
    <mergeCell ref="C247:C250"/>
    <mergeCell ref="B255:C256"/>
    <mergeCell ref="B257:C258"/>
    <mergeCell ref="L289:L291"/>
    <mergeCell ref="L292:L294"/>
    <mergeCell ref="L295:L297"/>
    <mergeCell ref="L298:L300"/>
    <mergeCell ref="B270:C272"/>
    <mergeCell ref="B273:B276"/>
    <mergeCell ref="C273:C274"/>
    <mergeCell ref="C275:C276"/>
    <mergeCell ref="B277:C279"/>
    <mergeCell ref="L286:L288"/>
  </mergeCells>
  <conditionalFormatting sqref="F210:F223">
    <cfRule type="expression" dxfId="271" priority="94">
      <formula>F210=""</formula>
    </cfRule>
    <cfRule type="expression" dxfId="270" priority="95">
      <formula>F210&lt;44.5</formula>
    </cfRule>
    <cfRule type="expression" dxfId="269" priority="96">
      <formula>F210&lt;60.5</formula>
    </cfRule>
    <cfRule type="expression" dxfId="268" priority="97">
      <formula>F210&lt;85.5</formula>
    </cfRule>
    <cfRule type="expression" dxfId="267" priority="98">
      <formula>F210&gt;85.5</formula>
    </cfRule>
  </conditionalFormatting>
  <conditionalFormatting sqref="H210:I223 F210:F223">
    <cfRule type="expression" dxfId="266" priority="89">
      <formula>F210=""</formula>
    </cfRule>
    <cfRule type="expression" dxfId="265" priority="90">
      <formula>F210&lt;44.5</formula>
    </cfRule>
    <cfRule type="expression" dxfId="264" priority="91">
      <formula>F210&lt;60.5</formula>
    </cfRule>
    <cfRule type="expression" dxfId="263" priority="92">
      <formula>F210&lt;85.5</formula>
    </cfRule>
    <cfRule type="expression" dxfId="262" priority="93">
      <formula>F210&gt;85.5</formula>
    </cfRule>
  </conditionalFormatting>
  <conditionalFormatting sqref="G210:G223">
    <cfRule type="expression" dxfId="261" priority="84">
      <formula>G210=""</formula>
    </cfRule>
    <cfRule type="expression" dxfId="260" priority="85">
      <formula>G210&lt;44.5</formula>
    </cfRule>
    <cfRule type="expression" dxfId="259" priority="86">
      <formula>G210&lt;60.5</formula>
    </cfRule>
    <cfRule type="expression" dxfId="258" priority="87">
      <formula>G210&lt;85.5</formula>
    </cfRule>
    <cfRule type="expression" dxfId="257" priority="88">
      <formula>G210&gt;85.5</formula>
    </cfRule>
  </conditionalFormatting>
  <conditionalFormatting sqref="G210:G223">
    <cfRule type="expression" dxfId="256" priority="79">
      <formula>G210=""</formula>
    </cfRule>
    <cfRule type="expression" dxfId="255" priority="80">
      <formula>G210&lt;44.5</formula>
    </cfRule>
    <cfRule type="expression" dxfId="254" priority="81">
      <formula>G210&lt;60.5</formula>
    </cfRule>
    <cfRule type="expression" dxfId="253" priority="82">
      <formula>G210&lt;85.5</formula>
    </cfRule>
    <cfRule type="expression" dxfId="252" priority="83">
      <formula>G210&gt;85.5</formula>
    </cfRule>
  </conditionalFormatting>
  <conditionalFormatting sqref="F225:F237">
    <cfRule type="expression" dxfId="251" priority="74">
      <formula>F225=""</formula>
    </cfRule>
    <cfRule type="expression" dxfId="250" priority="75">
      <formula>F225&lt;44.5</formula>
    </cfRule>
    <cfRule type="expression" dxfId="249" priority="76">
      <formula>F225&lt;60.5</formula>
    </cfRule>
    <cfRule type="expression" dxfId="248" priority="77">
      <formula>F225&lt;85.5</formula>
    </cfRule>
    <cfRule type="expression" dxfId="247" priority="78">
      <formula>F225&gt;85.5</formula>
    </cfRule>
  </conditionalFormatting>
  <conditionalFormatting sqref="H225:I237">
    <cfRule type="expression" dxfId="246" priority="69">
      <formula>H225=""</formula>
    </cfRule>
    <cfRule type="expression" dxfId="245" priority="70">
      <formula>H225&lt;44.5</formula>
    </cfRule>
    <cfRule type="expression" dxfId="244" priority="71">
      <formula>H225&lt;60.5</formula>
    </cfRule>
    <cfRule type="expression" dxfId="243" priority="72">
      <formula>H225&lt;85.5</formula>
    </cfRule>
    <cfRule type="expression" dxfId="242" priority="73">
      <formula>H225&gt;85.5</formula>
    </cfRule>
  </conditionalFormatting>
  <conditionalFormatting sqref="G225:G237">
    <cfRule type="expression" dxfId="241" priority="64">
      <formula>G225=""</formula>
    </cfRule>
    <cfRule type="expression" dxfId="240" priority="65">
      <formula>G225&lt;44.5</formula>
    </cfRule>
    <cfRule type="expression" dxfId="239" priority="66">
      <formula>G225&lt;60.5</formula>
    </cfRule>
    <cfRule type="expression" dxfId="238" priority="67">
      <formula>G225&lt;85.5</formula>
    </cfRule>
    <cfRule type="expression" dxfId="237" priority="68">
      <formula>G225&gt;85.5</formula>
    </cfRule>
  </conditionalFormatting>
  <conditionalFormatting sqref="F240:F251">
    <cfRule type="expression" dxfId="236" priority="59">
      <formula>F240=""</formula>
    </cfRule>
    <cfRule type="expression" dxfId="235" priority="60">
      <formula>F240&lt;44.5</formula>
    </cfRule>
    <cfRule type="expression" dxfId="234" priority="61">
      <formula>F240&lt;60.5</formula>
    </cfRule>
    <cfRule type="expression" dxfId="233" priority="62">
      <formula>F240&lt;85.5</formula>
    </cfRule>
    <cfRule type="expression" dxfId="232" priority="63">
      <formula>F240&gt;85.5</formula>
    </cfRule>
  </conditionalFormatting>
  <conditionalFormatting sqref="H240:I251">
    <cfRule type="expression" dxfId="231" priority="54">
      <formula>H240=""</formula>
    </cfRule>
    <cfRule type="expression" dxfId="230" priority="55">
      <formula>H240&lt;44.5</formula>
    </cfRule>
    <cfRule type="expression" dxfId="229" priority="56">
      <formula>H240&lt;60.5</formula>
    </cfRule>
    <cfRule type="expression" dxfId="228" priority="57">
      <formula>H240&lt;85.5</formula>
    </cfRule>
    <cfRule type="expression" dxfId="227" priority="58">
      <formula>H240&gt;85.5</formula>
    </cfRule>
  </conditionalFormatting>
  <conditionalFormatting sqref="G240:G251">
    <cfRule type="expression" dxfId="226" priority="49">
      <formula>G240=""</formula>
    </cfRule>
    <cfRule type="expression" dxfId="225" priority="50">
      <formula>G240&lt;44.5</formula>
    </cfRule>
    <cfRule type="expression" dxfId="224" priority="51">
      <formula>G240&lt;60.5</formula>
    </cfRule>
    <cfRule type="expression" dxfId="223" priority="52">
      <formula>G240&lt;85.5</formula>
    </cfRule>
    <cfRule type="expression" dxfId="222" priority="53">
      <formula>G240&gt;85.5</formula>
    </cfRule>
  </conditionalFormatting>
  <conditionalFormatting sqref="F255:F262">
    <cfRule type="expression" dxfId="221" priority="44">
      <formula>F255=""</formula>
    </cfRule>
    <cfRule type="expression" dxfId="220" priority="45">
      <formula>F255&lt;44.5</formula>
    </cfRule>
    <cfRule type="expression" dxfId="219" priority="46">
      <formula>F255&lt;60.5</formula>
    </cfRule>
    <cfRule type="expression" dxfId="218" priority="47">
      <formula>F255&lt;85.5</formula>
    </cfRule>
    <cfRule type="expression" dxfId="217" priority="48">
      <formula>F255&gt;85.5</formula>
    </cfRule>
  </conditionalFormatting>
  <conditionalFormatting sqref="H255:I262">
    <cfRule type="expression" dxfId="216" priority="39">
      <formula>H255=""</formula>
    </cfRule>
    <cfRule type="expression" dxfId="215" priority="40">
      <formula>H255&lt;44.5</formula>
    </cfRule>
    <cfRule type="expression" dxfId="214" priority="41">
      <formula>H255&lt;60.5</formula>
    </cfRule>
    <cfRule type="expression" dxfId="213" priority="42">
      <formula>H255&lt;85.5</formula>
    </cfRule>
    <cfRule type="expression" dxfId="212" priority="43">
      <formula>H255&gt;85.5</formula>
    </cfRule>
  </conditionalFormatting>
  <conditionalFormatting sqref="G255:G262">
    <cfRule type="expression" dxfId="211" priority="34">
      <formula>G255=""</formula>
    </cfRule>
    <cfRule type="expression" dxfId="210" priority="35">
      <formula>G255&lt;44.5</formula>
    </cfRule>
    <cfRule type="expression" dxfId="209" priority="36">
      <formula>G255&lt;60.5</formula>
    </cfRule>
    <cfRule type="expression" dxfId="208" priority="37">
      <formula>G255&lt;85.5</formula>
    </cfRule>
    <cfRule type="expression" dxfId="207" priority="38">
      <formula>G255&gt;85.5</formula>
    </cfRule>
  </conditionalFormatting>
  <conditionalFormatting sqref="F270:F279">
    <cfRule type="expression" dxfId="206" priority="29">
      <formula>F270=""</formula>
    </cfRule>
    <cfRule type="expression" dxfId="205" priority="30">
      <formula>F270&lt;44.5</formula>
    </cfRule>
    <cfRule type="expression" dxfId="204" priority="31">
      <formula>F270&lt;60.5</formula>
    </cfRule>
    <cfRule type="expression" dxfId="203" priority="32">
      <formula>F270&lt;85.5</formula>
    </cfRule>
    <cfRule type="expression" dxfId="202" priority="33">
      <formula>F270&gt;85.5</formula>
    </cfRule>
  </conditionalFormatting>
  <conditionalFormatting sqref="H270:I279">
    <cfRule type="expression" dxfId="201" priority="24">
      <formula>H270=""</formula>
    </cfRule>
    <cfRule type="expression" dxfId="200" priority="25">
      <formula>H270&lt;44.5</formula>
    </cfRule>
    <cfRule type="expression" dxfId="199" priority="26">
      <formula>H270&lt;60.5</formula>
    </cfRule>
    <cfRule type="expression" dxfId="198" priority="27">
      <formula>H270&lt;85.5</formula>
    </cfRule>
    <cfRule type="expression" dxfId="197" priority="28">
      <formula>H270&gt;85.5</formula>
    </cfRule>
  </conditionalFormatting>
  <conditionalFormatting sqref="G270:G279">
    <cfRule type="expression" dxfId="196" priority="19">
      <formula>G270=""</formula>
    </cfRule>
    <cfRule type="expression" dxfId="195" priority="20">
      <formula>G270&lt;44.5</formula>
    </cfRule>
    <cfRule type="expression" dxfId="194" priority="21">
      <formula>G270&lt;60.5</formula>
    </cfRule>
    <cfRule type="expression" dxfId="193" priority="22">
      <formula>G270&lt;85.5</formula>
    </cfRule>
    <cfRule type="expression" dxfId="192" priority="23">
      <formula>G270&gt;85.5</formula>
    </cfRule>
  </conditionalFormatting>
  <conditionalFormatting sqref="F315:F321">
    <cfRule type="expression" dxfId="191" priority="14">
      <formula>F315=""</formula>
    </cfRule>
    <cfRule type="expression" dxfId="190" priority="15">
      <formula>F315&lt;44.5</formula>
    </cfRule>
    <cfRule type="expression" dxfId="189" priority="16">
      <formula>F315&lt;60.5</formula>
    </cfRule>
    <cfRule type="expression" dxfId="188" priority="17">
      <formula>F315&lt;85.5</formula>
    </cfRule>
    <cfRule type="expression" dxfId="187" priority="18">
      <formula>F315&gt;85.5</formula>
    </cfRule>
  </conditionalFormatting>
  <conditionalFormatting sqref="G315:G319">
    <cfRule type="expression" dxfId="186" priority="9">
      <formula>G315=""</formula>
    </cfRule>
    <cfRule type="expression" dxfId="185" priority="10">
      <formula>G315&lt;44.5</formula>
    </cfRule>
    <cfRule type="expression" dxfId="184" priority="11">
      <formula>G315&lt;60.5</formula>
    </cfRule>
    <cfRule type="expression" dxfId="183" priority="12">
      <formula>G315&lt;85.5</formula>
    </cfRule>
    <cfRule type="expression" dxfId="182" priority="13">
      <formula>G315&gt;85.5</formula>
    </cfRule>
  </conditionalFormatting>
  <conditionalFormatting sqref="C330 A330">
    <cfRule type="expression" dxfId="181" priority="6">
      <formula>$C330="IMPARCIALIDAD"</formula>
    </cfRule>
  </conditionalFormatting>
  <conditionalFormatting sqref="C330:C339 A330:A339">
    <cfRule type="expression" dxfId="180" priority="7">
      <formula>$C330="RESPETO"</formula>
    </cfRule>
    <cfRule type="expression" dxfId="179" priority="8">
      <formula>$C330="CREDIBILIDAD"</formula>
    </cfRule>
  </conditionalFormatting>
  <conditionalFormatting sqref="B330">
    <cfRule type="expression" dxfId="178" priority="4">
      <formula>$C330="IMPARCIALIDAD"</formula>
    </cfRule>
  </conditionalFormatting>
  <conditionalFormatting sqref="B330:B339">
    <cfRule type="expression" dxfId="177" priority="5">
      <formula>$C330="RESPETO"</formula>
    </cfRule>
  </conditionalFormatting>
  <conditionalFormatting sqref="C345:C354 A345:A354">
    <cfRule type="expression" dxfId="176" priority="2">
      <formula>$C345="RESPETO"</formula>
    </cfRule>
    <cfRule type="expression" dxfId="175" priority="3">
      <formula>$C345="CREDIBILIDAD"</formula>
    </cfRule>
  </conditionalFormatting>
  <conditionalFormatting sqref="B345:B354">
    <cfRule type="expression" dxfId="174" priority="1">
      <formula>$C345="RESPETO"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2:L72"/>
  <sheetViews>
    <sheetView topLeftCell="D55" workbookViewId="0">
      <selection activeCell="K73" sqref="K73"/>
    </sheetView>
  </sheetViews>
  <sheetFormatPr baseColWidth="10" defaultRowHeight="15"/>
  <cols>
    <col min="2" max="2" width="15.85546875" bestFit="1" customWidth="1"/>
    <col min="3" max="3" width="56.710937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265" t="s">
        <v>429</v>
      </c>
      <c r="C2" s="265"/>
      <c r="D2" s="265"/>
      <c r="E2" s="265"/>
      <c r="F2" s="265"/>
      <c r="G2" s="265"/>
      <c r="H2" s="265"/>
      <c r="I2" s="265"/>
      <c r="J2" s="265"/>
      <c r="K2" s="265"/>
      <c r="L2" s="265"/>
    </row>
    <row r="3" spans="2:12" ht="20.100000000000001" customHeight="1">
      <c r="B3" s="157" t="s">
        <v>162</v>
      </c>
      <c r="C3" s="157" t="s">
        <v>430</v>
      </c>
      <c r="D3" s="157" t="s">
        <v>431</v>
      </c>
      <c r="E3" s="157" t="s">
        <v>432</v>
      </c>
      <c r="F3" s="157" t="s">
        <v>433</v>
      </c>
      <c r="G3" s="157" t="s">
        <v>434</v>
      </c>
      <c r="H3" s="157" t="s">
        <v>435</v>
      </c>
      <c r="I3" s="157" t="s">
        <v>436</v>
      </c>
      <c r="J3" s="157" t="s">
        <v>437</v>
      </c>
      <c r="K3" s="157" t="s">
        <v>438</v>
      </c>
      <c r="L3" s="157" t="s">
        <v>439</v>
      </c>
    </row>
    <row r="4" spans="2:12">
      <c r="B4" s="156" t="s">
        <v>440</v>
      </c>
      <c r="C4" s="156" t="s">
        <v>158</v>
      </c>
      <c r="D4" s="156" t="s">
        <v>161</v>
      </c>
      <c r="E4" s="156" t="s">
        <v>441</v>
      </c>
      <c r="F4" s="156" t="s">
        <v>190</v>
      </c>
      <c r="G4" s="156" t="s">
        <v>443</v>
      </c>
      <c r="H4" s="156" t="s">
        <v>197</v>
      </c>
      <c r="I4" s="156">
        <v>2</v>
      </c>
      <c r="J4" s="156"/>
      <c r="K4" s="156">
        <v>31</v>
      </c>
      <c r="L4" s="160" t="s">
        <v>445</v>
      </c>
    </row>
    <row r="5" spans="2:12">
      <c r="B5" s="156" t="s">
        <v>446</v>
      </c>
      <c r="C5" s="156" t="s">
        <v>158</v>
      </c>
      <c r="D5" s="156" t="s">
        <v>161</v>
      </c>
      <c r="E5" s="156" t="s">
        <v>441</v>
      </c>
      <c r="F5" s="156" t="s">
        <v>190</v>
      </c>
      <c r="G5" s="156"/>
      <c r="H5" s="156"/>
      <c r="I5" s="156">
        <v>1</v>
      </c>
      <c r="J5" s="156"/>
      <c r="K5" s="156">
        <v>69</v>
      </c>
      <c r="L5" s="160" t="s">
        <v>445</v>
      </c>
    </row>
    <row r="6" spans="2:12">
      <c r="B6" s="156" t="s">
        <v>447</v>
      </c>
      <c r="C6" s="156" t="s">
        <v>315</v>
      </c>
      <c r="D6" s="156" t="s">
        <v>161</v>
      </c>
      <c r="E6" s="156" t="s">
        <v>442</v>
      </c>
      <c r="F6" s="156" t="s">
        <v>481</v>
      </c>
      <c r="G6" s="156" t="s">
        <v>444</v>
      </c>
      <c r="H6" s="156" t="s">
        <v>482</v>
      </c>
      <c r="I6" s="156">
        <v>2</v>
      </c>
      <c r="J6" s="156"/>
      <c r="K6" s="156">
        <v>32</v>
      </c>
      <c r="L6" s="160" t="s">
        <v>445</v>
      </c>
    </row>
    <row r="7" spans="2:12">
      <c r="B7" s="156" t="s">
        <v>450</v>
      </c>
      <c r="C7" s="156" t="s">
        <v>315</v>
      </c>
      <c r="D7" s="156" t="s">
        <v>161</v>
      </c>
      <c r="E7" s="156" t="s">
        <v>442</v>
      </c>
      <c r="F7" s="156" t="s">
        <v>481</v>
      </c>
      <c r="G7" s="156"/>
      <c r="H7" s="156"/>
      <c r="I7" s="156">
        <v>1</v>
      </c>
      <c r="J7" s="156"/>
      <c r="K7" s="156">
        <v>70</v>
      </c>
      <c r="L7" s="160" t="s">
        <v>445</v>
      </c>
    </row>
    <row r="8" spans="2:12">
      <c r="B8" s="156" t="s">
        <v>451</v>
      </c>
      <c r="C8" s="156" t="s">
        <v>160</v>
      </c>
      <c r="D8" s="156" t="s">
        <v>161</v>
      </c>
      <c r="E8" s="156" t="s">
        <v>448</v>
      </c>
      <c r="F8" s="156" t="s">
        <v>483</v>
      </c>
      <c r="G8" s="156" t="s">
        <v>449</v>
      </c>
      <c r="H8" s="156" t="s">
        <v>484</v>
      </c>
      <c r="I8" s="156">
        <v>2</v>
      </c>
      <c r="J8" s="156"/>
      <c r="K8" s="156">
        <v>33</v>
      </c>
      <c r="L8" s="160" t="s">
        <v>445</v>
      </c>
    </row>
    <row r="9" spans="2:12">
      <c r="B9" s="156" t="s">
        <v>454</v>
      </c>
      <c r="C9" s="156" t="s">
        <v>160</v>
      </c>
      <c r="D9" s="156" t="s">
        <v>161</v>
      </c>
      <c r="E9" s="156" t="s">
        <v>448</v>
      </c>
      <c r="F9" s="156" t="s">
        <v>483</v>
      </c>
      <c r="G9" s="156"/>
      <c r="H9" s="156"/>
      <c r="I9" s="156">
        <v>1</v>
      </c>
      <c r="J9" s="156"/>
      <c r="K9" s="156">
        <v>71</v>
      </c>
      <c r="L9" s="160" t="s">
        <v>445</v>
      </c>
    </row>
    <row r="10" spans="2:12">
      <c r="B10" s="156" t="s">
        <v>455</v>
      </c>
      <c r="C10" s="156" t="s">
        <v>159</v>
      </c>
      <c r="D10" s="156" t="s">
        <v>161</v>
      </c>
      <c r="E10" s="156" t="s">
        <v>452</v>
      </c>
      <c r="F10" s="156" t="s">
        <v>485</v>
      </c>
      <c r="G10" s="156" t="s">
        <v>453</v>
      </c>
      <c r="H10" s="156" t="s">
        <v>486</v>
      </c>
      <c r="I10" s="156">
        <v>2</v>
      </c>
      <c r="J10" s="156"/>
      <c r="K10" s="156">
        <v>34</v>
      </c>
      <c r="L10" s="160" t="s">
        <v>445</v>
      </c>
    </row>
    <row r="11" spans="2:12">
      <c r="B11" s="156" t="s">
        <v>458</v>
      </c>
      <c r="C11" s="156" t="s">
        <v>159</v>
      </c>
      <c r="D11" s="156" t="s">
        <v>161</v>
      </c>
      <c r="E11" s="156" t="s">
        <v>452</v>
      </c>
      <c r="F11" s="156" t="s">
        <v>485</v>
      </c>
      <c r="G11" s="156"/>
      <c r="H11" s="156"/>
      <c r="I11" s="156">
        <v>1</v>
      </c>
      <c r="J11" s="156"/>
      <c r="K11" s="156">
        <v>72</v>
      </c>
      <c r="L11" s="160" t="s">
        <v>445</v>
      </c>
    </row>
    <row r="12" spans="2:12">
      <c r="B12" s="156" t="s">
        <v>459</v>
      </c>
      <c r="C12" s="156" t="s">
        <v>316</v>
      </c>
      <c r="D12" s="156" t="s">
        <v>161</v>
      </c>
      <c r="E12" s="156" t="s">
        <v>456</v>
      </c>
      <c r="F12" s="156" t="s">
        <v>487</v>
      </c>
      <c r="G12" s="156" t="s">
        <v>457</v>
      </c>
      <c r="H12" s="156" t="s">
        <v>488</v>
      </c>
      <c r="I12" s="156">
        <v>2</v>
      </c>
      <c r="J12" s="156"/>
      <c r="K12" s="156">
        <v>35</v>
      </c>
      <c r="L12" s="160" t="s">
        <v>445</v>
      </c>
    </row>
    <row r="13" spans="2:12">
      <c r="B13" s="156" t="s">
        <v>460</v>
      </c>
      <c r="C13" s="156" t="s">
        <v>316</v>
      </c>
      <c r="D13" s="156" t="s">
        <v>161</v>
      </c>
      <c r="E13" s="156" t="s">
        <v>456</v>
      </c>
      <c r="F13" s="156" t="s">
        <v>487</v>
      </c>
      <c r="G13" s="156"/>
      <c r="H13" s="156"/>
      <c r="I13" s="156">
        <v>1</v>
      </c>
      <c r="J13" s="156"/>
      <c r="K13" s="156">
        <v>73</v>
      </c>
      <c r="L13" s="160" t="s">
        <v>445</v>
      </c>
    </row>
    <row r="14" spans="2:12">
      <c r="B14" s="156" t="s">
        <v>461</v>
      </c>
      <c r="C14" s="156" t="s">
        <v>317</v>
      </c>
      <c r="D14" s="156" t="s">
        <v>161</v>
      </c>
      <c r="E14" s="156" t="s">
        <v>489</v>
      </c>
      <c r="F14" s="156" t="s">
        <v>490</v>
      </c>
      <c r="G14" s="156" t="s">
        <v>491</v>
      </c>
      <c r="H14" s="156" t="s">
        <v>492</v>
      </c>
      <c r="I14" s="156">
        <v>2</v>
      </c>
      <c r="J14" s="156"/>
      <c r="K14" s="156">
        <v>36</v>
      </c>
      <c r="L14" s="160" t="s">
        <v>445</v>
      </c>
    </row>
    <row r="15" spans="2:12">
      <c r="B15" s="156" t="s">
        <v>462</v>
      </c>
      <c r="C15" s="156" t="s">
        <v>317</v>
      </c>
      <c r="D15" s="156" t="s">
        <v>161</v>
      </c>
      <c r="E15" s="156" t="s">
        <v>489</v>
      </c>
      <c r="F15" s="156" t="s">
        <v>490</v>
      </c>
      <c r="G15" s="156"/>
      <c r="H15" s="156"/>
      <c r="I15" s="156">
        <v>1</v>
      </c>
      <c r="J15" s="156"/>
      <c r="K15" s="156">
        <v>74</v>
      </c>
      <c r="L15" s="160" t="s">
        <v>445</v>
      </c>
    </row>
    <row r="16" spans="2:12">
      <c r="B16" s="156" t="s">
        <v>463</v>
      </c>
      <c r="C16" s="156" t="s">
        <v>318</v>
      </c>
      <c r="D16" s="156" t="s">
        <v>161</v>
      </c>
      <c r="E16" s="156" t="s">
        <v>493</v>
      </c>
      <c r="F16" s="156" t="s">
        <v>494</v>
      </c>
      <c r="G16" s="156" t="s">
        <v>495</v>
      </c>
      <c r="H16" s="156" t="s">
        <v>496</v>
      </c>
      <c r="I16" s="156">
        <v>2</v>
      </c>
      <c r="J16" s="156"/>
      <c r="K16" s="156">
        <v>37</v>
      </c>
      <c r="L16" s="160" t="s">
        <v>445</v>
      </c>
    </row>
    <row r="17" spans="2:12">
      <c r="B17" s="156" t="s">
        <v>466</v>
      </c>
      <c r="C17" s="156" t="s">
        <v>318</v>
      </c>
      <c r="D17" s="156" t="s">
        <v>161</v>
      </c>
      <c r="E17" s="156" t="s">
        <v>493</v>
      </c>
      <c r="F17" s="156" t="s">
        <v>494</v>
      </c>
      <c r="G17" s="156"/>
      <c r="H17" s="156"/>
      <c r="I17" s="156">
        <v>1</v>
      </c>
      <c r="J17" s="156"/>
      <c r="K17" s="156">
        <v>75</v>
      </c>
      <c r="L17" s="160" t="s">
        <v>445</v>
      </c>
    </row>
    <row r="18" spans="2:12">
      <c r="B18" s="156" t="s">
        <v>467</v>
      </c>
      <c r="C18" s="156" t="s">
        <v>319</v>
      </c>
      <c r="D18" s="156" t="s">
        <v>161</v>
      </c>
      <c r="E18" s="156" t="s">
        <v>497</v>
      </c>
      <c r="F18" s="156" t="s">
        <v>464</v>
      </c>
      <c r="G18" s="156" t="s">
        <v>498</v>
      </c>
      <c r="H18" s="156" t="s">
        <v>465</v>
      </c>
      <c r="I18" s="156">
        <v>2</v>
      </c>
      <c r="J18" s="156"/>
      <c r="K18" s="156">
        <v>38</v>
      </c>
      <c r="L18" s="160" t="s">
        <v>445</v>
      </c>
    </row>
    <row r="19" spans="2:12">
      <c r="B19" s="156" t="s">
        <v>470</v>
      </c>
      <c r="C19" s="156" t="s">
        <v>319</v>
      </c>
      <c r="D19" s="156" t="s">
        <v>161</v>
      </c>
      <c r="E19" s="156" t="s">
        <v>497</v>
      </c>
      <c r="F19" s="156" t="s">
        <v>464</v>
      </c>
      <c r="G19" s="156"/>
      <c r="H19" s="156"/>
      <c r="I19" s="156">
        <v>1</v>
      </c>
      <c r="J19" s="156"/>
      <c r="K19" s="156">
        <v>76</v>
      </c>
      <c r="L19" s="160" t="s">
        <v>445</v>
      </c>
    </row>
    <row r="20" spans="2:12">
      <c r="B20" s="156" t="s">
        <v>471</v>
      </c>
      <c r="C20" s="156" t="s">
        <v>320</v>
      </c>
      <c r="D20" s="156" t="s">
        <v>161</v>
      </c>
      <c r="E20" s="156" t="s">
        <v>499</v>
      </c>
      <c r="F20" s="156" t="s">
        <v>500</v>
      </c>
      <c r="G20" s="156" t="s">
        <v>501</v>
      </c>
      <c r="H20" s="156" t="s">
        <v>502</v>
      </c>
      <c r="I20" s="156">
        <v>2</v>
      </c>
      <c r="J20" s="156"/>
      <c r="K20" s="156">
        <v>39</v>
      </c>
      <c r="L20" s="160" t="s">
        <v>445</v>
      </c>
    </row>
    <row r="21" spans="2:12">
      <c r="B21" s="156" t="s">
        <v>474</v>
      </c>
      <c r="C21" s="156" t="s">
        <v>320</v>
      </c>
      <c r="D21" s="156" t="s">
        <v>161</v>
      </c>
      <c r="E21" s="156" t="s">
        <v>499</v>
      </c>
      <c r="F21" s="156" t="s">
        <v>500</v>
      </c>
      <c r="G21" s="156"/>
      <c r="H21" s="156"/>
      <c r="I21" s="156">
        <v>1</v>
      </c>
      <c r="J21" s="156"/>
      <c r="K21" s="156">
        <v>77</v>
      </c>
      <c r="L21" s="160" t="s">
        <v>445</v>
      </c>
    </row>
    <row r="22" spans="2:12">
      <c r="B22" s="156" t="s">
        <v>475</v>
      </c>
      <c r="C22" s="156" t="s">
        <v>321</v>
      </c>
      <c r="D22" s="156" t="s">
        <v>161</v>
      </c>
      <c r="E22" s="156" t="s">
        <v>503</v>
      </c>
      <c r="F22" s="156" t="s">
        <v>504</v>
      </c>
      <c r="G22" s="156" t="s">
        <v>505</v>
      </c>
      <c r="H22" s="156" t="s">
        <v>506</v>
      </c>
      <c r="I22" s="156">
        <v>2</v>
      </c>
      <c r="J22" s="156"/>
      <c r="K22" s="156">
        <v>40</v>
      </c>
      <c r="L22" s="160" t="s">
        <v>445</v>
      </c>
    </row>
    <row r="23" spans="2:12">
      <c r="B23" s="156" t="s">
        <v>480</v>
      </c>
      <c r="C23" s="156" t="s">
        <v>321</v>
      </c>
      <c r="D23" s="156" t="s">
        <v>161</v>
      </c>
      <c r="E23" s="156" t="s">
        <v>503</v>
      </c>
      <c r="F23" s="156" t="s">
        <v>504</v>
      </c>
      <c r="G23" s="156"/>
      <c r="H23" s="156"/>
      <c r="I23" s="156">
        <v>1</v>
      </c>
      <c r="J23" s="156"/>
      <c r="K23" s="156">
        <v>78</v>
      </c>
      <c r="L23" s="160" t="s">
        <v>445</v>
      </c>
    </row>
    <row r="24" spans="2:12">
      <c r="B24" s="156" t="s">
        <v>507</v>
      </c>
      <c r="C24" s="156" t="s">
        <v>322</v>
      </c>
      <c r="D24" s="156" t="s">
        <v>161</v>
      </c>
      <c r="E24" s="156" t="s">
        <v>468</v>
      </c>
      <c r="F24" s="156" t="s">
        <v>508</v>
      </c>
      <c r="G24" s="156" t="s">
        <v>469</v>
      </c>
      <c r="H24" s="156" t="s">
        <v>509</v>
      </c>
      <c r="I24" s="156">
        <v>2</v>
      </c>
      <c r="J24" s="156"/>
      <c r="K24" s="156">
        <v>41</v>
      </c>
      <c r="L24" s="160" t="s">
        <v>445</v>
      </c>
    </row>
    <row r="25" spans="2:12">
      <c r="B25" s="156" t="s">
        <v>510</v>
      </c>
      <c r="C25" s="156" t="s">
        <v>322</v>
      </c>
      <c r="D25" s="156" t="s">
        <v>161</v>
      </c>
      <c r="E25" s="156" t="s">
        <v>468</v>
      </c>
      <c r="F25" s="156" t="s">
        <v>508</v>
      </c>
      <c r="G25" s="156"/>
      <c r="H25" s="156"/>
      <c r="I25" s="156">
        <v>1</v>
      </c>
      <c r="J25" s="156"/>
      <c r="K25" s="156">
        <v>79</v>
      </c>
      <c r="L25" s="160" t="s">
        <v>445</v>
      </c>
    </row>
    <row r="26" spans="2:12">
      <c r="B26" s="156" t="s">
        <v>511</v>
      </c>
      <c r="C26" s="156" t="s">
        <v>323</v>
      </c>
      <c r="D26" s="156" t="s">
        <v>161</v>
      </c>
      <c r="E26" s="156" t="s">
        <v>512</v>
      </c>
      <c r="F26" s="156" t="s">
        <v>472</v>
      </c>
      <c r="G26" s="156" t="s">
        <v>513</v>
      </c>
      <c r="H26" s="156" t="s">
        <v>473</v>
      </c>
      <c r="I26" s="156">
        <v>2</v>
      </c>
      <c r="J26" s="156"/>
      <c r="K26" s="156">
        <v>42</v>
      </c>
      <c r="L26" s="160" t="s">
        <v>445</v>
      </c>
    </row>
    <row r="27" spans="2:12">
      <c r="B27" s="156" t="s">
        <v>514</v>
      </c>
      <c r="C27" s="156" t="s">
        <v>323</v>
      </c>
      <c r="D27" s="156" t="s">
        <v>161</v>
      </c>
      <c r="E27" s="156" t="s">
        <v>512</v>
      </c>
      <c r="F27" s="156" t="s">
        <v>472</v>
      </c>
      <c r="G27" s="156"/>
      <c r="H27" s="156"/>
      <c r="I27" s="156">
        <v>1</v>
      </c>
      <c r="J27" s="156"/>
      <c r="K27" s="156">
        <v>80</v>
      </c>
      <c r="L27" s="160" t="s">
        <v>445</v>
      </c>
    </row>
    <row r="28" spans="2:12">
      <c r="B28" s="156" t="s">
        <v>515</v>
      </c>
      <c r="C28" s="156" t="s">
        <v>324</v>
      </c>
      <c r="D28" s="156" t="s">
        <v>161</v>
      </c>
      <c r="E28" s="156" t="s">
        <v>476</v>
      </c>
      <c r="F28" s="156" t="s">
        <v>477</v>
      </c>
      <c r="G28" s="156" t="s">
        <v>478</v>
      </c>
      <c r="H28" s="156" t="s">
        <v>479</v>
      </c>
      <c r="I28" s="156">
        <v>2</v>
      </c>
      <c r="J28" s="156"/>
      <c r="K28" s="156">
        <v>43</v>
      </c>
      <c r="L28" s="160" t="s">
        <v>445</v>
      </c>
    </row>
    <row r="29" spans="2:12">
      <c r="B29" s="156" t="s">
        <v>516</v>
      </c>
      <c r="C29" s="156" t="s">
        <v>324</v>
      </c>
      <c r="D29" s="156" t="s">
        <v>161</v>
      </c>
      <c r="E29" s="156" t="s">
        <v>476</v>
      </c>
      <c r="F29" s="156" t="s">
        <v>477</v>
      </c>
      <c r="G29" s="156"/>
      <c r="H29" s="156"/>
      <c r="I29" s="156">
        <v>1</v>
      </c>
      <c r="J29" s="156"/>
      <c r="K29" s="156">
        <v>81</v>
      </c>
      <c r="L29" s="160" t="s">
        <v>445</v>
      </c>
    </row>
    <row r="30" spans="2:12">
      <c r="B30" s="156" t="s">
        <v>517</v>
      </c>
      <c r="C30" s="156" t="s">
        <v>342</v>
      </c>
      <c r="D30" s="156" t="s">
        <v>161</v>
      </c>
      <c r="E30" s="156" t="s">
        <v>518</v>
      </c>
      <c r="F30" s="156" t="s">
        <v>519</v>
      </c>
      <c r="G30" s="156" t="s">
        <v>520</v>
      </c>
      <c r="H30" s="156" t="s">
        <v>521</v>
      </c>
      <c r="I30" s="156">
        <v>2</v>
      </c>
      <c r="J30" s="156"/>
      <c r="K30" s="156">
        <v>44</v>
      </c>
      <c r="L30" s="160" t="s">
        <v>445</v>
      </c>
    </row>
    <row r="31" spans="2:12">
      <c r="B31" s="156" t="s">
        <v>522</v>
      </c>
      <c r="C31" s="156" t="s">
        <v>342</v>
      </c>
      <c r="D31" s="156" t="s">
        <v>161</v>
      </c>
      <c r="E31" s="156" t="s">
        <v>518</v>
      </c>
      <c r="F31" s="156" t="s">
        <v>519</v>
      </c>
      <c r="G31" s="156"/>
      <c r="H31" s="156"/>
      <c r="I31" s="156">
        <v>1</v>
      </c>
      <c r="J31" s="156"/>
      <c r="K31" s="156">
        <v>82</v>
      </c>
      <c r="L31" s="160" t="s">
        <v>445</v>
      </c>
    </row>
    <row r="32" spans="2:12">
      <c r="B32" s="156" t="s">
        <v>523</v>
      </c>
      <c r="C32" s="156" t="s">
        <v>343</v>
      </c>
      <c r="D32" s="156" t="s">
        <v>161</v>
      </c>
      <c r="E32" s="156" t="s">
        <v>524</v>
      </c>
      <c r="F32" s="156" t="s">
        <v>525</v>
      </c>
      <c r="G32" s="156" t="s">
        <v>526</v>
      </c>
      <c r="H32" s="156" t="s">
        <v>527</v>
      </c>
      <c r="I32" s="156">
        <v>2</v>
      </c>
      <c r="J32" s="156"/>
      <c r="K32" s="156">
        <v>45</v>
      </c>
      <c r="L32" s="160" t="s">
        <v>445</v>
      </c>
    </row>
    <row r="33" spans="2:12">
      <c r="B33" s="156" t="s">
        <v>528</v>
      </c>
      <c r="C33" s="156" t="s">
        <v>343</v>
      </c>
      <c r="D33" s="156" t="s">
        <v>161</v>
      </c>
      <c r="E33" s="156" t="s">
        <v>524</v>
      </c>
      <c r="F33" s="156" t="s">
        <v>525</v>
      </c>
      <c r="G33" s="156"/>
      <c r="H33" s="156"/>
      <c r="I33" s="156">
        <v>1</v>
      </c>
      <c r="J33" s="156"/>
      <c r="K33" s="156">
        <v>83</v>
      </c>
      <c r="L33" s="160" t="s">
        <v>445</v>
      </c>
    </row>
    <row r="34" spans="2:12">
      <c r="B34" s="156" t="s">
        <v>529</v>
      </c>
      <c r="C34" s="156" t="s">
        <v>344</v>
      </c>
      <c r="D34" s="156" t="s">
        <v>161</v>
      </c>
      <c r="E34" s="156" t="s">
        <v>530</v>
      </c>
      <c r="F34" s="156" t="s">
        <v>531</v>
      </c>
      <c r="G34" s="156" t="s">
        <v>532</v>
      </c>
      <c r="H34" s="156" t="s">
        <v>533</v>
      </c>
      <c r="I34" s="156">
        <v>2</v>
      </c>
      <c r="J34" s="156"/>
      <c r="K34" s="156">
        <v>46</v>
      </c>
      <c r="L34" s="160" t="s">
        <v>445</v>
      </c>
    </row>
    <row r="35" spans="2:12">
      <c r="B35" s="156" t="s">
        <v>534</v>
      </c>
      <c r="C35" s="156" t="s">
        <v>344</v>
      </c>
      <c r="D35" s="156" t="s">
        <v>161</v>
      </c>
      <c r="E35" s="156" t="s">
        <v>530</v>
      </c>
      <c r="F35" s="156" t="s">
        <v>531</v>
      </c>
      <c r="G35" s="156"/>
      <c r="H35" s="156"/>
      <c r="I35" s="156">
        <v>1</v>
      </c>
      <c r="J35" s="156"/>
      <c r="K35" s="156">
        <v>84</v>
      </c>
      <c r="L35" s="160" t="s">
        <v>445</v>
      </c>
    </row>
    <row r="36" spans="2:12">
      <c r="B36" s="156" t="s">
        <v>535</v>
      </c>
      <c r="C36" s="156" t="s">
        <v>345</v>
      </c>
      <c r="D36" s="156" t="s">
        <v>161</v>
      </c>
      <c r="E36" s="156" t="s">
        <v>536</v>
      </c>
      <c r="F36" s="156" t="s">
        <v>537</v>
      </c>
      <c r="G36" s="156" t="s">
        <v>538</v>
      </c>
      <c r="H36" s="156" t="s">
        <v>539</v>
      </c>
      <c r="I36" s="156">
        <v>2</v>
      </c>
      <c r="J36" s="156"/>
      <c r="K36" s="156">
        <v>47</v>
      </c>
      <c r="L36" s="160" t="s">
        <v>445</v>
      </c>
    </row>
    <row r="37" spans="2:12">
      <c r="B37" s="156" t="s">
        <v>540</v>
      </c>
      <c r="C37" s="156" t="s">
        <v>345</v>
      </c>
      <c r="D37" s="156" t="s">
        <v>161</v>
      </c>
      <c r="E37" s="156" t="s">
        <v>536</v>
      </c>
      <c r="F37" s="156" t="s">
        <v>537</v>
      </c>
      <c r="G37" s="156"/>
      <c r="H37" s="156"/>
      <c r="I37" s="156">
        <v>1</v>
      </c>
      <c r="J37" s="156"/>
      <c r="K37" s="156">
        <v>85</v>
      </c>
      <c r="L37" s="160" t="s">
        <v>445</v>
      </c>
    </row>
    <row r="38" spans="2:12">
      <c r="B38" s="156" t="s">
        <v>541</v>
      </c>
      <c r="C38" s="156" t="s">
        <v>346</v>
      </c>
      <c r="D38" s="156" t="s">
        <v>161</v>
      </c>
      <c r="E38" s="156" t="s">
        <v>542</v>
      </c>
      <c r="F38" s="156" t="s">
        <v>543</v>
      </c>
      <c r="G38" s="156" t="s">
        <v>544</v>
      </c>
      <c r="H38" s="156" t="s">
        <v>545</v>
      </c>
      <c r="I38" s="156">
        <v>2</v>
      </c>
      <c r="J38" s="156"/>
      <c r="K38" s="156">
        <v>48</v>
      </c>
      <c r="L38" s="160" t="s">
        <v>445</v>
      </c>
    </row>
    <row r="39" spans="2:12">
      <c r="B39" s="156" t="s">
        <v>546</v>
      </c>
      <c r="C39" s="156" t="s">
        <v>346</v>
      </c>
      <c r="D39" s="156" t="s">
        <v>161</v>
      </c>
      <c r="E39" s="156" t="s">
        <v>542</v>
      </c>
      <c r="F39" s="156" t="s">
        <v>543</v>
      </c>
      <c r="G39" s="156"/>
      <c r="H39" s="156"/>
      <c r="I39" s="156">
        <v>1</v>
      </c>
      <c r="J39" s="156"/>
      <c r="K39" s="156">
        <v>86</v>
      </c>
      <c r="L39" s="160" t="s">
        <v>445</v>
      </c>
    </row>
    <row r="40" spans="2:12">
      <c r="B40" s="156" t="s">
        <v>547</v>
      </c>
      <c r="C40" s="156" t="s">
        <v>347</v>
      </c>
      <c r="D40" s="156" t="s">
        <v>161</v>
      </c>
      <c r="E40" s="156" t="s">
        <v>548</v>
      </c>
      <c r="F40" s="156" t="s">
        <v>549</v>
      </c>
      <c r="G40" s="156" t="s">
        <v>550</v>
      </c>
      <c r="H40" s="156" t="s">
        <v>551</v>
      </c>
      <c r="I40" s="156">
        <v>2</v>
      </c>
      <c r="J40" s="156"/>
      <c r="K40" s="156">
        <v>49</v>
      </c>
      <c r="L40" s="160" t="s">
        <v>445</v>
      </c>
    </row>
    <row r="41" spans="2:12">
      <c r="B41" s="156" t="s">
        <v>552</v>
      </c>
      <c r="C41" s="156" t="s">
        <v>347</v>
      </c>
      <c r="D41" s="156" t="s">
        <v>161</v>
      </c>
      <c r="E41" s="156" t="s">
        <v>548</v>
      </c>
      <c r="F41" s="156" t="s">
        <v>549</v>
      </c>
      <c r="G41" s="156"/>
      <c r="H41" s="156"/>
      <c r="I41" s="156">
        <v>1</v>
      </c>
      <c r="J41" s="156"/>
      <c r="K41" s="156">
        <v>87</v>
      </c>
      <c r="L41" s="160" t="s">
        <v>445</v>
      </c>
    </row>
    <row r="42" spans="2:12">
      <c r="B42" s="156" t="s">
        <v>553</v>
      </c>
      <c r="C42" s="156" t="s">
        <v>348</v>
      </c>
      <c r="D42" s="156" t="s">
        <v>161</v>
      </c>
      <c r="E42" s="156" t="s">
        <v>554</v>
      </c>
      <c r="F42" s="156" t="s">
        <v>555</v>
      </c>
      <c r="G42" s="156" t="s">
        <v>556</v>
      </c>
      <c r="H42" s="156" t="s">
        <v>557</v>
      </c>
      <c r="I42" s="156">
        <v>2</v>
      </c>
      <c r="J42" s="156"/>
      <c r="K42" s="156">
        <v>50</v>
      </c>
      <c r="L42" s="160" t="s">
        <v>445</v>
      </c>
    </row>
    <row r="43" spans="2:12">
      <c r="B43" s="156" t="s">
        <v>558</v>
      </c>
      <c r="C43" s="156" t="s">
        <v>348</v>
      </c>
      <c r="D43" s="156" t="s">
        <v>161</v>
      </c>
      <c r="E43" s="156" t="s">
        <v>554</v>
      </c>
      <c r="F43" s="156" t="s">
        <v>555</v>
      </c>
      <c r="G43" s="156"/>
      <c r="H43" s="156"/>
      <c r="I43" s="156">
        <v>1</v>
      </c>
      <c r="J43" s="156"/>
      <c r="K43" s="156">
        <v>88</v>
      </c>
      <c r="L43" s="160" t="s">
        <v>445</v>
      </c>
    </row>
    <row r="44" spans="2:12">
      <c r="B44" s="156" t="s">
        <v>559</v>
      </c>
      <c r="C44" s="156" t="s">
        <v>349</v>
      </c>
      <c r="D44" s="156" t="s">
        <v>161</v>
      </c>
      <c r="E44" s="156" t="s">
        <v>560</v>
      </c>
      <c r="F44" s="156" t="s">
        <v>560</v>
      </c>
      <c r="G44" s="156" t="s">
        <v>561</v>
      </c>
      <c r="H44" s="156" t="s">
        <v>561</v>
      </c>
      <c r="I44" s="156">
        <v>2</v>
      </c>
      <c r="J44" s="156"/>
      <c r="K44" s="156">
        <v>51</v>
      </c>
      <c r="L44" s="160" t="s">
        <v>445</v>
      </c>
    </row>
    <row r="45" spans="2:12">
      <c r="B45" s="156" t="s">
        <v>562</v>
      </c>
      <c r="C45" s="156" t="s">
        <v>349</v>
      </c>
      <c r="D45" s="156" t="s">
        <v>161</v>
      </c>
      <c r="E45" s="156" t="s">
        <v>560</v>
      </c>
      <c r="F45" s="156" t="s">
        <v>560</v>
      </c>
      <c r="G45" s="156"/>
      <c r="H45" s="156"/>
      <c r="I45" s="156">
        <v>1</v>
      </c>
      <c r="J45" s="156"/>
      <c r="K45" s="156">
        <v>89</v>
      </c>
      <c r="L45" s="160" t="s">
        <v>445</v>
      </c>
    </row>
    <row r="46" spans="2:12">
      <c r="B46" s="156" t="s">
        <v>563</v>
      </c>
      <c r="C46" s="156" t="s">
        <v>350</v>
      </c>
      <c r="D46" s="156" t="s">
        <v>161</v>
      </c>
      <c r="E46" s="156" t="s">
        <v>564</v>
      </c>
      <c r="F46" s="156" t="s">
        <v>564</v>
      </c>
      <c r="G46" s="156" t="s">
        <v>565</v>
      </c>
      <c r="H46" s="156" t="s">
        <v>565</v>
      </c>
      <c r="I46" s="156">
        <v>2</v>
      </c>
      <c r="J46" s="156"/>
      <c r="K46" s="156">
        <v>52</v>
      </c>
      <c r="L46" s="160" t="s">
        <v>445</v>
      </c>
    </row>
    <row r="47" spans="2:12">
      <c r="B47" s="156" t="s">
        <v>566</v>
      </c>
      <c r="C47" s="156" t="s">
        <v>350</v>
      </c>
      <c r="D47" s="156" t="s">
        <v>161</v>
      </c>
      <c r="E47" s="156" t="s">
        <v>564</v>
      </c>
      <c r="F47" s="156" t="s">
        <v>564</v>
      </c>
      <c r="G47" s="156"/>
      <c r="H47" s="156"/>
      <c r="I47" s="156">
        <v>1</v>
      </c>
      <c r="J47" s="156"/>
      <c r="K47" s="156">
        <v>90</v>
      </c>
      <c r="L47" s="160" t="s">
        <v>445</v>
      </c>
    </row>
    <row r="48" spans="2:12">
      <c r="B48" s="156" t="s">
        <v>567</v>
      </c>
      <c r="C48" s="156" t="s">
        <v>351</v>
      </c>
      <c r="D48" s="156" t="s">
        <v>161</v>
      </c>
      <c r="E48" s="156" t="s">
        <v>568</v>
      </c>
      <c r="F48" s="156" t="s">
        <v>568</v>
      </c>
      <c r="G48" s="156" t="s">
        <v>569</v>
      </c>
      <c r="H48" s="156" t="s">
        <v>569</v>
      </c>
      <c r="I48" s="156">
        <v>2</v>
      </c>
      <c r="J48" s="156"/>
      <c r="K48" s="156">
        <v>53</v>
      </c>
      <c r="L48" s="160" t="s">
        <v>445</v>
      </c>
    </row>
    <row r="49" spans="2:12">
      <c r="B49" s="156" t="s">
        <v>570</v>
      </c>
      <c r="C49" s="156" t="s">
        <v>351</v>
      </c>
      <c r="D49" s="156" t="s">
        <v>161</v>
      </c>
      <c r="E49" s="156" t="s">
        <v>568</v>
      </c>
      <c r="F49" s="156" t="s">
        <v>568</v>
      </c>
      <c r="G49" s="156"/>
      <c r="H49" s="156"/>
      <c r="I49" s="156">
        <v>1</v>
      </c>
      <c r="J49" s="156"/>
      <c r="K49" s="156">
        <v>91</v>
      </c>
      <c r="L49" s="160" t="s">
        <v>445</v>
      </c>
    </row>
    <row r="50" spans="2:12">
      <c r="B50" s="156" t="s">
        <v>571</v>
      </c>
      <c r="C50" s="156" t="s">
        <v>352</v>
      </c>
      <c r="D50" s="156" t="s">
        <v>161</v>
      </c>
      <c r="E50" s="156" t="s">
        <v>572</v>
      </c>
      <c r="F50" s="156" t="s">
        <v>572</v>
      </c>
      <c r="G50" s="156" t="s">
        <v>573</v>
      </c>
      <c r="H50" s="156" t="s">
        <v>573</v>
      </c>
      <c r="I50" s="156">
        <v>2</v>
      </c>
      <c r="J50" s="156"/>
      <c r="K50" s="156">
        <v>54</v>
      </c>
      <c r="L50" s="160" t="s">
        <v>445</v>
      </c>
    </row>
    <row r="51" spans="2:12">
      <c r="B51" s="156" t="s">
        <v>574</v>
      </c>
      <c r="C51" s="156" t="s">
        <v>352</v>
      </c>
      <c r="D51" s="156" t="s">
        <v>161</v>
      </c>
      <c r="E51" s="156" t="s">
        <v>572</v>
      </c>
      <c r="F51" s="156" t="s">
        <v>572</v>
      </c>
      <c r="G51" s="156"/>
      <c r="H51" s="156"/>
      <c r="I51" s="156">
        <v>1</v>
      </c>
      <c r="J51" s="156"/>
      <c r="K51" s="156">
        <v>92</v>
      </c>
      <c r="L51" s="160" t="s">
        <v>445</v>
      </c>
    </row>
    <row r="52" spans="2:12">
      <c r="B52" s="156" t="s">
        <v>575</v>
      </c>
      <c r="C52" s="156" t="s">
        <v>353</v>
      </c>
      <c r="D52" s="156" t="s">
        <v>161</v>
      </c>
      <c r="E52" s="156" t="s">
        <v>576</v>
      </c>
      <c r="F52" s="156" t="s">
        <v>576</v>
      </c>
      <c r="G52" s="156" t="s">
        <v>577</v>
      </c>
      <c r="H52" s="156" t="s">
        <v>577</v>
      </c>
      <c r="I52" s="156">
        <v>2</v>
      </c>
      <c r="J52" s="156"/>
      <c r="K52" s="156">
        <v>55</v>
      </c>
      <c r="L52" s="160" t="s">
        <v>445</v>
      </c>
    </row>
    <row r="53" spans="2:12">
      <c r="B53" s="156" t="s">
        <v>578</v>
      </c>
      <c r="C53" s="156" t="s">
        <v>353</v>
      </c>
      <c r="D53" s="156" t="s">
        <v>161</v>
      </c>
      <c r="E53" s="156" t="s">
        <v>576</v>
      </c>
      <c r="F53" s="156" t="s">
        <v>576</v>
      </c>
      <c r="G53" s="156"/>
      <c r="H53" s="156"/>
      <c r="I53" s="156">
        <v>1</v>
      </c>
      <c r="J53" s="156"/>
      <c r="K53" s="156">
        <v>93</v>
      </c>
      <c r="L53" s="160" t="s">
        <v>445</v>
      </c>
    </row>
    <row r="54" spans="2:12">
      <c r="B54" s="156" t="s">
        <v>579</v>
      </c>
      <c r="C54" s="156" t="s">
        <v>354</v>
      </c>
      <c r="D54" s="156" t="s">
        <v>161</v>
      </c>
      <c r="E54" s="156" t="s">
        <v>580</v>
      </c>
      <c r="F54" s="156" t="s">
        <v>580</v>
      </c>
      <c r="G54" s="156" t="s">
        <v>581</v>
      </c>
      <c r="H54" s="156" t="s">
        <v>581</v>
      </c>
      <c r="I54" s="156">
        <v>2</v>
      </c>
      <c r="J54" s="156"/>
      <c r="K54" s="156">
        <v>56</v>
      </c>
      <c r="L54" s="160" t="s">
        <v>445</v>
      </c>
    </row>
    <row r="55" spans="2:12">
      <c r="B55" s="156" t="s">
        <v>582</v>
      </c>
      <c r="C55" s="156" t="s">
        <v>354</v>
      </c>
      <c r="D55" s="156" t="s">
        <v>161</v>
      </c>
      <c r="E55" s="156" t="s">
        <v>580</v>
      </c>
      <c r="F55" s="156" t="s">
        <v>580</v>
      </c>
      <c r="G55" s="156"/>
      <c r="H55" s="156"/>
      <c r="I55" s="156">
        <v>1</v>
      </c>
      <c r="J55" s="156"/>
      <c r="K55" s="156">
        <v>94</v>
      </c>
      <c r="L55" s="160" t="s">
        <v>445</v>
      </c>
    </row>
    <row r="56" spans="2:12">
      <c r="B56" s="156" t="s">
        <v>583</v>
      </c>
      <c r="C56" s="156" t="s">
        <v>355</v>
      </c>
      <c r="D56" s="156" t="s">
        <v>161</v>
      </c>
      <c r="E56" s="156" t="s">
        <v>584</v>
      </c>
      <c r="F56" s="156" t="s">
        <v>585</v>
      </c>
      <c r="G56" s="156" t="s">
        <v>586</v>
      </c>
      <c r="H56" s="156" t="s">
        <v>587</v>
      </c>
      <c r="I56" s="156">
        <v>2</v>
      </c>
      <c r="J56" s="156"/>
      <c r="K56" s="156">
        <v>57</v>
      </c>
      <c r="L56" s="160" t="s">
        <v>445</v>
      </c>
    </row>
    <row r="57" spans="2:12">
      <c r="B57" s="156" t="s">
        <v>588</v>
      </c>
      <c r="C57" s="156" t="s">
        <v>355</v>
      </c>
      <c r="D57" s="156" t="s">
        <v>161</v>
      </c>
      <c r="E57" s="156" t="s">
        <v>584</v>
      </c>
      <c r="F57" s="156" t="s">
        <v>585</v>
      </c>
      <c r="G57" s="156"/>
      <c r="H57" s="156"/>
      <c r="I57" s="156">
        <v>1</v>
      </c>
      <c r="J57" s="156"/>
      <c r="K57" s="156">
        <v>95</v>
      </c>
      <c r="L57" s="160" t="s">
        <v>445</v>
      </c>
    </row>
    <row r="58" spans="2:12">
      <c r="B58" s="156" t="s">
        <v>589</v>
      </c>
      <c r="C58" s="156" t="s">
        <v>372</v>
      </c>
      <c r="D58" s="156" t="s">
        <v>161</v>
      </c>
      <c r="E58" s="156" t="s">
        <v>590</v>
      </c>
      <c r="F58" s="156" t="s">
        <v>591</v>
      </c>
      <c r="G58" s="156" t="s">
        <v>592</v>
      </c>
      <c r="H58" s="156" t="s">
        <v>593</v>
      </c>
      <c r="I58" s="156">
        <v>2</v>
      </c>
      <c r="J58" s="156"/>
      <c r="K58" s="156">
        <v>58</v>
      </c>
      <c r="L58" s="160" t="s">
        <v>445</v>
      </c>
    </row>
    <row r="59" spans="2:12">
      <c r="B59" s="156" t="s">
        <v>594</v>
      </c>
      <c r="C59" s="156" t="s">
        <v>372</v>
      </c>
      <c r="D59" s="156" t="s">
        <v>161</v>
      </c>
      <c r="E59" s="156" t="s">
        <v>590</v>
      </c>
      <c r="F59" s="156" t="s">
        <v>591</v>
      </c>
      <c r="G59" s="156"/>
      <c r="H59" s="156"/>
      <c r="I59" s="156">
        <v>1</v>
      </c>
      <c r="J59" s="156"/>
      <c r="K59" s="156">
        <v>96</v>
      </c>
      <c r="L59" s="160" t="s">
        <v>445</v>
      </c>
    </row>
    <row r="60" spans="2:12">
      <c r="B60" s="156" t="s">
        <v>595</v>
      </c>
      <c r="C60" s="156" t="s">
        <v>356</v>
      </c>
      <c r="D60" s="156" t="s">
        <v>161</v>
      </c>
      <c r="E60" s="156" t="s">
        <v>596</v>
      </c>
      <c r="F60" s="156" t="s">
        <v>596</v>
      </c>
      <c r="G60" s="156" t="s">
        <v>597</v>
      </c>
      <c r="H60" s="156" t="s">
        <v>597</v>
      </c>
      <c r="I60" s="156">
        <v>2</v>
      </c>
      <c r="J60" s="156"/>
      <c r="K60" s="156">
        <v>59</v>
      </c>
      <c r="L60" s="160" t="s">
        <v>445</v>
      </c>
    </row>
    <row r="61" spans="2:12">
      <c r="B61" s="156" t="s">
        <v>598</v>
      </c>
      <c r="C61" s="156" t="s">
        <v>356</v>
      </c>
      <c r="D61" s="156" t="s">
        <v>161</v>
      </c>
      <c r="E61" s="156" t="s">
        <v>596</v>
      </c>
      <c r="F61" s="156" t="s">
        <v>596</v>
      </c>
      <c r="G61" s="156"/>
      <c r="H61" s="156"/>
      <c r="I61" s="156">
        <v>1</v>
      </c>
      <c r="J61" s="156"/>
      <c r="K61" s="156">
        <v>97</v>
      </c>
      <c r="L61" s="160" t="s">
        <v>445</v>
      </c>
    </row>
    <row r="62" spans="2:12">
      <c r="B62" s="156" t="s">
        <v>599</v>
      </c>
      <c r="C62" s="156" t="s">
        <v>357</v>
      </c>
      <c r="D62" s="156" t="s">
        <v>161</v>
      </c>
      <c r="E62" s="156" t="s">
        <v>600</v>
      </c>
      <c r="F62" s="156" t="s">
        <v>601</v>
      </c>
      <c r="G62" s="156" t="s">
        <v>602</v>
      </c>
      <c r="H62" s="156" t="s">
        <v>603</v>
      </c>
      <c r="I62" s="156">
        <v>2</v>
      </c>
      <c r="J62" s="156"/>
      <c r="K62" s="156">
        <v>60</v>
      </c>
      <c r="L62" s="160" t="s">
        <v>445</v>
      </c>
    </row>
    <row r="63" spans="2:12">
      <c r="B63" s="156" t="s">
        <v>604</v>
      </c>
      <c r="C63" s="156" t="s">
        <v>357</v>
      </c>
      <c r="D63" s="156" t="s">
        <v>161</v>
      </c>
      <c r="E63" s="156" t="s">
        <v>600</v>
      </c>
      <c r="F63" s="156" t="s">
        <v>601</v>
      </c>
      <c r="G63" s="156"/>
      <c r="H63" s="156"/>
      <c r="I63" s="156">
        <v>1</v>
      </c>
      <c r="J63" s="156"/>
      <c r="K63" s="156">
        <v>98</v>
      </c>
      <c r="L63" s="160" t="s">
        <v>445</v>
      </c>
    </row>
    <row r="64" spans="2:12">
      <c r="B64" s="156" t="s">
        <v>605</v>
      </c>
      <c r="C64" s="156" t="s">
        <v>358</v>
      </c>
      <c r="D64" s="156" t="s">
        <v>161</v>
      </c>
      <c r="E64" s="156" t="s">
        <v>606</v>
      </c>
      <c r="F64" s="156" t="s">
        <v>607</v>
      </c>
      <c r="G64" s="156" t="s">
        <v>608</v>
      </c>
      <c r="H64" s="156" t="s">
        <v>609</v>
      </c>
      <c r="I64" s="156">
        <v>2</v>
      </c>
      <c r="J64" s="156"/>
      <c r="K64" s="156">
        <v>61</v>
      </c>
      <c r="L64" s="160" t="s">
        <v>445</v>
      </c>
    </row>
    <row r="65" spans="2:12">
      <c r="B65" s="156" t="s">
        <v>610</v>
      </c>
      <c r="C65" s="156" t="s">
        <v>358</v>
      </c>
      <c r="D65" s="156" t="s">
        <v>161</v>
      </c>
      <c r="E65" s="156" t="s">
        <v>606</v>
      </c>
      <c r="F65" s="156" t="s">
        <v>607</v>
      </c>
      <c r="G65" s="156"/>
      <c r="H65" s="156"/>
      <c r="I65" s="156">
        <v>1</v>
      </c>
      <c r="J65" s="156"/>
      <c r="K65" s="156">
        <v>99</v>
      </c>
      <c r="L65" s="160" t="s">
        <v>445</v>
      </c>
    </row>
    <row r="66" spans="2:12">
      <c r="B66" s="156" t="s">
        <v>611</v>
      </c>
      <c r="C66" s="156" t="s">
        <v>359</v>
      </c>
      <c r="D66" s="156" t="s">
        <v>161</v>
      </c>
      <c r="E66" s="156" t="s">
        <v>612</v>
      </c>
      <c r="F66" s="156" t="s">
        <v>613</v>
      </c>
      <c r="G66" s="156" t="s">
        <v>614</v>
      </c>
      <c r="H66" s="156" t="s">
        <v>615</v>
      </c>
      <c r="I66" s="156">
        <v>2</v>
      </c>
      <c r="J66" s="156"/>
      <c r="K66" s="156">
        <v>62</v>
      </c>
      <c r="L66" s="160" t="s">
        <v>445</v>
      </c>
    </row>
    <row r="67" spans="2:12">
      <c r="B67" s="156" t="s">
        <v>616</v>
      </c>
      <c r="C67" s="156" t="s">
        <v>359</v>
      </c>
      <c r="D67" s="156" t="s">
        <v>161</v>
      </c>
      <c r="E67" s="156" t="s">
        <v>612</v>
      </c>
      <c r="F67" s="156" t="s">
        <v>613</v>
      </c>
      <c r="G67" s="156"/>
      <c r="H67" s="156"/>
      <c r="I67" s="156">
        <v>1</v>
      </c>
      <c r="J67" s="156"/>
      <c r="K67" s="156">
        <v>100</v>
      </c>
      <c r="L67" s="160" t="s">
        <v>445</v>
      </c>
    </row>
    <row r="68" spans="2:12">
      <c r="B68" s="156" t="s">
        <v>617</v>
      </c>
      <c r="C68" s="156" t="s">
        <v>373</v>
      </c>
      <c r="D68" s="156" t="s">
        <v>161</v>
      </c>
      <c r="E68" s="156" t="s">
        <v>618</v>
      </c>
      <c r="F68" s="156" t="s">
        <v>619</v>
      </c>
      <c r="G68" s="156" t="s">
        <v>620</v>
      </c>
      <c r="H68" s="156" t="s">
        <v>621</v>
      </c>
      <c r="I68" s="156">
        <v>2</v>
      </c>
      <c r="J68" s="156"/>
      <c r="K68" s="156">
        <v>63</v>
      </c>
      <c r="L68" s="160" t="s">
        <v>445</v>
      </c>
    </row>
    <row r="69" spans="2:12">
      <c r="B69" s="156" t="s">
        <v>622</v>
      </c>
      <c r="C69" s="156" t="s">
        <v>373</v>
      </c>
      <c r="D69" s="156" t="s">
        <v>161</v>
      </c>
      <c r="E69" s="156" t="s">
        <v>618</v>
      </c>
      <c r="F69" s="156" t="s">
        <v>619</v>
      </c>
      <c r="G69" s="156"/>
      <c r="H69" s="156"/>
      <c r="I69" s="156">
        <v>1</v>
      </c>
      <c r="J69" s="156"/>
      <c r="K69" s="156">
        <v>101</v>
      </c>
      <c r="L69" s="160" t="s">
        <v>445</v>
      </c>
    </row>
    <row r="70" spans="2:12">
      <c r="B70" s="156" t="s">
        <v>623</v>
      </c>
      <c r="C70" s="156" t="s">
        <v>374</v>
      </c>
      <c r="D70" s="156" t="s">
        <v>161</v>
      </c>
      <c r="E70" s="156" t="s">
        <v>624</v>
      </c>
      <c r="F70" s="156" t="s">
        <v>625</v>
      </c>
      <c r="G70" s="156" t="s">
        <v>626</v>
      </c>
      <c r="H70" s="156" t="s">
        <v>627</v>
      </c>
      <c r="I70" s="156">
        <v>1</v>
      </c>
      <c r="J70" s="156"/>
      <c r="K70" s="156">
        <v>64</v>
      </c>
      <c r="L70" s="160" t="s">
        <v>445</v>
      </c>
    </row>
    <row r="71" spans="2:12">
      <c r="B71" s="156" t="s">
        <v>628</v>
      </c>
      <c r="C71" s="156" t="s">
        <v>374</v>
      </c>
      <c r="D71" s="156" t="s">
        <v>161</v>
      </c>
      <c r="E71" s="156" t="s">
        <v>624</v>
      </c>
      <c r="F71" s="156" t="s">
        <v>625</v>
      </c>
      <c r="G71" s="156"/>
      <c r="H71" s="156"/>
      <c r="I71" s="156">
        <v>1</v>
      </c>
      <c r="J71" s="156"/>
      <c r="K71" s="156">
        <v>102</v>
      </c>
      <c r="L71" s="160" t="s">
        <v>445</v>
      </c>
    </row>
    <row r="72" spans="2:12">
      <c r="B72" s="159" t="s">
        <v>629</v>
      </c>
      <c r="C72" s="161"/>
      <c r="D72" s="159" t="s">
        <v>161</v>
      </c>
      <c r="E72" s="159" t="s">
        <v>497</v>
      </c>
      <c r="F72" s="159" t="s">
        <v>504</v>
      </c>
      <c r="G72" s="159" t="s">
        <v>498</v>
      </c>
      <c r="H72" s="158" t="s">
        <v>506</v>
      </c>
      <c r="I72" s="158">
        <v>1</v>
      </c>
      <c r="J72" s="159"/>
      <c r="K72" s="161"/>
      <c r="L72" s="159"/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1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1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4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3" r:id="rId43" name="DropDowns_Demo1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4" r:id="rId44" name="CheckBox_Demo1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5" r:id="rId45" name="DropDowns_Demo_Bis11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6" r:id="rId46" name="CheckBox_Demo_Bis11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7" r:id="rId47" name="DropDowns_Demo12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8" r:id="rId48" name="CheckBox_Demo12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59" r:id="rId49" name="DropDowns_Demo_Bis12">
              <controlPr defaultSize="0" autoFill="0" autoPict="0">
                <anchor moveWithCells="1">
                  <from>
                    <xdr:col>8</xdr:col>
                    <xdr:colOff>0</xdr:colOff>
                    <xdr:row>26</xdr:row>
                    <xdr:rowOff>0</xdr:rowOff>
                  </from>
                  <to>
                    <xdr:col>9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0" r:id="rId50" name="CheckBox_Demo_Bis12">
              <controlPr defaultSize="0" autoFill="0" autoLine="0" autoPict="0">
                <anchor moveWithCells="1">
                  <from>
                    <xdr:col>9</xdr:col>
                    <xdr:colOff>342900</xdr:colOff>
                    <xdr:row>26</xdr:row>
                    <xdr:rowOff>0</xdr:rowOff>
                  </from>
                  <to>
                    <xdr:col>9</xdr:col>
                    <xdr:colOff>638175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1" r:id="rId51" name="DropDowns_Demo13">
              <controlPr defaultSize="0" autoFill="0" autoPict="0">
                <anchor mov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2" r:id="rId52" name="CheckBox_Demo13">
              <controlPr defaultSize="0" autoFill="0" autoLine="0" autoPict="0">
                <anchor moveWithCells="1">
                  <from>
                    <xdr:col>9</xdr:col>
                    <xdr:colOff>342900</xdr:colOff>
                    <xdr:row>27</xdr:row>
                    <xdr:rowOff>0</xdr:rowOff>
                  </from>
                  <to>
                    <xdr:col>9</xdr:col>
                    <xdr:colOff>638175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3" r:id="rId53" name="DropDowns_Demo_Bis13">
              <controlPr defaultSize="0" autoFill="0" autoPict="0">
                <anchor mov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4" r:id="rId54" name="CheckBox_Demo_Bis13">
              <controlPr defaultSize="0" autoFill="0" autoLine="0" autoPict="0">
                <anchor moveWithCells="1">
                  <from>
                    <xdr:col>9</xdr:col>
                    <xdr:colOff>342900</xdr:colOff>
                    <xdr:row>28</xdr:row>
                    <xdr:rowOff>0</xdr:rowOff>
                  </from>
                  <to>
                    <xdr:col>9</xdr:col>
                    <xdr:colOff>638175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5" r:id="rId55" name="DropDowns_Demo14">
              <controlPr defaultSize="0" autoFill="0" autoPict="0">
                <anchor moveWithCells="1">
                  <from>
                    <xdr:col>8</xdr:col>
                    <xdr:colOff>0</xdr:colOff>
                    <xdr:row>29</xdr:row>
                    <xdr:rowOff>0</xdr:rowOff>
                  </from>
                  <to>
                    <xdr:col>9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6" r:id="rId56" name="CheckBox_Demo14">
              <controlPr defaultSize="0" autoFill="0" autoLine="0" autoPict="0">
                <anchor moveWithCells="1">
                  <from>
                    <xdr:col>9</xdr:col>
                    <xdr:colOff>342900</xdr:colOff>
                    <xdr:row>29</xdr:row>
                    <xdr:rowOff>0</xdr:rowOff>
                  </from>
                  <to>
                    <xdr:col>9</xdr:col>
                    <xdr:colOff>638175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7" r:id="rId57" name="DropDowns_Demo_Bis14">
              <controlPr defaultSize="0" autoFill="0" autoPict="0">
                <anchor mov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8" r:id="rId58" name="CheckBox_Demo_Bis14">
              <controlPr defaultSize="0" autoFill="0" autoLine="0" autoPict="0">
                <anchor moveWithCells="1">
                  <from>
                    <xdr:col>9</xdr:col>
                    <xdr:colOff>342900</xdr:colOff>
                    <xdr:row>30</xdr:row>
                    <xdr:rowOff>0</xdr:rowOff>
                  </from>
                  <to>
                    <xdr:col>9</xdr:col>
                    <xdr:colOff>638175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69" r:id="rId59" name="DropDowns_Demo15">
              <controlPr defaultSize="0" autoFill="0" autoPict="0">
                <anchor moveWithCells="1">
                  <from>
                    <xdr:col>8</xdr:col>
                    <xdr:colOff>0</xdr:colOff>
                    <xdr:row>31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0" r:id="rId60" name="CheckBox_Demo15">
              <controlPr defaultSize="0" autoFill="0" autoLine="0" autoPict="0">
                <anchor moveWithCells="1">
                  <from>
                    <xdr:col>9</xdr:col>
                    <xdr:colOff>342900</xdr:colOff>
                    <xdr:row>31</xdr:row>
                    <xdr:rowOff>0</xdr:rowOff>
                  </from>
                  <to>
                    <xdr:col>9</xdr:col>
                    <xdr:colOff>638175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1" r:id="rId61" name="DropDowns_Demo_Bis15">
              <controlPr defaultSize="0" autoFill="0" autoPict="0">
                <anchor moveWithCells="1">
                  <from>
                    <xdr:col>8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2" r:id="rId62" name="CheckBox_Demo_Bis15">
              <controlPr defaultSize="0" autoFill="0" autoLine="0" autoPict="0">
                <anchor moveWithCells="1">
                  <from>
                    <xdr:col>9</xdr:col>
                    <xdr:colOff>342900</xdr:colOff>
                    <xdr:row>32</xdr:row>
                    <xdr:rowOff>0</xdr:rowOff>
                  </from>
                  <to>
                    <xdr:col>9</xdr:col>
                    <xdr:colOff>638175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3" r:id="rId63" name="DropDowns_Demo16">
              <controlPr defaultSize="0" autoFill="0" autoPict="0">
                <anchor moveWithCells="1">
                  <from>
                    <xdr:col>8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4" r:id="rId64" name="CheckBox_Demo16">
              <controlPr defaultSize="0" autoFill="0" autoLine="0" autoPict="0">
                <anchor moveWithCells="1">
                  <from>
                    <xdr:col>9</xdr:col>
                    <xdr:colOff>342900</xdr:colOff>
                    <xdr:row>33</xdr:row>
                    <xdr:rowOff>0</xdr:rowOff>
                  </from>
                  <to>
                    <xdr:col>9</xdr:col>
                    <xdr:colOff>638175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5" r:id="rId65" name="DropDowns_Demo_Bis16">
              <controlPr defaultSize="0" autoFill="0" autoPict="0">
                <anchor moveWithCells="1">
                  <from>
                    <xdr:col>8</xdr:col>
                    <xdr:colOff>0</xdr:colOff>
                    <xdr:row>34</xdr:row>
                    <xdr:rowOff>0</xdr:rowOff>
                  </from>
                  <to>
                    <xdr:col>9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6" r:id="rId66" name="CheckBox_Demo_Bis16">
              <controlPr defaultSize="0" autoFill="0" autoLine="0" autoPict="0">
                <anchor moveWithCells="1">
                  <from>
                    <xdr:col>9</xdr:col>
                    <xdr:colOff>342900</xdr:colOff>
                    <xdr:row>34</xdr:row>
                    <xdr:rowOff>0</xdr:rowOff>
                  </from>
                  <to>
                    <xdr:col>9</xdr:col>
                    <xdr:colOff>638175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7" r:id="rId67" name="DropDowns_Demo17">
              <controlPr defaultSize="0" autoFill="0" autoPict="0">
                <anchor moveWithCells="1">
                  <from>
                    <xdr:col>8</xdr:col>
                    <xdr:colOff>0</xdr:colOff>
                    <xdr:row>35</xdr:row>
                    <xdr:rowOff>0</xdr:rowOff>
                  </from>
                  <to>
                    <xdr:col>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8" r:id="rId68" name="CheckBox_Demo17">
              <controlPr defaultSize="0" autoFill="0" autoLine="0" autoPict="0">
                <anchor moveWithCells="1">
                  <from>
                    <xdr:col>9</xdr:col>
                    <xdr:colOff>342900</xdr:colOff>
                    <xdr:row>35</xdr:row>
                    <xdr:rowOff>0</xdr:rowOff>
                  </from>
                  <to>
                    <xdr:col>9</xdr:col>
                    <xdr:colOff>638175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79" r:id="rId69" name="DropDowns_Demo_Bis17">
              <controlPr defaultSize="0" autoFill="0" autoPict="0">
                <anchor moveWithCells="1">
                  <from>
                    <xdr:col>8</xdr:col>
                    <xdr:colOff>0</xdr:colOff>
                    <xdr:row>36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0" r:id="rId70" name="CheckBox_Demo_Bis17">
              <controlPr defaultSize="0" autoFill="0" autoLine="0" autoPict="0">
                <anchor moveWithCells="1">
                  <from>
                    <xdr:col>9</xdr:col>
                    <xdr:colOff>342900</xdr:colOff>
                    <xdr:row>36</xdr:row>
                    <xdr:rowOff>0</xdr:rowOff>
                  </from>
                  <to>
                    <xdr:col>9</xdr:col>
                    <xdr:colOff>638175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1" r:id="rId71" name="DropDowns_Demo18">
              <controlPr defaultSize="0" autoFill="0" autoPict="0">
                <anchor moveWithCells="1">
                  <from>
                    <xdr:col>8</xdr:col>
                    <xdr:colOff>0</xdr:colOff>
                    <xdr:row>37</xdr:row>
                    <xdr:rowOff>0</xdr:rowOff>
                  </from>
                  <to>
                    <xdr:col>9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2" r:id="rId72" name="CheckBox_Demo18">
              <controlPr defaultSize="0" autoFill="0" autoLine="0" autoPict="0">
                <anchor moveWithCells="1">
                  <from>
                    <xdr:col>9</xdr:col>
                    <xdr:colOff>342900</xdr:colOff>
                    <xdr:row>37</xdr:row>
                    <xdr:rowOff>0</xdr:rowOff>
                  </from>
                  <to>
                    <xdr:col>9</xdr:col>
                    <xdr:colOff>638175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3" r:id="rId73" name="DropDowns_Demo_Bis18">
              <controlPr defaultSize="0" autoFill="0" autoPict="0">
                <anchor moveWithCells="1">
                  <from>
                    <xdr:col>8</xdr:col>
                    <xdr:colOff>0</xdr:colOff>
                    <xdr:row>38</xdr:row>
                    <xdr:rowOff>0</xdr:rowOff>
                  </from>
                  <to>
                    <xdr:col>9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4" r:id="rId74" name="CheckBox_Demo_Bis18">
              <controlPr defaultSize="0" autoFill="0" autoLine="0" autoPict="0">
                <anchor moveWithCells="1">
                  <from>
                    <xdr:col>9</xdr:col>
                    <xdr:colOff>342900</xdr:colOff>
                    <xdr:row>38</xdr:row>
                    <xdr:rowOff>0</xdr:rowOff>
                  </from>
                  <to>
                    <xdr:col>9</xdr:col>
                    <xdr:colOff>638175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5" r:id="rId75" name="DropDowns_Demo19">
              <controlPr defaultSize="0" autoFill="0" autoPict="0">
                <anchor moveWithCells="1">
                  <from>
                    <xdr:col>8</xdr:col>
                    <xdr:colOff>0</xdr:colOff>
                    <xdr:row>39</xdr:row>
                    <xdr:rowOff>0</xdr:rowOff>
                  </from>
                  <to>
                    <xdr:col>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6" r:id="rId76" name="CheckBox_Demo19">
              <controlPr defaultSize="0" autoFill="0" autoLine="0" autoPict="0">
                <anchor moveWithCells="1">
                  <from>
                    <xdr:col>9</xdr:col>
                    <xdr:colOff>342900</xdr:colOff>
                    <xdr:row>39</xdr:row>
                    <xdr:rowOff>0</xdr:rowOff>
                  </from>
                  <to>
                    <xdr:col>9</xdr:col>
                    <xdr:colOff>638175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7" r:id="rId77" name="DropDowns_Demo_Bis19">
              <controlPr defaultSize="0" autoFill="0" autoPict="0">
                <anchor moveWithCells="1">
                  <from>
                    <xdr:col>8</xdr:col>
                    <xdr:colOff>0</xdr:colOff>
                    <xdr:row>40</xdr:row>
                    <xdr:rowOff>0</xdr:rowOff>
                  </from>
                  <to>
                    <xdr:col>9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8" r:id="rId78" name="CheckBox_Demo_Bis19">
              <controlPr defaultSize="0" autoFill="0" autoLine="0" autoPict="0">
                <anchor moveWithCells="1">
                  <from>
                    <xdr:col>9</xdr:col>
                    <xdr:colOff>342900</xdr:colOff>
                    <xdr:row>40</xdr:row>
                    <xdr:rowOff>0</xdr:rowOff>
                  </from>
                  <to>
                    <xdr:col>9</xdr:col>
                    <xdr:colOff>638175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89" r:id="rId79" name="DropDowns_Demo20">
              <controlPr defaultSize="0" autoFill="0" autoPict="0">
                <anchor moveWithCells="1">
                  <from>
                    <xdr:col>8</xdr:col>
                    <xdr:colOff>0</xdr:colOff>
                    <xdr:row>41</xdr:row>
                    <xdr:rowOff>0</xdr:rowOff>
                  </from>
                  <to>
                    <xdr:col>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0" r:id="rId80" name="CheckBox_Demo20">
              <controlPr defaultSize="0" autoFill="0" autoLine="0" autoPict="0">
                <anchor moveWithCells="1">
                  <from>
                    <xdr:col>9</xdr:col>
                    <xdr:colOff>342900</xdr:colOff>
                    <xdr:row>41</xdr:row>
                    <xdr:rowOff>0</xdr:rowOff>
                  </from>
                  <to>
                    <xdr:col>9</xdr:col>
                    <xdr:colOff>638175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1" r:id="rId81" name="DropDowns_Demo_Bis20">
              <controlPr defaultSize="0" autoFill="0" autoPict="0">
                <anchor moveWithCells="1">
                  <from>
                    <xdr:col>8</xdr:col>
                    <xdr:colOff>0</xdr:colOff>
                    <xdr:row>42</xdr:row>
                    <xdr:rowOff>0</xdr:rowOff>
                  </from>
                  <to>
                    <xdr:col>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2" r:id="rId82" name="CheckBox_Demo_Bis20">
              <controlPr defaultSize="0" autoFill="0" autoLine="0" autoPict="0">
                <anchor moveWithCells="1">
                  <from>
                    <xdr:col>9</xdr:col>
                    <xdr:colOff>342900</xdr:colOff>
                    <xdr:row>42</xdr:row>
                    <xdr:rowOff>0</xdr:rowOff>
                  </from>
                  <to>
                    <xdr:col>9</xdr:col>
                    <xdr:colOff>638175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3" r:id="rId83" name="DropDowns_Demo21">
              <controlPr defaultSize="0" autoFill="0" autoPict="0">
                <anchor moveWithCells="1">
                  <from>
                    <xdr:col>8</xdr:col>
                    <xdr:colOff>0</xdr:colOff>
                    <xdr:row>43</xdr:row>
                    <xdr:rowOff>0</xdr:rowOff>
                  </from>
                  <to>
                    <xdr:col>9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4" r:id="rId84" name="CheckBox_Demo21">
              <controlPr defaultSize="0" autoFill="0" autoLine="0" autoPict="0">
                <anchor moveWithCells="1">
                  <from>
                    <xdr:col>9</xdr:col>
                    <xdr:colOff>342900</xdr:colOff>
                    <xdr:row>43</xdr:row>
                    <xdr:rowOff>0</xdr:rowOff>
                  </from>
                  <to>
                    <xdr:col>9</xdr:col>
                    <xdr:colOff>638175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5" r:id="rId85" name="DropDowns_Demo_Bis21">
              <controlPr defaultSize="0" autoFill="0" autoPict="0">
                <anchor moveWithCells="1">
                  <from>
                    <xdr:col>8</xdr:col>
                    <xdr:colOff>0</xdr:colOff>
                    <xdr:row>44</xdr:row>
                    <xdr:rowOff>0</xdr:rowOff>
                  </from>
                  <to>
                    <xdr:col>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6" r:id="rId86" name="CheckBox_Demo_Bis21">
              <controlPr defaultSize="0" autoFill="0" autoLine="0" autoPict="0">
                <anchor moveWithCells="1">
                  <from>
                    <xdr:col>9</xdr:col>
                    <xdr:colOff>342900</xdr:colOff>
                    <xdr:row>44</xdr:row>
                    <xdr:rowOff>0</xdr:rowOff>
                  </from>
                  <to>
                    <xdr:col>9</xdr:col>
                    <xdr:colOff>638175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7" r:id="rId87" name="DropDowns_Demo22">
              <controlPr defaultSize="0" autoFill="0" autoPict="0">
                <anchor moveWithCells="1">
                  <from>
                    <xdr:col>8</xdr:col>
                    <xdr:colOff>0</xdr:colOff>
                    <xdr:row>45</xdr:row>
                    <xdr:rowOff>0</xdr:rowOff>
                  </from>
                  <to>
                    <xdr:col>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8" r:id="rId88" name="CheckBox_Demo22">
              <controlPr defaultSize="0" autoFill="0" autoLine="0" autoPict="0">
                <anchor moveWithCells="1">
                  <from>
                    <xdr:col>9</xdr:col>
                    <xdr:colOff>342900</xdr:colOff>
                    <xdr:row>45</xdr:row>
                    <xdr:rowOff>0</xdr:rowOff>
                  </from>
                  <to>
                    <xdr:col>9</xdr:col>
                    <xdr:colOff>638175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99" r:id="rId89" name="DropDowns_Demo_Bis22">
              <controlPr defaultSize="0" autoFill="0" autoPict="0">
                <anchor moveWithCells="1">
                  <from>
                    <xdr:col>8</xdr:col>
                    <xdr:colOff>0</xdr:colOff>
                    <xdr:row>46</xdr:row>
                    <xdr:rowOff>0</xdr:rowOff>
                  </from>
                  <to>
                    <xdr:col>9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0" r:id="rId90" name="CheckBox_Demo_Bis22">
              <controlPr defaultSize="0" autoFill="0" autoLine="0" autoPict="0">
                <anchor moveWithCells="1">
                  <from>
                    <xdr:col>9</xdr:col>
                    <xdr:colOff>342900</xdr:colOff>
                    <xdr:row>46</xdr:row>
                    <xdr:rowOff>0</xdr:rowOff>
                  </from>
                  <to>
                    <xdr:col>9</xdr:col>
                    <xdr:colOff>638175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1" r:id="rId91" name="DropDowns_Demo23">
              <controlPr defaultSize="0" autoFill="0" autoPict="0">
                <anchor moveWithCells="1">
                  <from>
                    <xdr:col>8</xdr:col>
                    <xdr:colOff>0</xdr:colOff>
                    <xdr:row>47</xdr:row>
                    <xdr:rowOff>0</xdr:rowOff>
                  </from>
                  <to>
                    <xdr:col>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2" r:id="rId92" name="CheckBox_Demo23">
              <controlPr defaultSize="0" autoFill="0" autoLine="0" autoPict="0">
                <anchor moveWithCells="1">
                  <from>
                    <xdr:col>9</xdr:col>
                    <xdr:colOff>342900</xdr:colOff>
                    <xdr:row>47</xdr:row>
                    <xdr:rowOff>0</xdr:rowOff>
                  </from>
                  <to>
                    <xdr:col>9</xdr:col>
                    <xdr:colOff>638175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3" r:id="rId93" name="DropDowns_Demo_Bis23">
              <controlPr defaultSize="0" autoFill="0" autoPict="0">
                <anchor moveWithCells="1">
                  <from>
                    <xdr:col>8</xdr:col>
                    <xdr:colOff>0</xdr:colOff>
                    <xdr:row>48</xdr:row>
                    <xdr:rowOff>0</xdr:rowOff>
                  </from>
                  <to>
                    <xdr:col>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4" r:id="rId94" name="CheckBox_Demo_Bis23">
              <controlPr defaultSize="0" autoFill="0" autoLine="0" autoPict="0">
                <anchor moveWithCells="1">
                  <from>
                    <xdr:col>9</xdr:col>
                    <xdr:colOff>342900</xdr:colOff>
                    <xdr:row>48</xdr:row>
                    <xdr:rowOff>0</xdr:rowOff>
                  </from>
                  <to>
                    <xdr:col>9</xdr:col>
                    <xdr:colOff>638175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5" r:id="rId95" name="DropDowns_Demo24">
              <controlPr defaultSize="0" autoFill="0" autoPict="0">
                <anchor moveWithCells="1">
                  <from>
                    <xdr:col>8</xdr:col>
                    <xdr:colOff>0</xdr:colOff>
                    <xdr:row>49</xdr:row>
                    <xdr:rowOff>0</xdr:rowOff>
                  </from>
                  <to>
                    <xdr:col>9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6" r:id="rId96" name="CheckBox_Demo24">
              <controlPr defaultSize="0" autoFill="0" autoLine="0" autoPict="0">
                <anchor moveWithCells="1">
                  <from>
                    <xdr:col>9</xdr:col>
                    <xdr:colOff>342900</xdr:colOff>
                    <xdr:row>49</xdr:row>
                    <xdr:rowOff>0</xdr:rowOff>
                  </from>
                  <to>
                    <xdr:col>9</xdr:col>
                    <xdr:colOff>638175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7" r:id="rId97" name="DropDowns_Demo_Bis24">
              <controlPr defaultSize="0" autoFill="0" autoPict="0">
                <anchor moveWithCells="1">
                  <from>
                    <xdr:col>8</xdr:col>
                    <xdr:colOff>0</xdr:colOff>
                    <xdr:row>50</xdr:row>
                    <xdr:rowOff>0</xdr:rowOff>
                  </from>
                  <to>
                    <xdr:col>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8" r:id="rId98" name="CheckBox_Demo_Bis24">
              <controlPr defaultSize="0" autoFill="0" autoLine="0" autoPict="0">
                <anchor moveWithCells="1">
                  <from>
                    <xdr:col>9</xdr:col>
                    <xdr:colOff>342900</xdr:colOff>
                    <xdr:row>50</xdr:row>
                    <xdr:rowOff>0</xdr:rowOff>
                  </from>
                  <to>
                    <xdr:col>9</xdr:col>
                    <xdr:colOff>638175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09" r:id="rId99" name="DropDowns_Demo25">
              <controlPr defaultSize="0" autoFill="0" autoPict="0">
                <anchor moveWithCells="1">
                  <from>
                    <xdr:col>8</xdr:col>
                    <xdr:colOff>0</xdr:colOff>
                    <xdr:row>51</xdr:row>
                    <xdr:rowOff>0</xdr:rowOff>
                  </from>
                  <to>
                    <xdr:col>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0" r:id="rId100" name="CheckBox_Demo25">
              <controlPr defaultSize="0" autoFill="0" autoLine="0" autoPict="0">
                <anchor moveWithCells="1">
                  <from>
                    <xdr:col>9</xdr:col>
                    <xdr:colOff>342900</xdr:colOff>
                    <xdr:row>51</xdr:row>
                    <xdr:rowOff>0</xdr:rowOff>
                  </from>
                  <to>
                    <xdr:col>9</xdr:col>
                    <xdr:colOff>638175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1" r:id="rId101" name="DropDowns_Demo_Bis25">
              <controlPr defaultSize="0" autoFill="0" autoPict="0">
                <anchor moveWithCells="1">
                  <from>
                    <xdr:col>8</xdr:col>
                    <xdr:colOff>0</xdr:colOff>
                    <xdr:row>52</xdr:row>
                    <xdr:rowOff>0</xdr:rowOff>
                  </from>
                  <to>
                    <xdr:col>9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2" r:id="rId102" name="CheckBox_Demo_Bis25">
              <controlPr defaultSize="0" autoFill="0" autoLine="0" autoPict="0">
                <anchor moveWithCells="1">
                  <from>
                    <xdr:col>9</xdr:col>
                    <xdr:colOff>342900</xdr:colOff>
                    <xdr:row>52</xdr:row>
                    <xdr:rowOff>0</xdr:rowOff>
                  </from>
                  <to>
                    <xdr:col>9</xdr:col>
                    <xdr:colOff>638175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3" r:id="rId103" name="DropDowns_Demo26">
              <controlPr defaultSize="0" autoFill="0" autoPict="0">
                <anchor moveWithCells="1">
                  <from>
                    <xdr:col>8</xdr:col>
                    <xdr:colOff>0</xdr:colOff>
                    <xdr:row>53</xdr:row>
                    <xdr:rowOff>0</xdr:rowOff>
                  </from>
                  <to>
                    <xdr:col>9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4" r:id="rId104" name="CheckBox_Demo26">
              <controlPr defaultSize="0" autoFill="0" autoLine="0" autoPict="0">
                <anchor moveWithCells="1">
                  <from>
                    <xdr:col>9</xdr:col>
                    <xdr:colOff>342900</xdr:colOff>
                    <xdr:row>53</xdr:row>
                    <xdr:rowOff>0</xdr:rowOff>
                  </from>
                  <to>
                    <xdr:col>9</xdr:col>
                    <xdr:colOff>638175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5" r:id="rId105" name="DropDowns_Demo_Bis26">
              <controlPr defaultSize="0" autoFill="0" autoPict="0">
                <anchor moveWithCells="1">
                  <from>
                    <xdr:col>8</xdr:col>
                    <xdr:colOff>0</xdr:colOff>
                    <xdr:row>54</xdr:row>
                    <xdr:rowOff>0</xdr:rowOff>
                  </from>
                  <to>
                    <xdr:col>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6" r:id="rId106" name="CheckBox_Demo_Bis26">
              <controlPr defaultSize="0" autoFill="0" autoLine="0" autoPict="0">
                <anchor moveWithCells="1">
                  <from>
                    <xdr:col>9</xdr:col>
                    <xdr:colOff>342900</xdr:colOff>
                    <xdr:row>54</xdr:row>
                    <xdr:rowOff>0</xdr:rowOff>
                  </from>
                  <to>
                    <xdr:col>9</xdr:col>
                    <xdr:colOff>638175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7" r:id="rId107" name="DropDowns_Demo27">
              <controlPr defaultSize="0" autoFill="0" autoPict="0">
                <anchor moveWithCells="1">
                  <from>
                    <xdr:col>8</xdr:col>
                    <xdr:colOff>0</xdr:colOff>
                    <xdr:row>55</xdr:row>
                    <xdr:rowOff>0</xdr:rowOff>
                  </from>
                  <to>
                    <xdr:col>9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8" r:id="rId108" name="CheckBox_Demo27">
              <controlPr defaultSize="0" autoFill="0" autoLine="0" autoPict="0">
                <anchor moveWithCells="1">
                  <from>
                    <xdr:col>9</xdr:col>
                    <xdr:colOff>342900</xdr:colOff>
                    <xdr:row>55</xdr:row>
                    <xdr:rowOff>0</xdr:rowOff>
                  </from>
                  <to>
                    <xdr:col>9</xdr:col>
                    <xdr:colOff>638175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19" r:id="rId109" name="DropDowns_Demo_Bis27">
              <controlPr defaultSize="0" autoFill="0" autoPict="0">
                <anchor moveWithCells="1">
                  <from>
                    <xdr:col>8</xdr:col>
                    <xdr:colOff>0</xdr:colOff>
                    <xdr:row>56</xdr:row>
                    <xdr:rowOff>0</xdr:rowOff>
                  </from>
                  <to>
                    <xdr:col>9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0" r:id="rId110" name="CheckBox_Demo_Bis27">
              <controlPr defaultSize="0" autoFill="0" autoLine="0" autoPict="0">
                <anchor moveWithCells="1">
                  <from>
                    <xdr:col>9</xdr:col>
                    <xdr:colOff>342900</xdr:colOff>
                    <xdr:row>56</xdr:row>
                    <xdr:rowOff>0</xdr:rowOff>
                  </from>
                  <to>
                    <xdr:col>9</xdr:col>
                    <xdr:colOff>638175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1" r:id="rId111" name="DropDowns_Demo28">
              <controlPr defaultSize="0" autoFill="0" autoPict="0">
                <anchor moveWithCells="1">
                  <from>
                    <xdr:col>8</xdr:col>
                    <xdr:colOff>0</xdr:colOff>
                    <xdr:row>57</xdr:row>
                    <xdr:rowOff>0</xdr:rowOff>
                  </from>
                  <to>
                    <xdr:col>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2" r:id="rId112" name="CheckBox_Demo28">
              <controlPr defaultSize="0" autoFill="0" autoLine="0" autoPict="0">
                <anchor moveWithCells="1">
                  <from>
                    <xdr:col>9</xdr:col>
                    <xdr:colOff>342900</xdr:colOff>
                    <xdr:row>57</xdr:row>
                    <xdr:rowOff>0</xdr:rowOff>
                  </from>
                  <to>
                    <xdr:col>9</xdr:col>
                    <xdr:colOff>638175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3" r:id="rId113" name="DropDowns_Demo_Bis28">
              <controlPr defaultSize="0" autoFill="0" autoPict="0">
                <anchor moveWithCells="1">
                  <from>
                    <xdr:col>8</xdr:col>
                    <xdr:colOff>0</xdr:colOff>
                    <xdr:row>58</xdr:row>
                    <xdr:rowOff>0</xdr:rowOff>
                  </from>
                  <to>
                    <xdr:col>9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4" r:id="rId114" name="CheckBox_Demo_Bis28">
              <controlPr defaultSize="0" autoFill="0" autoLine="0" autoPict="0">
                <anchor moveWithCells="1">
                  <from>
                    <xdr:col>9</xdr:col>
                    <xdr:colOff>342900</xdr:colOff>
                    <xdr:row>58</xdr:row>
                    <xdr:rowOff>0</xdr:rowOff>
                  </from>
                  <to>
                    <xdr:col>9</xdr:col>
                    <xdr:colOff>638175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5" r:id="rId115" name="DropDowns_Demo29">
              <controlPr defaultSize="0" autoFill="0" autoPict="0">
                <anchor moveWithCells="1">
                  <from>
                    <xdr:col>8</xdr:col>
                    <xdr:colOff>0</xdr:colOff>
                    <xdr:row>59</xdr:row>
                    <xdr:rowOff>0</xdr:rowOff>
                  </from>
                  <to>
                    <xdr:col>9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6" r:id="rId116" name="CheckBox_Demo29">
              <controlPr defaultSize="0" autoFill="0" autoLine="0" autoPict="0">
                <anchor moveWithCells="1">
                  <from>
                    <xdr:col>9</xdr:col>
                    <xdr:colOff>342900</xdr:colOff>
                    <xdr:row>59</xdr:row>
                    <xdr:rowOff>0</xdr:rowOff>
                  </from>
                  <to>
                    <xdr:col>9</xdr:col>
                    <xdr:colOff>638175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7" r:id="rId117" name="DropDowns_Demo_Bis29">
              <controlPr defaultSize="0" autoFill="0" autoPict="0">
                <anchor moveWithCells="1">
                  <from>
                    <xdr:col>8</xdr:col>
                    <xdr:colOff>0</xdr:colOff>
                    <xdr:row>60</xdr:row>
                    <xdr:rowOff>0</xdr:rowOff>
                  </from>
                  <to>
                    <xdr:col>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8" r:id="rId118" name="CheckBox_Demo_Bis29">
              <controlPr defaultSize="0" autoFill="0" autoLine="0" autoPict="0">
                <anchor moveWithCells="1">
                  <from>
                    <xdr:col>9</xdr:col>
                    <xdr:colOff>342900</xdr:colOff>
                    <xdr:row>60</xdr:row>
                    <xdr:rowOff>0</xdr:rowOff>
                  </from>
                  <to>
                    <xdr:col>9</xdr:col>
                    <xdr:colOff>638175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29" r:id="rId119" name="DropDowns_Demo30">
              <controlPr defaultSize="0" autoFill="0" autoPict="0">
                <anchor moveWithCells="1">
                  <from>
                    <xdr:col>8</xdr:col>
                    <xdr:colOff>0</xdr:colOff>
                    <xdr:row>61</xdr:row>
                    <xdr:rowOff>0</xdr:rowOff>
                  </from>
                  <to>
                    <xdr:col>9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0" r:id="rId120" name="CheckBox_Demo30">
              <controlPr defaultSize="0" autoFill="0" autoLine="0" autoPict="0">
                <anchor moveWithCells="1">
                  <from>
                    <xdr:col>9</xdr:col>
                    <xdr:colOff>342900</xdr:colOff>
                    <xdr:row>61</xdr:row>
                    <xdr:rowOff>0</xdr:rowOff>
                  </from>
                  <to>
                    <xdr:col>9</xdr:col>
                    <xdr:colOff>638175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1" r:id="rId121" name="DropDowns_Demo_Bis30">
              <controlPr defaultSize="0" autoFill="0" autoPict="0">
                <anchor moveWithCells="1">
                  <from>
                    <xdr:col>8</xdr:col>
                    <xdr:colOff>0</xdr:colOff>
                    <xdr:row>62</xdr:row>
                    <xdr:rowOff>0</xdr:rowOff>
                  </from>
                  <to>
                    <xdr:col>9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2" r:id="rId122" name="CheckBox_Demo_Bis30">
              <controlPr defaultSize="0" autoFill="0" autoLine="0" autoPict="0">
                <anchor moveWithCells="1">
                  <from>
                    <xdr:col>9</xdr:col>
                    <xdr:colOff>342900</xdr:colOff>
                    <xdr:row>62</xdr:row>
                    <xdr:rowOff>0</xdr:rowOff>
                  </from>
                  <to>
                    <xdr:col>9</xdr:col>
                    <xdr:colOff>638175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3" r:id="rId123" name="DropDowns_Demo31">
              <controlPr defaultSize="0" autoFill="0" autoPict="0">
                <anchor moveWithCells="1">
                  <from>
                    <xdr:col>8</xdr:col>
                    <xdr:colOff>0</xdr:colOff>
                    <xdr:row>63</xdr:row>
                    <xdr:rowOff>0</xdr:rowOff>
                  </from>
                  <to>
                    <xdr:col>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4" r:id="rId124" name="CheckBox_Demo31">
              <controlPr defaultSize="0" autoFill="0" autoLine="0" autoPict="0">
                <anchor moveWithCells="1">
                  <from>
                    <xdr:col>9</xdr:col>
                    <xdr:colOff>342900</xdr:colOff>
                    <xdr:row>63</xdr:row>
                    <xdr:rowOff>0</xdr:rowOff>
                  </from>
                  <to>
                    <xdr:col>9</xdr:col>
                    <xdr:colOff>638175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5" r:id="rId125" name="DropDowns_Demo_Bis31">
              <controlPr defaultSize="0" autoFill="0" autoPict="0">
                <anchor moveWithCells="1">
                  <from>
                    <xdr:col>8</xdr:col>
                    <xdr:colOff>0</xdr:colOff>
                    <xdr:row>64</xdr:row>
                    <xdr:rowOff>0</xdr:rowOff>
                  </from>
                  <to>
                    <xdr:col>9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6" r:id="rId126" name="CheckBox_Demo_Bis31">
              <controlPr defaultSize="0" autoFill="0" autoLine="0" autoPict="0">
                <anchor moveWithCells="1">
                  <from>
                    <xdr:col>9</xdr:col>
                    <xdr:colOff>342900</xdr:colOff>
                    <xdr:row>64</xdr:row>
                    <xdr:rowOff>0</xdr:rowOff>
                  </from>
                  <to>
                    <xdr:col>9</xdr:col>
                    <xdr:colOff>638175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7" r:id="rId127" name="DropDowns_Demo32">
              <controlPr defaultSize="0" autoFill="0" autoPict="0">
                <anchor moveWithCells="1">
                  <from>
                    <xdr:col>8</xdr:col>
                    <xdr:colOff>0</xdr:colOff>
                    <xdr:row>65</xdr:row>
                    <xdr:rowOff>0</xdr:rowOff>
                  </from>
                  <to>
                    <xdr:col>9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8" r:id="rId128" name="CheckBox_Demo32">
              <controlPr defaultSize="0" autoFill="0" autoLine="0" autoPict="0">
                <anchor moveWithCells="1">
                  <from>
                    <xdr:col>9</xdr:col>
                    <xdr:colOff>342900</xdr:colOff>
                    <xdr:row>65</xdr:row>
                    <xdr:rowOff>0</xdr:rowOff>
                  </from>
                  <to>
                    <xdr:col>9</xdr:col>
                    <xdr:colOff>638175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39" r:id="rId129" name="DropDowns_Demo_Bis32">
              <controlPr defaultSize="0" autoFill="0" autoPict="0">
                <anchor moveWithCells="1">
                  <from>
                    <xdr:col>8</xdr:col>
                    <xdr:colOff>0</xdr:colOff>
                    <xdr:row>66</xdr:row>
                    <xdr:rowOff>0</xdr:rowOff>
                  </from>
                  <to>
                    <xdr:col>9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0" r:id="rId130" name="CheckBox_Demo_Bis32">
              <controlPr defaultSize="0" autoFill="0" autoLine="0" autoPict="0">
                <anchor moveWithCells="1">
                  <from>
                    <xdr:col>9</xdr:col>
                    <xdr:colOff>342900</xdr:colOff>
                    <xdr:row>66</xdr:row>
                    <xdr:rowOff>0</xdr:rowOff>
                  </from>
                  <to>
                    <xdr:col>9</xdr:col>
                    <xdr:colOff>638175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1" r:id="rId131" name="DropDowns_Demo33">
              <controlPr defaultSize="0" autoFill="0" autoPict="0">
                <anchor moveWithCells="1">
                  <from>
                    <xdr:col>8</xdr:col>
                    <xdr:colOff>0</xdr:colOff>
                    <xdr:row>67</xdr:row>
                    <xdr:rowOff>0</xdr:rowOff>
                  </from>
                  <to>
                    <xdr:col>9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2" r:id="rId132" name="CheckBox_Demo33">
              <controlPr defaultSize="0" autoFill="0" autoLine="0" autoPict="0">
                <anchor moveWithCells="1">
                  <from>
                    <xdr:col>9</xdr:col>
                    <xdr:colOff>342900</xdr:colOff>
                    <xdr:row>67</xdr:row>
                    <xdr:rowOff>0</xdr:rowOff>
                  </from>
                  <to>
                    <xdr:col>9</xdr:col>
                    <xdr:colOff>638175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3" r:id="rId133" name="DropDowns_Demo_Bis33">
              <controlPr defaultSize="0" autoFill="0" autoPict="0">
                <anchor moveWithCells="1">
                  <from>
                    <xdr:col>8</xdr:col>
                    <xdr:colOff>0</xdr:colOff>
                    <xdr:row>68</xdr:row>
                    <xdr:rowOff>0</xdr:rowOff>
                  </from>
                  <to>
                    <xdr:col>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4" r:id="rId134" name="CheckBox_Demo_Bis33">
              <controlPr defaultSize="0" autoFill="0" autoLine="0" autoPict="0">
                <anchor moveWithCells="1">
                  <from>
                    <xdr:col>9</xdr:col>
                    <xdr:colOff>342900</xdr:colOff>
                    <xdr:row>68</xdr:row>
                    <xdr:rowOff>0</xdr:rowOff>
                  </from>
                  <to>
                    <xdr:col>9</xdr:col>
                    <xdr:colOff>638175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5" r:id="rId135" name="DropDowns_Demo34">
              <controlPr defaultSize="0" autoFill="0" autoPict="0">
                <anchor moveWithCells="1">
                  <from>
                    <xdr:col>8</xdr:col>
                    <xdr:colOff>0</xdr:colOff>
                    <xdr:row>69</xdr:row>
                    <xdr:rowOff>0</xdr:rowOff>
                  </from>
                  <to>
                    <xdr:col>9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6" r:id="rId136" name="CheckBox_Demo34">
              <controlPr defaultSize="0" autoFill="0" autoLine="0" autoPict="0">
                <anchor moveWithCells="1">
                  <from>
                    <xdr:col>9</xdr:col>
                    <xdr:colOff>342900</xdr:colOff>
                    <xdr:row>69</xdr:row>
                    <xdr:rowOff>0</xdr:rowOff>
                  </from>
                  <to>
                    <xdr:col>9</xdr:col>
                    <xdr:colOff>638175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7" r:id="rId137" name="DropDowns_Demo_Bis34">
              <controlPr defaultSize="0" autoFill="0" autoPict="0">
                <anchor moveWithCells="1">
                  <from>
                    <xdr:col>8</xdr:col>
                    <xdr:colOff>0</xdr:colOff>
                    <xdr:row>70</xdr:row>
                    <xdr:rowOff>0</xdr:rowOff>
                  </from>
                  <to>
                    <xdr:col>9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8" r:id="rId138" name="CheckBox_Demo_Bis34">
              <controlPr defaultSize="0" autoFill="0" autoLine="0" autoPict="0">
                <anchor moveWithCells="1">
                  <from>
                    <xdr:col>9</xdr:col>
                    <xdr:colOff>342900</xdr:colOff>
                    <xdr:row>70</xdr:row>
                    <xdr:rowOff>0</xdr:rowOff>
                  </from>
                  <to>
                    <xdr:col>9</xdr:col>
                    <xdr:colOff>638175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49" r:id="rId139" name="Button 137">
              <controlPr defaultSize="0" print="0" autoFill="0" autoPict="0" macro="[0]!Agregar_Grafico_Demografia_Unificado">
                <anchor moveWithCells="1" sizeWithCells="1">
                  <from>
                    <xdr:col>7</xdr:col>
                    <xdr:colOff>0</xdr:colOff>
                    <xdr:row>73</xdr:row>
                    <xdr:rowOff>0</xdr:rowOff>
                  </from>
                  <to>
                    <xdr:col>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50" r:id="rId140" name="Button 138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73</xdr:row>
                    <xdr:rowOff>0</xdr:rowOff>
                  </from>
                  <to>
                    <xdr:col>12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51" r:id="rId141" name="Button 139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76</xdr:row>
                    <xdr:rowOff>0</xdr:rowOff>
                  </from>
                  <to>
                    <xdr:col>12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60" r:id="rId142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71</xdr:row>
                    <xdr:rowOff>0</xdr:rowOff>
                  </from>
                  <to>
                    <xdr:col>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861" r:id="rId143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71</xdr:row>
                    <xdr:rowOff>0</xdr:rowOff>
                  </from>
                  <to>
                    <xdr:col>9</xdr:col>
                    <xdr:colOff>638175</xdr:colOff>
                    <xdr:row>72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B45:I2036"/>
  <sheetViews>
    <sheetView tabSelected="1" topLeftCell="A2034" workbookViewId="0">
      <selection activeCell="J2047" sqref="J2047"/>
    </sheetView>
  </sheetViews>
  <sheetFormatPr baseColWidth="10" defaultRowHeight="15"/>
  <cols>
    <col min="2" max="2" width="17.7109375" bestFit="1" customWidth="1"/>
  </cols>
  <sheetData>
    <row r="45" spans="2:7" ht="15.75" thickBot="1">
      <c r="B45" s="268" t="s">
        <v>155</v>
      </c>
      <c r="C45" s="266">
        <v>69.59</v>
      </c>
      <c r="D45" s="266">
        <v>74.33</v>
      </c>
      <c r="E45" s="266">
        <v>79.150000000000006</v>
      </c>
      <c r="F45" s="266">
        <v>-4.7399999999999949</v>
      </c>
      <c r="G45" s="267">
        <v>-9.5600000000000023</v>
      </c>
    </row>
    <row r="46" spans="2:7" ht="15.75" thickBot="1">
      <c r="B46" s="269" t="s">
        <v>156</v>
      </c>
      <c r="C46" s="270">
        <v>70.69</v>
      </c>
      <c r="D46" s="270">
        <v>73.81</v>
      </c>
      <c r="E46" s="270">
        <v>77.23</v>
      </c>
      <c r="F46" s="270">
        <v>-3.1200000000000045</v>
      </c>
      <c r="G46" s="271">
        <v>-6.5400000000000063</v>
      </c>
    </row>
    <row r="47" spans="2:7" ht="15.75" thickBot="1">
      <c r="B47" s="272" t="s">
        <v>154</v>
      </c>
      <c r="C47" s="273">
        <v>66.069999999999993</v>
      </c>
      <c r="D47" s="273">
        <v>69.739999999999995</v>
      </c>
      <c r="E47" s="273">
        <v>75.44</v>
      </c>
      <c r="F47" s="273">
        <v>-3.6700000000000017</v>
      </c>
      <c r="G47" s="274">
        <v>-9.3700000000000045</v>
      </c>
    </row>
    <row r="48" spans="2:7" ht="15.75" thickBot="1">
      <c r="B48" s="275" t="s">
        <v>630</v>
      </c>
      <c r="C48" s="276">
        <v>67.180000000000007</v>
      </c>
      <c r="D48" s="276">
        <v>71.430000000000007</v>
      </c>
      <c r="E48" s="276">
        <v>80.28</v>
      </c>
      <c r="F48" s="276">
        <v>-4.25</v>
      </c>
      <c r="G48" s="277">
        <v>-13.099999999999994</v>
      </c>
    </row>
    <row r="49" spans="2:7" ht="15.75" thickBot="1">
      <c r="B49" s="278" t="s">
        <v>631</v>
      </c>
      <c r="C49" s="279">
        <v>69.290000000000006</v>
      </c>
      <c r="D49" s="279">
        <v>73.430000000000007</v>
      </c>
      <c r="E49" s="279">
        <v>83.31</v>
      </c>
      <c r="F49" s="279">
        <v>-4.1400000000000006</v>
      </c>
      <c r="G49" s="280">
        <v>-14.019999999999996</v>
      </c>
    </row>
    <row r="50" spans="2:7">
      <c r="B50" t="s">
        <v>632</v>
      </c>
      <c r="C50" s="281">
        <v>68.66</v>
      </c>
      <c r="D50" s="281">
        <v>72.650000000000006</v>
      </c>
      <c r="E50" s="281">
        <v>78.88</v>
      </c>
      <c r="F50" s="281">
        <v>-3.9900000000000091</v>
      </c>
      <c r="G50" s="281">
        <v>-10.219999999999999</v>
      </c>
    </row>
    <row r="51" spans="2:7">
      <c r="B51" t="s">
        <v>633</v>
      </c>
      <c r="C51" s="282">
        <v>546</v>
      </c>
      <c r="D51" s="282">
        <v>600</v>
      </c>
      <c r="E51" s="282"/>
      <c r="F51" s="282"/>
      <c r="G51" s="282"/>
    </row>
    <row r="52" spans="2:7">
      <c r="B52" t="s">
        <v>634</v>
      </c>
      <c r="C52" s="283"/>
      <c r="D52" s="283"/>
      <c r="E52" s="283"/>
      <c r="F52" s="283"/>
      <c r="G52" s="283"/>
    </row>
    <row r="53" spans="2:7">
      <c r="B53" t="s">
        <v>635</v>
      </c>
      <c r="C53" s="284"/>
      <c r="D53" s="284"/>
      <c r="E53" s="284"/>
      <c r="F53" s="284"/>
      <c r="G53" s="284"/>
    </row>
    <row r="54" spans="2:7" ht="45">
      <c r="B54" t="s">
        <v>636</v>
      </c>
      <c r="C54" s="285">
        <v>2016</v>
      </c>
      <c r="D54" s="286">
        <v>2015</v>
      </c>
      <c r="E54" s="286" t="s">
        <v>326</v>
      </c>
      <c r="F54" s="287" t="s">
        <v>327</v>
      </c>
      <c r="G54" s="287" t="s">
        <v>328</v>
      </c>
    </row>
    <row r="55" spans="2:7">
      <c r="B55" t="s">
        <v>17</v>
      </c>
      <c r="C55" s="281">
        <v>68.66</v>
      </c>
      <c r="D55" s="281">
        <v>68.66</v>
      </c>
      <c r="E55" s="281">
        <v>68.66</v>
      </c>
      <c r="F55" s="281">
        <v>68.66</v>
      </c>
      <c r="G55" s="281">
        <v>68.66</v>
      </c>
    </row>
    <row r="56" spans="2:7">
      <c r="B56" t="s">
        <v>637</v>
      </c>
      <c r="C56" s="288">
        <v>66.099999999999994</v>
      </c>
      <c r="D56" s="288">
        <v>70.81</v>
      </c>
      <c r="E56" s="288">
        <v>82.28</v>
      </c>
      <c r="F56" s="288">
        <v>-4.710000000000008</v>
      </c>
      <c r="G56" s="289">
        <v>-16.180000000000007</v>
      </c>
    </row>
    <row r="105" spans="2:7" ht="15.75" thickBot="1">
      <c r="B105" s="268" t="s">
        <v>155</v>
      </c>
      <c r="C105" s="266" t="s">
        <v>177</v>
      </c>
      <c r="D105" s="266">
        <v>85.64</v>
      </c>
      <c r="E105" s="266">
        <v>74.56</v>
      </c>
      <c r="F105" s="266">
        <v>66.25</v>
      </c>
      <c r="G105" s="266">
        <v>83.58</v>
      </c>
    </row>
    <row r="106" spans="2:7" ht="15.75" thickBot="1">
      <c r="B106" s="269" t="s">
        <v>156</v>
      </c>
      <c r="C106" s="270" t="s">
        <v>177</v>
      </c>
      <c r="D106" s="270">
        <v>82.41</v>
      </c>
      <c r="E106" s="270">
        <v>77.13</v>
      </c>
      <c r="F106" s="270">
        <v>67.67</v>
      </c>
      <c r="G106" s="270">
        <v>82.1</v>
      </c>
    </row>
    <row r="107" spans="2:7" ht="15.75" thickBot="1">
      <c r="B107" s="272" t="s">
        <v>154</v>
      </c>
      <c r="C107" s="273" t="s">
        <v>177</v>
      </c>
      <c r="D107" s="273">
        <v>77.09</v>
      </c>
      <c r="E107" s="273">
        <v>70.75</v>
      </c>
      <c r="F107" s="273">
        <v>63.56</v>
      </c>
      <c r="G107" s="273">
        <v>73.540000000000006</v>
      </c>
    </row>
    <row r="108" spans="2:7" ht="15.75" thickBot="1">
      <c r="B108" s="275" t="s">
        <v>630</v>
      </c>
      <c r="C108" s="276" t="s">
        <v>177</v>
      </c>
      <c r="D108" s="276">
        <v>82.77</v>
      </c>
      <c r="E108" s="276">
        <v>71.88</v>
      </c>
      <c r="F108" s="276">
        <v>65.02</v>
      </c>
      <c r="G108" s="276">
        <v>59.65</v>
      </c>
    </row>
    <row r="109" spans="2:7" ht="15.75" thickBot="1">
      <c r="B109" s="278" t="s">
        <v>631</v>
      </c>
      <c r="C109" s="279" t="s">
        <v>177</v>
      </c>
      <c r="D109" s="279">
        <v>81.09</v>
      </c>
      <c r="E109" s="279">
        <v>72.7</v>
      </c>
      <c r="F109" s="279">
        <v>67.010000000000005</v>
      </c>
      <c r="G109" s="279">
        <v>80</v>
      </c>
    </row>
    <row r="110" spans="2:7">
      <c r="B110" t="s">
        <v>632</v>
      </c>
      <c r="C110" s="281" t="s">
        <v>177</v>
      </c>
      <c r="D110" s="281">
        <v>81.95</v>
      </c>
      <c r="E110" s="281">
        <v>73.63</v>
      </c>
      <c r="F110" s="281">
        <v>65.900000000000006</v>
      </c>
      <c r="G110" s="281">
        <v>77.260000000000005</v>
      </c>
    </row>
    <row r="111" spans="2:7">
      <c r="B111" t="s">
        <v>633</v>
      </c>
      <c r="C111" s="282">
        <v>5</v>
      </c>
      <c r="D111" s="282">
        <v>34</v>
      </c>
      <c r="E111" s="282">
        <v>79</v>
      </c>
      <c r="F111" s="282">
        <v>409</v>
      </c>
      <c r="G111" s="282">
        <v>19</v>
      </c>
    </row>
    <row r="112" spans="2:7">
      <c r="B112" t="s">
        <v>634</v>
      </c>
      <c r="C112" s="283">
        <v>99.14</v>
      </c>
      <c r="D112" s="283">
        <v>83.43</v>
      </c>
      <c r="E112" s="283">
        <v>78.489999999999995</v>
      </c>
      <c r="F112" s="283">
        <v>70.23</v>
      </c>
      <c r="G112" s="283" t="s">
        <v>177</v>
      </c>
    </row>
    <row r="113" spans="2:7">
      <c r="B113" t="s">
        <v>635</v>
      </c>
      <c r="C113" s="284">
        <v>6</v>
      </c>
      <c r="D113" s="284">
        <v>36</v>
      </c>
      <c r="E113" s="284">
        <v>96</v>
      </c>
      <c r="F113" s="284">
        <v>458</v>
      </c>
      <c r="G113" s="284">
        <v>4</v>
      </c>
    </row>
    <row r="114" spans="2:7" ht="22.5">
      <c r="B114" t="s">
        <v>636</v>
      </c>
      <c r="C114" s="287" t="s">
        <v>329</v>
      </c>
      <c r="D114" s="287" t="s">
        <v>330</v>
      </c>
      <c r="E114" s="287" t="s">
        <v>331</v>
      </c>
      <c r="F114" s="287" t="s">
        <v>332</v>
      </c>
      <c r="G114" s="287" t="s">
        <v>333</v>
      </c>
    </row>
    <row r="115" spans="2:7">
      <c r="B115" t="s">
        <v>17</v>
      </c>
      <c r="C115" s="281">
        <v>68.66</v>
      </c>
      <c r="D115" s="281">
        <v>68.66</v>
      </c>
      <c r="E115" s="281">
        <v>68.66</v>
      </c>
      <c r="F115" s="281">
        <v>68.66</v>
      </c>
      <c r="G115" s="281">
        <v>68.66</v>
      </c>
    </row>
    <row r="116" spans="2:7">
      <c r="B116" t="s">
        <v>637</v>
      </c>
      <c r="C116" s="288" t="s">
        <v>177</v>
      </c>
      <c r="D116" s="288">
        <v>84.85</v>
      </c>
      <c r="E116" s="288">
        <v>73.08</v>
      </c>
      <c r="F116" s="288">
        <v>61.9</v>
      </c>
      <c r="G116" s="288">
        <v>84.21</v>
      </c>
    </row>
    <row r="165" spans="2:4" ht="15.75" thickBot="1">
      <c r="B165" s="268" t="s">
        <v>155</v>
      </c>
      <c r="C165" s="266">
        <v>69.12</v>
      </c>
      <c r="D165" s="266">
        <v>70.400000000000006</v>
      </c>
    </row>
    <row r="166" spans="2:4" ht="15.75" thickBot="1">
      <c r="B166" s="269" t="s">
        <v>156</v>
      </c>
      <c r="C166" s="270">
        <v>69.88</v>
      </c>
      <c r="D166" s="270">
        <v>72.09</v>
      </c>
    </row>
    <row r="167" spans="2:4" ht="15.75" thickBot="1">
      <c r="B167" s="272" t="s">
        <v>154</v>
      </c>
      <c r="C167" s="273">
        <v>66.58</v>
      </c>
      <c r="D167" s="273">
        <v>65.19</v>
      </c>
    </row>
    <row r="168" spans="2:4" ht="15.75" thickBot="1">
      <c r="B168" s="275" t="s">
        <v>630</v>
      </c>
      <c r="C168" s="276">
        <v>65.39</v>
      </c>
      <c r="D168" s="276">
        <v>70.290000000000006</v>
      </c>
    </row>
    <row r="169" spans="2:4" ht="15.75" thickBot="1">
      <c r="B169" s="278" t="s">
        <v>631</v>
      </c>
      <c r="C169" s="279">
        <v>67.599999999999994</v>
      </c>
      <c r="D169" s="279">
        <v>72.209999999999994</v>
      </c>
    </row>
    <row r="170" spans="2:4">
      <c r="B170" t="s">
        <v>632</v>
      </c>
      <c r="C170" s="281">
        <v>67.92</v>
      </c>
      <c r="D170" s="281">
        <v>69.959999999999994</v>
      </c>
    </row>
    <row r="171" spans="2:4">
      <c r="B171" t="s">
        <v>633</v>
      </c>
      <c r="C171" s="282">
        <v>346</v>
      </c>
      <c r="D171" s="282">
        <v>200</v>
      </c>
    </row>
    <row r="172" spans="2:4">
      <c r="B172" t="s">
        <v>634</v>
      </c>
      <c r="C172" s="283">
        <v>71.61</v>
      </c>
      <c r="D172" s="283">
        <v>74.44</v>
      </c>
    </row>
    <row r="173" spans="2:4">
      <c r="B173" t="s">
        <v>635</v>
      </c>
      <c r="C173" s="284">
        <v>380</v>
      </c>
      <c r="D173" s="284">
        <v>220</v>
      </c>
    </row>
    <row r="174" spans="2:4">
      <c r="B174" t="s">
        <v>636</v>
      </c>
      <c r="C174" s="287" t="s">
        <v>169</v>
      </c>
      <c r="D174" s="287" t="s">
        <v>170</v>
      </c>
    </row>
    <row r="175" spans="2:4">
      <c r="B175" t="s">
        <v>17</v>
      </c>
      <c r="C175" s="281">
        <v>68.66</v>
      </c>
      <c r="D175" s="281">
        <v>68.66</v>
      </c>
    </row>
    <row r="176" spans="2:4">
      <c r="B176" t="s">
        <v>637</v>
      </c>
      <c r="C176" s="288">
        <v>65.09</v>
      </c>
      <c r="D176" s="288">
        <v>67.86</v>
      </c>
    </row>
    <row r="225" spans="2:7" ht="15.75" thickBot="1">
      <c r="B225" s="268" t="s">
        <v>155</v>
      </c>
      <c r="C225" s="266">
        <v>78.599999999999994</v>
      </c>
      <c r="D225" s="266">
        <v>58.36</v>
      </c>
      <c r="E225" s="266">
        <v>73.680000000000007</v>
      </c>
      <c r="F225" s="266">
        <v>74.14</v>
      </c>
      <c r="G225" s="266">
        <v>76.87</v>
      </c>
    </row>
    <row r="226" spans="2:7" ht="15.75" thickBot="1">
      <c r="B226" s="269" t="s">
        <v>156</v>
      </c>
      <c r="C226" s="270">
        <v>78.05</v>
      </c>
      <c r="D226" s="270">
        <v>62.66</v>
      </c>
      <c r="E226" s="270">
        <v>74.22</v>
      </c>
      <c r="F226" s="270">
        <v>73.290000000000006</v>
      </c>
      <c r="G226" s="270">
        <v>73.260000000000005</v>
      </c>
    </row>
    <row r="227" spans="2:7" ht="15.75" thickBot="1">
      <c r="B227" s="272" t="s">
        <v>154</v>
      </c>
      <c r="C227" s="273">
        <v>70.03</v>
      </c>
      <c r="D227" s="273">
        <v>57.36</v>
      </c>
      <c r="E227" s="273">
        <v>69.459999999999994</v>
      </c>
      <c r="F227" s="273">
        <v>70.27</v>
      </c>
      <c r="G227" s="273">
        <v>68.75</v>
      </c>
    </row>
    <row r="228" spans="2:7" ht="15.75" thickBot="1">
      <c r="B228" s="275" t="s">
        <v>630</v>
      </c>
      <c r="C228" s="276">
        <v>58.81</v>
      </c>
      <c r="D228" s="276">
        <v>55.81</v>
      </c>
      <c r="E228" s="276">
        <v>72.540000000000006</v>
      </c>
      <c r="F228" s="276">
        <v>73.819999999999993</v>
      </c>
      <c r="G228" s="276">
        <v>71.430000000000007</v>
      </c>
    </row>
    <row r="229" spans="2:7" ht="15.75" thickBot="1">
      <c r="B229" s="278" t="s">
        <v>631</v>
      </c>
      <c r="C229" s="279">
        <v>77.2</v>
      </c>
      <c r="D229" s="279">
        <v>62.81</v>
      </c>
      <c r="E229" s="279">
        <v>72.349999999999994</v>
      </c>
      <c r="F229" s="279">
        <v>71.319999999999993</v>
      </c>
      <c r="G229" s="279">
        <v>67.14</v>
      </c>
    </row>
    <row r="230" spans="2:7">
      <c r="B230" t="s">
        <v>632</v>
      </c>
      <c r="C230" s="281">
        <v>73.83</v>
      </c>
      <c r="D230" s="281">
        <v>59.53</v>
      </c>
      <c r="E230" s="281">
        <v>72.44</v>
      </c>
      <c r="F230" s="281">
        <v>72.56</v>
      </c>
      <c r="G230" s="281">
        <v>71.7</v>
      </c>
    </row>
    <row r="231" spans="2:7">
      <c r="B231" t="s">
        <v>633</v>
      </c>
      <c r="C231" s="282">
        <v>25</v>
      </c>
      <c r="D231" s="282">
        <v>163</v>
      </c>
      <c r="E231" s="282">
        <v>209</v>
      </c>
      <c r="F231" s="282">
        <v>128</v>
      </c>
      <c r="G231" s="282">
        <v>21</v>
      </c>
    </row>
    <row r="232" spans="2:7">
      <c r="B232" t="s">
        <v>634</v>
      </c>
      <c r="C232" s="283">
        <v>70.98</v>
      </c>
      <c r="D232" s="283">
        <v>69.53</v>
      </c>
      <c r="E232" s="283">
        <v>75.62</v>
      </c>
      <c r="F232" s="283">
        <v>71.150000000000006</v>
      </c>
      <c r="G232" s="283">
        <v>77.040000000000006</v>
      </c>
    </row>
    <row r="233" spans="2:7">
      <c r="B233" t="s">
        <v>635</v>
      </c>
      <c r="C233" s="284">
        <v>12</v>
      </c>
      <c r="D233" s="284">
        <v>191</v>
      </c>
      <c r="E233" s="284">
        <v>248</v>
      </c>
      <c r="F233" s="284">
        <v>132</v>
      </c>
      <c r="G233" s="284">
        <v>17</v>
      </c>
    </row>
    <row r="234" spans="2:7" ht="22.5">
      <c r="B234" t="s">
        <v>636</v>
      </c>
      <c r="C234" s="287" t="s">
        <v>164</v>
      </c>
      <c r="D234" s="287" t="s">
        <v>165</v>
      </c>
      <c r="E234" s="287" t="s">
        <v>166</v>
      </c>
      <c r="F234" s="287" t="s">
        <v>167</v>
      </c>
      <c r="G234" s="287" t="s">
        <v>168</v>
      </c>
    </row>
    <row r="235" spans="2:7">
      <c r="B235" t="s">
        <v>17</v>
      </c>
      <c r="C235" s="281">
        <v>68.66</v>
      </c>
      <c r="D235" s="281">
        <v>68.66</v>
      </c>
      <c r="E235" s="281">
        <v>68.66</v>
      </c>
      <c r="F235" s="281">
        <v>68.66</v>
      </c>
      <c r="G235" s="281">
        <v>68.66</v>
      </c>
    </row>
    <row r="236" spans="2:7">
      <c r="B236" t="s">
        <v>637</v>
      </c>
      <c r="C236" s="288">
        <v>84</v>
      </c>
      <c r="D236" s="288">
        <v>57.86</v>
      </c>
      <c r="E236" s="288">
        <v>67.98</v>
      </c>
      <c r="F236" s="288">
        <v>70.63</v>
      </c>
      <c r="G236" s="288">
        <v>61.9</v>
      </c>
    </row>
    <row r="285" spans="2:7" ht="15.75" thickBot="1">
      <c r="B285" s="268" t="s">
        <v>155</v>
      </c>
      <c r="C285" s="266">
        <v>72.09</v>
      </c>
      <c r="D285" s="266">
        <v>66.86</v>
      </c>
      <c r="E285" s="266">
        <v>65.319999999999993</v>
      </c>
      <c r="F285" s="266">
        <v>71.78</v>
      </c>
      <c r="G285" s="266">
        <v>78.86</v>
      </c>
    </row>
    <row r="286" spans="2:7" ht="15.75" thickBot="1">
      <c r="B286" s="269" t="s">
        <v>156</v>
      </c>
      <c r="C286" s="270">
        <v>72.489999999999995</v>
      </c>
      <c r="D286" s="270">
        <v>69.510000000000005</v>
      </c>
      <c r="E286" s="270">
        <v>67.040000000000006</v>
      </c>
      <c r="F286" s="270">
        <v>69.86</v>
      </c>
      <c r="G286" s="270">
        <v>78.02</v>
      </c>
    </row>
    <row r="287" spans="2:7" ht="15.75" thickBot="1">
      <c r="B287" s="272" t="s">
        <v>154</v>
      </c>
      <c r="C287" s="273">
        <v>70.17</v>
      </c>
      <c r="D287" s="273">
        <v>63.37</v>
      </c>
      <c r="E287" s="273">
        <v>62.76</v>
      </c>
      <c r="F287" s="273">
        <v>68.44</v>
      </c>
      <c r="G287" s="273">
        <v>72.2</v>
      </c>
    </row>
    <row r="288" spans="2:7" ht="15.75" thickBot="1">
      <c r="B288" s="275" t="s">
        <v>630</v>
      </c>
      <c r="C288" s="276">
        <v>68.23</v>
      </c>
      <c r="D288" s="276">
        <v>64.459999999999994</v>
      </c>
      <c r="E288" s="276">
        <v>63.65</v>
      </c>
      <c r="F288" s="276">
        <v>71.23</v>
      </c>
      <c r="G288" s="276">
        <v>75.430000000000007</v>
      </c>
    </row>
    <row r="289" spans="2:7" ht="15.75" thickBot="1">
      <c r="B289" s="278" t="s">
        <v>631</v>
      </c>
      <c r="C289" s="279">
        <v>72.680000000000007</v>
      </c>
      <c r="D289" s="279">
        <v>66.510000000000005</v>
      </c>
      <c r="E289" s="279">
        <v>66.77</v>
      </c>
      <c r="F289" s="279">
        <v>70</v>
      </c>
      <c r="G289" s="279">
        <v>76.489999999999995</v>
      </c>
    </row>
    <row r="290" spans="2:7">
      <c r="B290" t="s">
        <v>632</v>
      </c>
      <c r="C290" s="281">
        <v>71.45</v>
      </c>
      <c r="D290" s="281">
        <v>66.28</v>
      </c>
      <c r="E290" s="281">
        <v>65.08</v>
      </c>
      <c r="F290" s="281">
        <v>70.23</v>
      </c>
      <c r="G290" s="281">
        <v>76.27</v>
      </c>
    </row>
    <row r="291" spans="2:7">
      <c r="B291" t="s">
        <v>633</v>
      </c>
      <c r="C291" s="282">
        <v>77</v>
      </c>
      <c r="D291" s="282">
        <v>214</v>
      </c>
      <c r="E291" s="282">
        <v>115</v>
      </c>
      <c r="F291" s="282">
        <v>61</v>
      </c>
      <c r="G291" s="282">
        <v>79</v>
      </c>
    </row>
    <row r="292" spans="2:7">
      <c r="B292" t="s">
        <v>634</v>
      </c>
      <c r="C292" s="283">
        <v>76.2</v>
      </c>
      <c r="D292" s="283">
        <v>74.25</v>
      </c>
      <c r="E292" s="283">
        <v>65.959999999999994</v>
      </c>
      <c r="F292" s="283">
        <v>76.19</v>
      </c>
      <c r="G292" s="283">
        <v>73.959999999999994</v>
      </c>
    </row>
    <row r="293" spans="2:7">
      <c r="B293" t="s">
        <v>635</v>
      </c>
      <c r="C293" s="284">
        <v>78</v>
      </c>
      <c r="D293" s="284">
        <v>213</v>
      </c>
      <c r="E293" s="284">
        <v>144</v>
      </c>
      <c r="F293" s="284">
        <v>57</v>
      </c>
      <c r="G293" s="284">
        <v>108</v>
      </c>
    </row>
    <row r="294" spans="2:7" ht="22.5">
      <c r="B294" t="s">
        <v>636</v>
      </c>
      <c r="C294" s="287" t="s">
        <v>334</v>
      </c>
      <c r="D294" s="287" t="s">
        <v>335</v>
      </c>
      <c r="E294" s="287" t="s">
        <v>336</v>
      </c>
      <c r="F294" s="287" t="s">
        <v>337</v>
      </c>
      <c r="G294" s="287" t="s">
        <v>338</v>
      </c>
    </row>
    <row r="295" spans="2:7">
      <c r="B295" t="s">
        <v>17</v>
      </c>
      <c r="C295" s="281">
        <v>68.66</v>
      </c>
      <c r="D295" s="281">
        <v>68.66</v>
      </c>
      <c r="E295" s="281">
        <v>68.66</v>
      </c>
      <c r="F295" s="281">
        <v>68.66</v>
      </c>
      <c r="G295" s="281">
        <v>68.66</v>
      </c>
    </row>
    <row r="296" spans="2:7">
      <c r="B296" t="s">
        <v>637</v>
      </c>
      <c r="C296" s="288">
        <v>77.63</v>
      </c>
      <c r="D296" s="288">
        <v>63.59</v>
      </c>
      <c r="E296" s="288">
        <v>58.41</v>
      </c>
      <c r="F296" s="288">
        <v>68.849999999999994</v>
      </c>
      <c r="G296" s="288">
        <v>70.510000000000005</v>
      </c>
    </row>
    <row r="345" spans="2:4" ht="15.75" thickBot="1">
      <c r="B345" s="268" t="s">
        <v>155</v>
      </c>
      <c r="C345" s="266">
        <v>69.150000000000006</v>
      </c>
      <c r="D345" s="266">
        <v>80.83</v>
      </c>
    </row>
    <row r="346" spans="2:4" ht="15.75" thickBot="1">
      <c r="B346" s="269" t="s">
        <v>156</v>
      </c>
      <c r="C346" s="270">
        <v>70.34</v>
      </c>
      <c r="D346" s="270">
        <v>79.88</v>
      </c>
    </row>
    <row r="347" spans="2:4" ht="15.75" thickBot="1">
      <c r="B347" s="272" t="s">
        <v>154</v>
      </c>
      <c r="C347" s="273">
        <v>65.87</v>
      </c>
      <c r="D347" s="273">
        <v>71.44</v>
      </c>
    </row>
    <row r="348" spans="2:4" ht="15.75" thickBot="1">
      <c r="B348" s="275" t="s">
        <v>630</v>
      </c>
      <c r="C348" s="276">
        <v>67.540000000000006</v>
      </c>
      <c r="D348" s="276">
        <v>57.89</v>
      </c>
    </row>
    <row r="349" spans="2:4" ht="15.75" thickBot="1">
      <c r="B349" s="278" t="s">
        <v>631</v>
      </c>
      <c r="C349" s="279">
        <v>68.95</v>
      </c>
      <c r="D349" s="279">
        <v>78</v>
      </c>
    </row>
    <row r="350" spans="2:4">
      <c r="B350" t="s">
        <v>632</v>
      </c>
      <c r="C350" s="281">
        <v>68.42</v>
      </c>
      <c r="D350" s="281">
        <v>75.09</v>
      </c>
    </row>
    <row r="351" spans="2:4">
      <c r="B351" t="s">
        <v>633</v>
      </c>
      <c r="C351" s="282">
        <v>526</v>
      </c>
      <c r="D351" s="282">
        <v>20</v>
      </c>
    </row>
    <row r="352" spans="2:4">
      <c r="B352" t="s">
        <v>634</v>
      </c>
      <c r="C352" s="283">
        <v>72.680000000000007</v>
      </c>
      <c r="D352" s="283">
        <v>70.2</v>
      </c>
    </row>
    <row r="353" spans="2:4">
      <c r="B353" t="s">
        <v>635</v>
      </c>
      <c r="C353" s="284">
        <v>593</v>
      </c>
      <c r="D353" s="284">
        <v>7</v>
      </c>
    </row>
    <row r="354" spans="2:4" ht="22.5">
      <c r="B354" t="s">
        <v>636</v>
      </c>
      <c r="C354" s="287" t="s">
        <v>339</v>
      </c>
      <c r="D354" s="287" t="s">
        <v>340</v>
      </c>
    </row>
    <row r="355" spans="2:4">
      <c r="B355" t="s">
        <v>17</v>
      </c>
      <c r="C355" s="281">
        <v>68.66</v>
      </c>
      <c r="D355" s="281">
        <v>68.66</v>
      </c>
    </row>
    <row r="356" spans="2:4">
      <c r="B356" t="s">
        <v>637</v>
      </c>
      <c r="C356" s="288">
        <v>65.37</v>
      </c>
      <c r="D356" s="288">
        <v>85</v>
      </c>
    </row>
    <row r="405" spans="2:6" ht="15.75" thickBot="1">
      <c r="B405" s="268" t="s">
        <v>155</v>
      </c>
      <c r="C405" s="266">
        <v>85.24</v>
      </c>
      <c r="D405" s="266">
        <v>74.47</v>
      </c>
      <c r="E405" s="266">
        <v>59.55</v>
      </c>
      <c r="F405" s="266">
        <v>45.68</v>
      </c>
    </row>
    <row r="406" spans="2:6" ht="15.75" thickBot="1">
      <c r="B406" s="269" t="s">
        <v>156</v>
      </c>
      <c r="C406" s="270">
        <v>83.62</v>
      </c>
      <c r="D406" s="270">
        <v>73.55</v>
      </c>
      <c r="E406" s="270">
        <v>62.15</v>
      </c>
      <c r="F406" s="270">
        <v>53.66</v>
      </c>
    </row>
    <row r="407" spans="2:6" ht="15.75" thickBot="1">
      <c r="B407" s="272" t="s">
        <v>154</v>
      </c>
      <c r="C407" s="273">
        <v>78.180000000000007</v>
      </c>
      <c r="D407" s="273">
        <v>68.47</v>
      </c>
      <c r="E407" s="273">
        <v>59.74</v>
      </c>
      <c r="F407" s="273">
        <v>47.13</v>
      </c>
    </row>
    <row r="408" spans="2:6" ht="15.75" thickBot="1">
      <c r="B408" s="275" t="s">
        <v>630</v>
      </c>
      <c r="C408" s="276">
        <v>81.510000000000005</v>
      </c>
      <c r="D408" s="276">
        <v>70.599999999999994</v>
      </c>
      <c r="E408" s="276">
        <v>59.22</v>
      </c>
      <c r="F408" s="276">
        <v>46.96</v>
      </c>
    </row>
    <row r="409" spans="2:6" ht="15.75" thickBot="1">
      <c r="B409" s="278" t="s">
        <v>631</v>
      </c>
      <c r="C409" s="279">
        <v>81.819999999999993</v>
      </c>
      <c r="D409" s="279">
        <v>73.459999999999994</v>
      </c>
      <c r="E409" s="279">
        <v>61.19</v>
      </c>
      <c r="F409" s="279">
        <v>51.38</v>
      </c>
    </row>
    <row r="410" spans="2:6">
      <c r="B410" t="s">
        <v>632</v>
      </c>
      <c r="C410" s="281">
        <v>82.22</v>
      </c>
      <c r="D410" s="281">
        <v>72.290000000000006</v>
      </c>
      <c r="E410" s="281">
        <v>60.39</v>
      </c>
      <c r="F410" s="281">
        <v>48.85</v>
      </c>
    </row>
    <row r="411" spans="2:6">
      <c r="B411" t="s">
        <v>633</v>
      </c>
      <c r="C411" s="282">
        <v>187</v>
      </c>
      <c r="D411" s="282">
        <v>105</v>
      </c>
      <c r="E411" s="282">
        <v>137</v>
      </c>
      <c r="F411" s="282">
        <v>83</v>
      </c>
    </row>
    <row r="412" spans="2:6">
      <c r="B412" t="s">
        <v>634</v>
      </c>
      <c r="C412" s="283">
        <v>82.53</v>
      </c>
      <c r="D412" s="283">
        <v>75.45</v>
      </c>
      <c r="E412" s="283">
        <v>65.260000000000005</v>
      </c>
      <c r="F412" s="283">
        <v>55.45</v>
      </c>
    </row>
    <row r="413" spans="2:6">
      <c r="B413" t="s">
        <v>635</v>
      </c>
      <c r="C413" s="284">
        <v>220</v>
      </c>
      <c r="D413" s="284">
        <v>132</v>
      </c>
      <c r="E413" s="284">
        <v>162</v>
      </c>
      <c r="F413" s="284">
        <v>67</v>
      </c>
    </row>
    <row r="414" spans="2:6">
      <c r="B414" t="s">
        <v>636</v>
      </c>
      <c r="C414" s="287" t="s">
        <v>171</v>
      </c>
      <c r="D414" s="287" t="s">
        <v>172</v>
      </c>
      <c r="E414" s="287" t="s">
        <v>173</v>
      </c>
      <c r="F414" s="287" t="s">
        <v>174</v>
      </c>
    </row>
    <row r="415" spans="2:6">
      <c r="B415" t="s">
        <v>17</v>
      </c>
      <c r="C415" s="281">
        <v>68.66</v>
      </c>
      <c r="D415" s="281">
        <v>68.66</v>
      </c>
      <c r="E415" s="281">
        <v>68.66</v>
      </c>
      <c r="F415" s="281">
        <v>68.66</v>
      </c>
    </row>
    <row r="416" spans="2:6">
      <c r="B416" t="s">
        <v>637</v>
      </c>
      <c r="C416" s="288">
        <v>79.680000000000007</v>
      </c>
      <c r="D416" s="288">
        <v>73.33</v>
      </c>
      <c r="E416" s="288">
        <v>58.39</v>
      </c>
      <c r="F416" s="288">
        <v>40.96</v>
      </c>
    </row>
    <row r="465" spans="2:9" ht="15.75" thickBot="1">
      <c r="B465" s="268" t="s">
        <v>155</v>
      </c>
      <c r="C465" s="266">
        <v>48.98</v>
      </c>
      <c r="D465" s="266">
        <v>76.430000000000007</v>
      </c>
      <c r="E465" s="266">
        <v>49.46</v>
      </c>
      <c r="F465" s="266" t="s">
        <v>177</v>
      </c>
      <c r="G465" s="266" t="s">
        <v>177</v>
      </c>
      <c r="H465" s="266">
        <v>49.01</v>
      </c>
      <c r="I465" s="266" t="s">
        <v>177</v>
      </c>
    </row>
    <row r="466" spans="2:9" ht="15.75" thickBot="1">
      <c r="B466" s="269" t="s">
        <v>156</v>
      </c>
      <c r="C466" s="270">
        <v>54.95</v>
      </c>
      <c r="D466" s="270">
        <v>70.510000000000005</v>
      </c>
      <c r="E466" s="270">
        <v>58.99</v>
      </c>
      <c r="F466" s="270" t="s">
        <v>177</v>
      </c>
      <c r="G466" s="270" t="s">
        <v>177</v>
      </c>
      <c r="H466" s="270">
        <v>54.19</v>
      </c>
      <c r="I466" s="270" t="s">
        <v>177</v>
      </c>
    </row>
    <row r="467" spans="2:9" ht="15.75" thickBot="1">
      <c r="B467" s="272" t="s">
        <v>154</v>
      </c>
      <c r="C467" s="273">
        <v>50.79</v>
      </c>
      <c r="D467" s="273">
        <v>58.33</v>
      </c>
      <c r="E467" s="273">
        <v>48.37</v>
      </c>
      <c r="F467" s="273" t="s">
        <v>177</v>
      </c>
      <c r="G467" s="273" t="s">
        <v>177</v>
      </c>
      <c r="H467" s="273">
        <v>50</v>
      </c>
      <c r="I467" s="273" t="s">
        <v>177</v>
      </c>
    </row>
    <row r="468" spans="2:9" ht="15.75" thickBot="1">
      <c r="B468" s="275" t="s">
        <v>630</v>
      </c>
      <c r="C468" s="276">
        <v>53.57</v>
      </c>
      <c r="D468" s="276">
        <v>72.92</v>
      </c>
      <c r="E468" s="276">
        <v>49.1</v>
      </c>
      <c r="F468" s="276" t="s">
        <v>177</v>
      </c>
      <c r="G468" s="276" t="s">
        <v>177</v>
      </c>
      <c r="H468" s="276">
        <v>53.77</v>
      </c>
      <c r="I468" s="276" t="s">
        <v>177</v>
      </c>
    </row>
    <row r="469" spans="2:9" ht="15.75" thickBot="1">
      <c r="B469" s="278" t="s">
        <v>631</v>
      </c>
      <c r="C469" s="279">
        <v>63.81</v>
      </c>
      <c r="D469" s="279">
        <v>70</v>
      </c>
      <c r="E469" s="279">
        <v>50.09</v>
      </c>
      <c r="F469" s="279" t="s">
        <v>177</v>
      </c>
      <c r="G469" s="279" t="s">
        <v>177</v>
      </c>
      <c r="H469" s="279">
        <v>56.35</v>
      </c>
      <c r="I469" s="279" t="s">
        <v>177</v>
      </c>
    </row>
    <row r="470" spans="2:9">
      <c r="B470" t="s">
        <v>632</v>
      </c>
      <c r="C470" s="281">
        <v>53.78</v>
      </c>
      <c r="D470" s="281">
        <v>69.599999999999994</v>
      </c>
      <c r="E470" s="281">
        <v>51.49</v>
      </c>
      <c r="F470" s="281" t="s">
        <v>177</v>
      </c>
      <c r="G470" s="281" t="s">
        <v>177</v>
      </c>
      <c r="H470" s="281">
        <v>52.19</v>
      </c>
      <c r="I470" s="281" t="s">
        <v>177</v>
      </c>
    </row>
    <row r="471" spans="2:9">
      <c r="B471" t="s">
        <v>633</v>
      </c>
      <c r="C471" s="282">
        <v>7</v>
      </c>
      <c r="D471" s="282">
        <v>6</v>
      </c>
      <c r="E471" s="282">
        <v>54</v>
      </c>
      <c r="F471" s="282">
        <v>5</v>
      </c>
      <c r="G471" s="282">
        <v>5</v>
      </c>
      <c r="H471" s="282">
        <v>41</v>
      </c>
      <c r="I471" s="282">
        <v>3</v>
      </c>
    </row>
    <row r="472" spans="2:9">
      <c r="B472" t="s">
        <v>634</v>
      </c>
      <c r="C472" s="283">
        <v>57.47</v>
      </c>
      <c r="D472" s="283">
        <v>54.46</v>
      </c>
      <c r="E472" s="283">
        <v>61.25</v>
      </c>
      <c r="F472" s="283" t="s">
        <v>177</v>
      </c>
      <c r="G472" s="283" t="s">
        <v>177</v>
      </c>
      <c r="H472" s="283">
        <v>63.07</v>
      </c>
      <c r="I472" s="283" t="s">
        <v>177</v>
      </c>
    </row>
    <row r="473" spans="2:9">
      <c r="B473" t="s">
        <v>635</v>
      </c>
      <c r="C473" s="284">
        <v>9</v>
      </c>
      <c r="D473" s="284">
        <v>61</v>
      </c>
      <c r="E473" s="284">
        <v>35</v>
      </c>
      <c r="F473" s="284">
        <v>2</v>
      </c>
      <c r="G473" s="284">
        <v>3</v>
      </c>
      <c r="H473" s="284">
        <v>41</v>
      </c>
      <c r="I473" s="284">
        <v>5</v>
      </c>
    </row>
    <row r="474" spans="2:9" ht="45">
      <c r="B474" t="s">
        <v>636</v>
      </c>
      <c r="C474" s="155" t="s">
        <v>322</v>
      </c>
      <c r="D474" s="155" t="s">
        <v>323</v>
      </c>
      <c r="E474" s="155" t="s">
        <v>341</v>
      </c>
      <c r="F474" s="155" t="s">
        <v>342</v>
      </c>
      <c r="G474" s="155" t="s">
        <v>343</v>
      </c>
      <c r="H474" s="155" t="s">
        <v>344</v>
      </c>
      <c r="I474" s="155" t="s">
        <v>345</v>
      </c>
    </row>
    <row r="475" spans="2:9">
      <c r="B475" t="s">
        <v>17</v>
      </c>
      <c r="C475" s="281">
        <v>68.66</v>
      </c>
      <c r="D475" s="281">
        <v>68.66</v>
      </c>
      <c r="E475" s="281">
        <v>68.66</v>
      </c>
      <c r="F475" s="281">
        <v>68.66</v>
      </c>
      <c r="G475" s="281">
        <v>68.66</v>
      </c>
      <c r="H475" s="281">
        <v>68.66</v>
      </c>
      <c r="I475" s="281">
        <v>68.66</v>
      </c>
    </row>
    <row r="476" spans="2:9">
      <c r="B476" t="s">
        <v>637</v>
      </c>
      <c r="C476" s="288">
        <v>42.86</v>
      </c>
      <c r="D476" s="288">
        <v>66.67</v>
      </c>
      <c r="E476" s="288">
        <v>52.94</v>
      </c>
      <c r="F476" s="288" t="s">
        <v>177</v>
      </c>
      <c r="G476" s="288" t="s">
        <v>177</v>
      </c>
      <c r="H476" s="288">
        <v>42.51</v>
      </c>
      <c r="I476" s="288" t="s">
        <v>177</v>
      </c>
    </row>
    <row r="525" spans="2:9" ht="15.75" thickBot="1">
      <c r="B525" s="268" t="s">
        <v>155</v>
      </c>
      <c r="C525" s="266">
        <v>85.59</v>
      </c>
      <c r="D525" s="266">
        <v>73.02</v>
      </c>
      <c r="E525" s="266">
        <v>87.98</v>
      </c>
      <c r="F525" s="266" t="s">
        <v>177</v>
      </c>
      <c r="G525" s="266" t="s">
        <v>177</v>
      </c>
      <c r="H525" s="266">
        <v>89.8</v>
      </c>
      <c r="I525" s="266">
        <v>60.51</v>
      </c>
    </row>
    <row r="526" spans="2:9" ht="15.75" thickBot="1">
      <c r="B526" s="269" t="s">
        <v>156</v>
      </c>
      <c r="C526" s="270">
        <v>83.77</v>
      </c>
      <c r="D526" s="270">
        <v>73.709999999999994</v>
      </c>
      <c r="E526" s="270">
        <v>80.48</v>
      </c>
      <c r="F526" s="270" t="s">
        <v>177</v>
      </c>
      <c r="G526" s="270" t="s">
        <v>177</v>
      </c>
      <c r="H526" s="270">
        <v>82.42</v>
      </c>
      <c r="I526" s="270">
        <v>62.44</v>
      </c>
    </row>
    <row r="527" spans="2:9" ht="15.75" thickBot="1">
      <c r="B527" s="272" t="s">
        <v>154</v>
      </c>
      <c r="C527" s="273">
        <v>79.92</v>
      </c>
      <c r="D527" s="273">
        <v>70.569999999999993</v>
      </c>
      <c r="E527" s="273">
        <v>75.2</v>
      </c>
      <c r="F527" s="273" t="s">
        <v>177</v>
      </c>
      <c r="G527" s="273" t="s">
        <v>177</v>
      </c>
      <c r="H527" s="273">
        <v>72.819999999999993</v>
      </c>
      <c r="I527" s="273">
        <v>59.31</v>
      </c>
    </row>
    <row r="528" spans="2:9" ht="15.75" thickBot="1">
      <c r="B528" s="275" t="s">
        <v>630</v>
      </c>
      <c r="C528" s="276">
        <v>80.17</v>
      </c>
      <c r="D528" s="276">
        <v>69.489999999999995</v>
      </c>
      <c r="E528" s="276">
        <v>78.959999999999994</v>
      </c>
      <c r="F528" s="276" t="s">
        <v>177</v>
      </c>
      <c r="G528" s="276" t="s">
        <v>177</v>
      </c>
      <c r="H528" s="276">
        <v>71.430000000000007</v>
      </c>
      <c r="I528" s="276">
        <v>57.35</v>
      </c>
    </row>
    <row r="529" spans="2:9" ht="15.75" thickBot="1">
      <c r="B529" s="278" t="s">
        <v>631</v>
      </c>
      <c r="C529" s="279">
        <v>81.650000000000006</v>
      </c>
      <c r="D529" s="279">
        <v>76.489999999999995</v>
      </c>
      <c r="E529" s="279">
        <v>74.150000000000006</v>
      </c>
      <c r="F529" s="279" t="s">
        <v>177</v>
      </c>
      <c r="G529" s="279" t="s">
        <v>177</v>
      </c>
      <c r="H529" s="279">
        <v>82.86</v>
      </c>
      <c r="I529" s="279">
        <v>56.47</v>
      </c>
    </row>
    <row r="530" spans="2:9">
      <c r="B530" t="s">
        <v>632</v>
      </c>
      <c r="C530" s="281">
        <v>82.58</v>
      </c>
      <c r="D530" s="281">
        <v>72.69</v>
      </c>
      <c r="E530" s="281">
        <v>79.94</v>
      </c>
      <c r="F530" s="281" t="s">
        <v>177</v>
      </c>
      <c r="G530" s="281" t="s">
        <v>177</v>
      </c>
      <c r="H530" s="281">
        <v>80.58</v>
      </c>
      <c r="I530" s="281">
        <v>59.53</v>
      </c>
    </row>
    <row r="531" spans="2:9">
      <c r="B531" t="s">
        <v>633</v>
      </c>
      <c r="C531" s="282">
        <v>22</v>
      </c>
      <c r="D531" s="282">
        <v>157</v>
      </c>
      <c r="E531" s="282">
        <v>41</v>
      </c>
      <c r="F531" s="282">
        <v>5</v>
      </c>
      <c r="G531" s="282">
        <v>4</v>
      </c>
      <c r="H531" s="282">
        <v>7</v>
      </c>
      <c r="I531" s="282">
        <v>17</v>
      </c>
    </row>
    <row r="532" spans="2:9">
      <c r="B532" t="s">
        <v>634</v>
      </c>
      <c r="C532" s="283">
        <v>87.6</v>
      </c>
      <c r="D532" s="283">
        <v>80.55</v>
      </c>
      <c r="E532" s="283">
        <v>76.48</v>
      </c>
      <c r="F532" s="283" t="s">
        <v>177</v>
      </c>
      <c r="G532" s="283" t="s">
        <v>177</v>
      </c>
      <c r="H532" s="283">
        <v>88.89</v>
      </c>
      <c r="I532" s="283">
        <v>76.92</v>
      </c>
    </row>
    <row r="533" spans="2:9">
      <c r="B533" t="s">
        <v>635</v>
      </c>
      <c r="C533" s="284">
        <v>21</v>
      </c>
      <c r="D533" s="284">
        <v>169</v>
      </c>
      <c r="E533" s="284">
        <v>47</v>
      </c>
      <c r="F533" s="284">
        <v>4</v>
      </c>
      <c r="G533" s="284">
        <v>5</v>
      </c>
      <c r="H533" s="284">
        <v>9</v>
      </c>
      <c r="I533" s="284">
        <v>12</v>
      </c>
    </row>
    <row r="534" spans="2:9" ht="45">
      <c r="B534" t="s">
        <v>636</v>
      </c>
      <c r="C534" s="155" t="s">
        <v>346</v>
      </c>
      <c r="D534" s="155" t="s">
        <v>347</v>
      </c>
      <c r="E534" s="155" t="s">
        <v>348</v>
      </c>
      <c r="F534" s="155" t="s">
        <v>349</v>
      </c>
      <c r="G534" s="155" t="s">
        <v>350</v>
      </c>
      <c r="H534" s="155" t="s">
        <v>351</v>
      </c>
      <c r="I534" s="155" t="s">
        <v>352</v>
      </c>
    </row>
    <row r="535" spans="2:9">
      <c r="B535" t="s">
        <v>17</v>
      </c>
      <c r="C535" s="281">
        <v>68.66</v>
      </c>
      <c r="D535" s="281">
        <v>68.66</v>
      </c>
      <c r="E535" s="281">
        <v>68.66</v>
      </c>
      <c r="F535" s="281">
        <v>68.66</v>
      </c>
      <c r="G535" s="281">
        <v>68.66</v>
      </c>
      <c r="H535" s="281">
        <v>68.66</v>
      </c>
      <c r="I535" s="281">
        <v>68.66</v>
      </c>
    </row>
    <row r="536" spans="2:9">
      <c r="B536" t="s">
        <v>637</v>
      </c>
      <c r="C536" s="288">
        <v>85.71</v>
      </c>
      <c r="D536" s="288">
        <v>67.95</v>
      </c>
      <c r="E536" s="288">
        <v>82.93</v>
      </c>
      <c r="F536" s="288" t="s">
        <v>177</v>
      </c>
      <c r="G536" s="288" t="s">
        <v>177</v>
      </c>
      <c r="H536" s="288">
        <v>71.430000000000007</v>
      </c>
      <c r="I536" s="288">
        <v>58.82</v>
      </c>
    </row>
    <row r="585" spans="2:9" ht="15.75" thickBot="1">
      <c r="B585" s="268" t="s">
        <v>155</v>
      </c>
      <c r="C585" s="266" t="s">
        <v>177</v>
      </c>
      <c r="D585" s="266" t="s">
        <v>177</v>
      </c>
      <c r="E585" s="266">
        <v>76.2</v>
      </c>
      <c r="F585" s="266" t="s">
        <v>177</v>
      </c>
      <c r="G585" s="266">
        <v>72.62</v>
      </c>
      <c r="H585" s="266">
        <v>65.48</v>
      </c>
      <c r="I585" s="266">
        <v>59.21</v>
      </c>
    </row>
    <row r="586" spans="2:9" ht="15.75" thickBot="1">
      <c r="B586" s="269" t="s">
        <v>156</v>
      </c>
      <c r="C586" s="270" t="s">
        <v>177</v>
      </c>
      <c r="D586" s="270" t="s">
        <v>177</v>
      </c>
      <c r="E586" s="270">
        <v>74.12</v>
      </c>
      <c r="F586" s="270" t="s">
        <v>177</v>
      </c>
      <c r="G586" s="270">
        <v>80.45</v>
      </c>
      <c r="H586" s="270">
        <v>75.64</v>
      </c>
      <c r="I586" s="270">
        <v>61.92</v>
      </c>
    </row>
    <row r="587" spans="2:9" ht="15.75" thickBot="1">
      <c r="B587" s="272" t="s">
        <v>154</v>
      </c>
      <c r="C587" s="273" t="s">
        <v>177</v>
      </c>
      <c r="D587" s="273" t="s">
        <v>177</v>
      </c>
      <c r="E587" s="273">
        <v>71.989999999999995</v>
      </c>
      <c r="F587" s="273" t="s">
        <v>177</v>
      </c>
      <c r="G587" s="273">
        <v>68.87</v>
      </c>
      <c r="H587" s="273">
        <v>72.22</v>
      </c>
      <c r="I587" s="273">
        <v>58.99</v>
      </c>
    </row>
    <row r="588" spans="2:9" ht="15.75" thickBot="1">
      <c r="B588" s="275" t="s">
        <v>630</v>
      </c>
      <c r="C588" s="276" t="s">
        <v>177</v>
      </c>
      <c r="D588" s="276" t="s">
        <v>177</v>
      </c>
      <c r="E588" s="276">
        <v>73.37</v>
      </c>
      <c r="F588" s="276" t="s">
        <v>177</v>
      </c>
      <c r="G588" s="276">
        <v>76.040000000000006</v>
      </c>
      <c r="H588" s="276">
        <v>81.25</v>
      </c>
      <c r="I588" s="276">
        <v>62.7</v>
      </c>
    </row>
    <row r="589" spans="2:9" ht="15.75" thickBot="1">
      <c r="B589" s="278" t="s">
        <v>631</v>
      </c>
      <c r="C589" s="279" t="s">
        <v>177</v>
      </c>
      <c r="D589" s="279" t="s">
        <v>177</v>
      </c>
      <c r="E589" s="279">
        <v>72.12</v>
      </c>
      <c r="F589" s="279" t="s">
        <v>177</v>
      </c>
      <c r="G589" s="279">
        <v>85.56</v>
      </c>
      <c r="H589" s="279">
        <v>66.67</v>
      </c>
      <c r="I589" s="279">
        <v>62.89</v>
      </c>
    </row>
    <row r="590" spans="2:9">
      <c r="B590" t="s">
        <v>632</v>
      </c>
      <c r="C590" s="281" t="s">
        <v>177</v>
      </c>
      <c r="D590" s="281" t="s">
        <v>177</v>
      </c>
      <c r="E590" s="281">
        <v>73.709999999999994</v>
      </c>
      <c r="F590" s="281" t="s">
        <v>177</v>
      </c>
      <c r="G590" s="281">
        <v>76.13</v>
      </c>
      <c r="H590" s="281">
        <v>72.13</v>
      </c>
      <c r="I590" s="281">
        <v>60.86</v>
      </c>
    </row>
    <row r="591" spans="2:9">
      <c r="B591" t="s">
        <v>633</v>
      </c>
      <c r="C591" s="282">
        <v>5</v>
      </c>
      <c r="D591" s="282">
        <v>2</v>
      </c>
      <c r="E591" s="282">
        <v>110</v>
      </c>
      <c r="F591" s="282">
        <v>2</v>
      </c>
      <c r="G591" s="282">
        <v>9</v>
      </c>
      <c r="H591" s="282">
        <v>6</v>
      </c>
      <c r="I591" s="282">
        <v>38</v>
      </c>
    </row>
    <row r="592" spans="2:9">
      <c r="B592" t="s">
        <v>634</v>
      </c>
      <c r="C592" s="283" t="s">
        <v>177</v>
      </c>
      <c r="D592" s="283" t="s">
        <v>177</v>
      </c>
      <c r="E592" s="283">
        <v>75.38</v>
      </c>
      <c r="F592" s="283" t="s">
        <v>177</v>
      </c>
      <c r="G592" s="283">
        <v>77.62</v>
      </c>
      <c r="H592" s="283">
        <v>76.150000000000006</v>
      </c>
      <c r="I592" s="283">
        <v>68.61</v>
      </c>
    </row>
    <row r="593" spans="2:9">
      <c r="B593" t="s">
        <v>635</v>
      </c>
      <c r="C593" s="284">
        <v>5</v>
      </c>
      <c r="D593" s="284">
        <v>1</v>
      </c>
      <c r="E593" s="284">
        <v>126</v>
      </c>
      <c r="F593" s="284">
        <v>1</v>
      </c>
      <c r="G593" s="284">
        <v>10</v>
      </c>
      <c r="H593" s="284">
        <v>6</v>
      </c>
      <c r="I593" s="284">
        <v>37</v>
      </c>
    </row>
    <row r="594" spans="2:9" ht="22.5">
      <c r="B594" t="s">
        <v>636</v>
      </c>
      <c r="C594" s="155" t="s">
        <v>353</v>
      </c>
      <c r="D594" s="155" t="s">
        <v>354</v>
      </c>
      <c r="E594" s="155" t="s">
        <v>355</v>
      </c>
      <c r="F594" s="155" t="s">
        <v>356</v>
      </c>
      <c r="G594" s="155" t="s">
        <v>357</v>
      </c>
      <c r="H594" s="155" t="s">
        <v>358</v>
      </c>
      <c r="I594" s="155" t="s">
        <v>359</v>
      </c>
    </row>
    <row r="595" spans="2:9">
      <c r="B595" t="s">
        <v>17</v>
      </c>
      <c r="C595" s="281">
        <v>68.66</v>
      </c>
      <c r="D595" s="281">
        <v>68.66</v>
      </c>
      <c r="E595" s="281">
        <v>68.66</v>
      </c>
      <c r="F595" s="281">
        <v>68.66</v>
      </c>
      <c r="G595" s="281">
        <v>68.66</v>
      </c>
      <c r="H595" s="281">
        <v>68.66</v>
      </c>
      <c r="I595" s="281">
        <v>68.66</v>
      </c>
    </row>
    <row r="596" spans="2:9">
      <c r="B596" t="s">
        <v>637</v>
      </c>
      <c r="C596" s="288" t="s">
        <v>177</v>
      </c>
      <c r="D596" s="288" t="s">
        <v>177</v>
      </c>
      <c r="E596" s="288">
        <v>72.64</v>
      </c>
      <c r="F596" s="288" t="s">
        <v>177</v>
      </c>
      <c r="G596" s="288">
        <v>62.51</v>
      </c>
      <c r="H596" s="288">
        <v>100</v>
      </c>
      <c r="I596" s="288">
        <v>57.89</v>
      </c>
    </row>
    <row r="645" spans="2:4" ht="15.75" thickBot="1">
      <c r="B645" s="268" t="s">
        <v>155</v>
      </c>
      <c r="C645" s="266" t="s">
        <v>177</v>
      </c>
      <c r="D645" s="266">
        <v>46.43</v>
      </c>
    </row>
    <row r="646" spans="2:4" ht="15.75" thickBot="1">
      <c r="B646" s="269" t="s">
        <v>156</v>
      </c>
      <c r="C646" s="270" t="s">
        <v>177</v>
      </c>
      <c r="D646" s="270">
        <v>52.56</v>
      </c>
    </row>
    <row r="647" spans="2:4" ht="15.75" thickBot="1">
      <c r="B647" s="272" t="s">
        <v>154</v>
      </c>
      <c r="C647" s="273" t="s">
        <v>177</v>
      </c>
      <c r="D647" s="273">
        <v>49.44</v>
      </c>
    </row>
    <row r="648" spans="2:4" ht="15.75" thickBot="1">
      <c r="B648" s="275" t="s">
        <v>630</v>
      </c>
      <c r="C648" s="276" t="s">
        <v>177</v>
      </c>
      <c r="D648" s="276">
        <v>45.83</v>
      </c>
    </row>
    <row r="649" spans="2:4" ht="15.75" thickBot="1">
      <c r="B649" s="278" t="s">
        <v>631</v>
      </c>
      <c r="C649" s="279" t="s">
        <v>177</v>
      </c>
      <c r="D649" s="279">
        <v>57.67</v>
      </c>
    </row>
    <row r="650" spans="2:4">
      <c r="B650" t="s">
        <v>632</v>
      </c>
      <c r="C650" s="281" t="s">
        <v>177</v>
      </c>
      <c r="D650" s="281">
        <v>50.06</v>
      </c>
    </row>
    <row r="651" spans="2:4">
      <c r="B651" t="s">
        <v>633</v>
      </c>
      <c r="C651" s="282">
        <v>1</v>
      </c>
      <c r="D651" s="282">
        <v>6</v>
      </c>
    </row>
    <row r="652" spans="2:4">
      <c r="B652" t="s">
        <v>634</v>
      </c>
      <c r="C652" s="283" t="s">
        <v>177</v>
      </c>
      <c r="D652" s="283">
        <v>59.05</v>
      </c>
    </row>
    <row r="653" spans="2:4">
      <c r="B653" t="s">
        <v>635</v>
      </c>
      <c r="C653" s="284">
        <v>1</v>
      </c>
      <c r="D653" s="284">
        <v>8</v>
      </c>
    </row>
    <row r="654" spans="2:4" ht="56.25">
      <c r="B654" t="s">
        <v>636</v>
      </c>
      <c r="C654" s="290" t="s">
        <v>360</v>
      </c>
      <c r="D654" s="290" t="s">
        <v>361</v>
      </c>
    </row>
    <row r="655" spans="2:4">
      <c r="B655" t="s">
        <v>17</v>
      </c>
      <c r="C655" s="281">
        <v>68.66</v>
      </c>
      <c r="D655" s="281">
        <v>68.66</v>
      </c>
    </row>
    <row r="656" spans="2:4">
      <c r="B656" t="s">
        <v>637</v>
      </c>
      <c r="C656" s="288" t="s">
        <v>177</v>
      </c>
      <c r="D656" s="288">
        <v>33.33</v>
      </c>
    </row>
    <row r="705" spans="2:6" ht="15.75" thickBot="1">
      <c r="B705" s="268" t="s">
        <v>155</v>
      </c>
      <c r="C705" s="266" t="s">
        <v>177</v>
      </c>
      <c r="D705" s="266" t="s">
        <v>177</v>
      </c>
      <c r="E705" s="266" t="s">
        <v>177</v>
      </c>
      <c r="F705" s="266" t="s">
        <v>177</v>
      </c>
    </row>
    <row r="706" spans="2:6" ht="15.75" thickBot="1">
      <c r="B706" s="269" t="s">
        <v>156</v>
      </c>
      <c r="C706" s="270" t="s">
        <v>177</v>
      </c>
      <c r="D706" s="270" t="s">
        <v>177</v>
      </c>
      <c r="E706" s="270" t="s">
        <v>177</v>
      </c>
      <c r="F706" s="270" t="s">
        <v>177</v>
      </c>
    </row>
    <row r="707" spans="2:6" ht="15.75" thickBot="1">
      <c r="B707" s="272" t="s">
        <v>154</v>
      </c>
      <c r="C707" s="273" t="s">
        <v>177</v>
      </c>
      <c r="D707" s="273" t="s">
        <v>177</v>
      </c>
      <c r="E707" s="273" t="s">
        <v>177</v>
      </c>
      <c r="F707" s="273" t="s">
        <v>177</v>
      </c>
    </row>
    <row r="708" spans="2:6" ht="15.75" thickBot="1">
      <c r="B708" s="275" t="s">
        <v>630</v>
      </c>
      <c r="C708" s="276" t="s">
        <v>177</v>
      </c>
      <c r="D708" s="276" t="s">
        <v>177</v>
      </c>
      <c r="E708" s="276" t="s">
        <v>177</v>
      </c>
      <c r="F708" s="276" t="s">
        <v>177</v>
      </c>
    </row>
    <row r="709" spans="2:6" ht="15.75" thickBot="1">
      <c r="B709" s="278" t="s">
        <v>631</v>
      </c>
      <c r="C709" s="279" t="s">
        <v>177</v>
      </c>
      <c r="D709" s="279" t="s">
        <v>177</v>
      </c>
      <c r="E709" s="279" t="s">
        <v>177</v>
      </c>
      <c r="F709" s="279" t="s">
        <v>177</v>
      </c>
    </row>
    <row r="710" spans="2:6">
      <c r="B710" t="s">
        <v>632</v>
      </c>
      <c r="C710" s="281" t="s">
        <v>177</v>
      </c>
      <c r="D710" s="281" t="s">
        <v>177</v>
      </c>
      <c r="E710" s="281" t="s">
        <v>177</v>
      </c>
      <c r="F710" s="281" t="s">
        <v>177</v>
      </c>
    </row>
    <row r="711" spans="2:6">
      <c r="B711" t="s">
        <v>633</v>
      </c>
      <c r="C711" s="282">
        <v>1</v>
      </c>
      <c r="D711" s="282">
        <v>1</v>
      </c>
      <c r="E711" s="282">
        <v>4</v>
      </c>
      <c r="F711" s="282">
        <v>0</v>
      </c>
    </row>
    <row r="712" spans="2:6">
      <c r="B712" t="s">
        <v>634</v>
      </c>
      <c r="C712" s="283" t="s">
        <v>177</v>
      </c>
      <c r="D712" s="283" t="s">
        <v>177</v>
      </c>
      <c r="E712" s="283" t="s">
        <v>177</v>
      </c>
      <c r="F712" s="283">
        <v>53.71</v>
      </c>
    </row>
    <row r="713" spans="2:6">
      <c r="B713" t="s">
        <v>635</v>
      </c>
      <c r="C713" s="284">
        <v>2</v>
      </c>
      <c r="D713" s="284">
        <v>4</v>
      </c>
      <c r="E713" s="284">
        <v>1</v>
      </c>
      <c r="F713" s="284">
        <v>24</v>
      </c>
    </row>
    <row r="714" spans="2:6" ht="67.5">
      <c r="B714" t="s">
        <v>636</v>
      </c>
      <c r="C714" s="290" t="s">
        <v>362</v>
      </c>
      <c r="D714" s="290" t="s">
        <v>363</v>
      </c>
      <c r="E714" s="290" t="s">
        <v>364</v>
      </c>
      <c r="F714" s="290" t="s">
        <v>365</v>
      </c>
    </row>
    <row r="715" spans="2:6">
      <c r="B715" t="s">
        <v>17</v>
      </c>
      <c r="C715" s="281">
        <v>68.66</v>
      </c>
      <c r="D715" s="281">
        <v>68.66</v>
      </c>
      <c r="E715" s="281">
        <v>68.66</v>
      </c>
      <c r="F715" s="281">
        <v>68.66</v>
      </c>
    </row>
    <row r="716" spans="2:6">
      <c r="B716" t="s">
        <v>637</v>
      </c>
      <c r="C716" s="288" t="s">
        <v>177</v>
      </c>
      <c r="D716" s="288" t="s">
        <v>177</v>
      </c>
      <c r="E716" s="288" t="s">
        <v>177</v>
      </c>
      <c r="F716" s="288" t="s">
        <v>177</v>
      </c>
    </row>
    <row r="765" spans="2:6" ht="15.75" thickBot="1">
      <c r="B765" s="268" t="s">
        <v>155</v>
      </c>
      <c r="C765" s="266" t="s">
        <v>177</v>
      </c>
      <c r="D765" s="266" t="s">
        <v>177</v>
      </c>
      <c r="E765" s="266">
        <v>50.44</v>
      </c>
      <c r="F765" s="266">
        <v>44.12</v>
      </c>
    </row>
    <row r="766" spans="2:6" ht="15.75" thickBot="1">
      <c r="B766" s="269" t="s">
        <v>156</v>
      </c>
      <c r="C766" s="270" t="s">
        <v>177</v>
      </c>
      <c r="D766" s="270" t="s">
        <v>177</v>
      </c>
      <c r="E766" s="270">
        <v>63.32</v>
      </c>
      <c r="F766" s="270">
        <v>48.42</v>
      </c>
    </row>
    <row r="767" spans="2:6" ht="15.75" thickBot="1">
      <c r="B767" s="272" t="s">
        <v>154</v>
      </c>
      <c r="C767" s="273" t="s">
        <v>177</v>
      </c>
      <c r="D767" s="273" t="s">
        <v>177</v>
      </c>
      <c r="E767" s="273">
        <v>47.48</v>
      </c>
      <c r="F767" s="273">
        <v>47.55</v>
      </c>
    </row>
    <row r="768" spans="2:6" ht="15.75" thickBot="1">
      <c r="B768" s="275" t="s">
        <v>630</v>
      </c>
      <c r="C768" s="276" t="s">
        <v>177</v>
      </c>
      <c r="D768" s="276" t="s">
        <v>177</v>
      </c>
      <c r="E768" s="276">
        <v>53.27</v>
      </c>
      <c r="F768" s="276">
        <v>39.71</v>
      </c>
    </row>
    <row r="769" spans="2:6" ht="15.75" thickBot="1">
      <c r="B769" s="278" t="s">
        <v>631</v>
      </c>
      <c r="C769" s="279" t="s">
        <v>177</v>
      </c>
      <c r="D769" s="279" t="s">
        <v>177</v>
      </c>
      <c r="E769" s="279">
        <v>56.11</v>
      </c>
      <c r="F769" s="279">
        <v>37.06</v>
      </c>
    </row>
    <row r="770" spans="2:6">
      <c r="B770" t="s">
        <v>632</v>
      </c>
      <c r="C770" s="281" t="s">
        <v>177</v>
      </c>
      <c r="D770" s="281" t="s">
        <v>177</v>
      </c>
      <c r="E770" s="281">
        <v>54.29</v>
      </c>
      <c r="F770" s="281">
        <v>43.81</v>
      </c>
    </row>
    <row r="771" spans="2:6">
      <c r="B771" t="s">
        <v>633</v>
      </c>
      <c r="C771" s="282">
        <v>1</v>
      </c>
      <c r="D771" s="282">
        <v>1</v>
      </c>
      <c r="E771" s="282">
        <v>35</v>
      </c>
      <c r="F771" s="282">
        <v>17</v>
      </c>
    </row>
    <row r="772" spans="2:6">
      <c r="B772" t="s">
        <v>634</v>
      </c>
      <c r="C772" s="283" t="s">
        <v>177</v>
      </c>
      <c r="D772" s="283" t="s">
        <v>177</v>
      </c>
      <c r="E772" s="283" t="s">
        <v>177</v>
      </c>
      <c r="F772" s="283" t="s">
        <v>177</v>
      </c>
    </row>
    <row r="773" spans="2:6">
      <c r="B773" t="s">
        <v>635</v>
      </c>
      <c r="C773" s="284" t="s">
        <v>10</v>
      </c>
      <c r="D773" s="284" t="s">
        <v>10</v>
      </c>
      <c r="E773" s="284" t="s">
        <v>10</v>
      </c>
      <c r="F773" s="284" t="s">
        <v>10</v>
      </c>
    </row>
    <row r="774" spans="2:6" ht="45">
      <c r="B774" t="s">
        <v>636</v>
      </c>
      <c r="C774" s="290" t="s">
        <v>366</v>
      </c>
      <c r="D774" s="290" t="s">
        <v>367</v>
      </c>
      <c r="E774" s="290" t="s">
        <v>368</v>
      </c>
      <c r="F774" s="290" t="s">
        <v>369</v>
      </c>
    </row>
    <row r="775" spans="2:6">
      <c r="B775" t="s">
        <v>17</v>
      </c>
      <c r="C775" s="281">
        <v>68.66</v>
      </c>
      <c r="D775" s="281">
        <v>68.66</v>
      </c>
      <c r="E775" s="281">
        <v>68.66</v>
      </c>
      <c r="F775" s="281">
        <v>68.66</v>
      </c>
    </row>
    <row r="776" spans="2:6">
      <c r="B776" t="s">
        <v>637</v>
      </c>
      <c r="C776" s="288" t="s">
        <v>177</v>
      </c>
      <c r="D776" s="288" t="s">
        <v>177</v>
      </c>
      <c r="E776" s="288">
        <v>62.51</v>
      </c>
      <c r="F776" s="288">
        <v>35.29</v>
      </c>
    </row>
    <row r="825" spans="2:4" ht="15.75" thickBot="1">
      <c r="B825" s="268" t="s">
        <v>155</v>
      </c>
      <c r="C825" s="266" t="s">
        <v>177</v>
      </c>
      <c r="D825" s="266" t="s">
        <v>177</v>
      </c>
    </row>
    <row r="826" spans="2:4" ht="15.75" thickBot="1">
      <c r="B826" s="269" t="s">
        <v>156</v>
      </c>
      <c r="C826" s="270" t="s">
        <v>177</v>
      </c>
      <c r="D826" s="270" t="s">
        <v>177</v>
      </c>
    </row>
    <row r="827" spans="2:4" ht="15.75" thickBot="1">
      <c r="B827" s="272" t="s">
        <v>154</v>
      </c>
      <c r="C827" s="273" t="s">
        <v>177</v>
      </c>
      <c r="D827" s="273" t="s">
        <v>177</v>
      </c>
    </row>
    <row r="828" spans="2:4" ht="15.75" thickBot="1">
      <c r="B828" s="275" t="s">
        <v>630</v>
      </c>
      <c r="C828" s="276" t="s">
        <v>177</v>
      </c>
      <c r="D828" s="276" t="s">
        <v>177</v>
      </c>
    </row>
    <row r="829" spans="2:4" ht="15.75" thickBot="1">
      <c r="B829" s="278" t="s">
        <v>631</v>
      </c>
      <c r="C829" s="279" t="s">
        <v>177</v>
      </c>
      <c r="D829" s="279" t="s">
        <v>177</v>
      </c>
    </row>
    <row r="830" spans="2:4">
      <c r="B830" t="s">
        <v>632</v>
      </c>
      <c r="C830" s="281" t="s">
        <v>177</v>
      </c>
      <c r="D830" s="281" t="s">
        <v>177</v>
      </c>
    </row>
    <row r="831" spans="2:4">
      <c r="B831" t="s">
        <v>633</v>
      </c>
      <c r="C831" s="282">
        <v>4</v>
      </c>
      <c r="D831" s="282">
        <v>1</v>
      </c>
    </row>
    <row r="832" spans="2:4">
      <c r="B832" t="s">
        <v>634</v>
      </c>
      <c r="C832" s="283" t="s">
        <v>177</v>
      </c>
      <c r="D832" s="283" t="s">
        <v>177</v>
      </c>
    </row>
    <row r="833" spans="2:4">
      <c r="B833" t="s">
        <v>635</v>
      </c>
      <c r="C833" s="284" t="s">
        <v>10</v>
      </c>
      <c r="D833" s="284" t="s">
        <v>10</v>
      </c>
    </row>
    <row r="834" spans="2:4" ht="67.5">
      <c r="B834" t="s">
        <v>636</v>
      </c>
      <c r="C834" s="290" t="s">
        <v>375</v>
      </c>
      <c r="D834" s="290" t="s">
        <v>376</v>
      </c>
    </row>
    <row r="835" spans="2:4">
      <c r="B835" t="s">
        <v>17</v>
      </c>
      <c r="C835" s="281">
        <v>68.66</v>
      </c>
      <c r="D835" s="281">
        <v>68.66</v>
      </c>
    </row>
    <row r="836" spans="2:4">
      <c r="B836" t="s">
        <v>637</v>
      </c>
      <c r="C836" s="288" t="s">
        <v>177</v>
      </c>
      <c r="D836" s="288" t="s">
        <v>177</v>
      </c>
    </row>
    <row r="885" spans="2:4" ht="15.75" thickBot="1">
      <c r="B885" s="268" t="s">
        <v>155</v>
      </c>
      <c r="C885" s="266" t="s">
        <v>177</v>
      </c>
      <c r="D885" s="266" t="s">
        <v>177</v>
      </c>
    </row>
    <row r="886" spans="2:4" ht="15.75" thickBot="1">
      <c r="B886" s="269" t="s">
        <v>156</v>
      </c>
      <c r="C886" s="270" t="s">
        <v>177</v>
      </c>
      <c r="D886" s="270" t="s">
        <v>177</v>
      </c>
    </row>
    <row r="887" spans="2:4" ht="15.75" thickBot="1">
      <c r="B887" s="272" t="s">
        <v>154</v>
      </c>
      <c r="C887" s="273" t="s">
        <v>177</v>
      </c>
      <c r="D887" s="273" t="s">
        <v>177</v>
      </c>
    </row>
    <row r="888" spans="2:4" ht="15.75" thickBot="1">
      <c r="B888" s="275" t="s">
        <v>630</v>
      </c>
      <c r="C888" s="276" t="s">
        <v>177</v>
      </c>
      <c r="D888" s="276" t="s">
        <v>177</v>
      </c>
    </row>
    <row r="889" spans="2:4" ht="15.75" thickBot="1">
      <c r="B889" s="278" t="s">
        <v>631</v>
      </c>
      <c r="C889" s="279" t="s">
        <v>177</v>
      </c>
      <c r="D889" s="279" t="s">
        <v>177</v>
      </c>
    </row>
    <row r="890" spans="2:4">
      <c r="B890" t="s">
        <v>632</v>
      </c>
      <c r="C890" s="281" t="s">
        <v>177</v>
      </c>
      <c r="D890" s="281" t="s">
        <v>177</v>
      </c>
    </row>
    <row r="891" spans="2:4">
      <c r="B891" t="s">
        <v>633</v>
      </c>
      <c r="C891" s="282">
        <v>1</v>
      </c>
      <c r="D891" s="282">
        <v>4</v>
      </c>
    </row>
    <row r="892" spans="2:4">
      <c r="B892" t="s">
        <v>634</v>
      </c>
      <c r="C892" s="283" t="s">
        <v>177</v>
      </c>
      <c r="D892" s="283" t="s">
        <v>177</v>
      </c>
    </row>
    <row r="893" spans="2:4">
      <c r="B893" t="s">
        <v>635</v>
      </c>
      <c r="C893" s="284">
        <v>0</v>
      </c>
      <c r="D893" s="284">
        <v>3</v>
      </c>
    </row>
    <row r="894" spans="2:4" ht="22.5">
      <c r="B894" t="s">
        <v>636</v>
      </c>
      <c r="C894" s="290" t="s">
        <v>377</v>
      </c>
      <c r="D894" s="290" t="s">
        <v>378</v>
      </c>
    </row>
    <row r="895" spans="2:4">
      <c r="B895" t="s">
        <v>17</v>
      </c>
      <c r="C895" s="281">
        <v>68.66</v>
      </c>
      <c r="D895" s="281">
        <v>68.66</v>
      </c>
    </row>
    <row r="896" spans="2:4">
      <c r="B896" t="s">
        <v>637</v>
      </c>
      <c r="C896" s="288" t="s">
        <v>177</v>
      </c>
      <c r="D896" s="288" t="s">
        <v>177</v>
      </c>
    </row>
    <row r="945" spans="2:4" ht="15.75" thickBot="1">
      <c r="B945" s="268" t="s">
        <v>155</v>
      </c>
      <c r="C945" s="266">
        <v>46.93</v>
      </c>
      <c r="D945" s="266">
        <v>53.3</v>
      </c>
    </row>
    <row r="946" spans="2:4" ht="15.75" thickBot="1">
      <c r="B946" s="269" t="s">
        <v>156</v>
      </c>
      <c r="C946" s="270">
        <v>51.6</v>
      </c>
      <c r="D946" s="270">
        <v>59.76</v>
      </c>
    </row>
    <row r="947" spans="2:4" ht="15.75" thickBot="1">
      <c r="B947" s="272" t="s">
        <v>154</v>
      </c>
      <c r="C947" s="273">
        <v>46.23</v>
      </c>
      <c r="D947" s="273">
        <v>57.69</v>
      </c>
    </row>
    <row r="948" spans="2:4" ht="15.75" thickBot="1">
      <c r="B948" s="275" t="s">
        <v>630</v>
      </c>
      <c r="C948" s="276">
        <v>45.91</v>
      </c>
      <c r="D948" s="276">
        <v>70.19</v>
      </c>
    </row>
    <row r="949" spans="2:4" ht="15.75" thickBot="1">
      <c r="B949" s="278" t="s">
        <v>631</v>
      </c>
      <c r="C949" s="279">
        <v>49.06</v>
      </c>
      <c r="D949" s="279">
        <v>71.540000000000006</v>
      </c>
    </row>
    <row r="950" spans="2:4">
      <c r="B950" t="s">
        <v>632</v>
      </c>
      <c r="C950" s="281">
        <v>47.95</v>
      </c>
      <c r="D950" s="281">
        <v>61.01</v>
      </c>
    </row>
    <row r="951" spans="2:4">
      <c r="B951" t="s">
        <v>633</v>
      </c>
      <c r="C951" s="282">
        <v>28</v>
      </c>
      <c r="D951" s="282">
        <v>13</v>
      </c>
    </row>
    <row r="952" spans="2:4">
      <c r="B952" t="s">
        <v>634</v>
      </c>
      <c r="C952" s="283">
        <v>63.07</v>
      </c>
      <c r="D952" s="283">
        <v>63.07</v>
      </c>
    </row>
    <row r="953" spans="2:4">
      <c r="B953" t="s">
        <v>635</v>
      </c>
      <c r="C953" s="284">
        <v>41</v>
      </c>
      <c r="D953" s="284">
        <v>41</v>
      </c>
    </row>
    <row r="954" spans="2:4" ht="56.25">
      <c r="B954" t="s">
        <v>636</v>
      </c>
      <c r="C954" s="290" t="s">
        <v>379</v>
      </c>
      <c r="D954" s="290" t="s">
        <v>380</v>
      </c>
    </row>
    <row r="955" spans="2:4">
      <c r="B955" t="s">
        <v>17</v>
      </c>
      <c r="C955" s="281">
        <v>68.66</v>
      </c>
      <c r="D955" s="281">
        <v>68.66</v>
      </c>
    </row>
    <row r="956" spans="2:4">
      <c r="B956" t="s">
        <v>637</v>
      </c>
      <c r="C956" s="288">
        <v>40.74</v>
      </c>
      <c r="D956" s="288">
        <v>46.15</v>
      </c>
    </row>
    <row r="1005" spans="2:4" ht="15.75" thickBot="1">
      <c r="B1005" s="268" t="s">
        <v>155</v>
      </c>
      <c r="C1005" s="266" t="s">
        <v>177</v>
      </c>
      <c r="D1005" s="266" t="s">
        <v>177</v>
      </c>
    </row>
    <row r="1006" spans="2:4" ht="15.75" thickBot="1">
      <c r="B1006" s="269" t="s">
        <v>156</v>
      </c>
      <c r="C1006" s="270" t="s">
        <v>177</v>
      </c>
      <c r="D1006" s="270" t="s">
        <v>177</v>
      </c>
    </row>
    <row r="1007" spans="2:4" ht="15.75" thickBot="1">
      <c r="B1007" s="272" t="s">
        <v>154</v>
      </c>
      <c r="C1007" s="273" t="s">
        <v>177</v>
      </c>
      <c r="D1007" s="273" t="s">
        <v>177</v>
      </c>
    </row>
    <row r="1008" spans="2:4" ht="15.75" thickBot="1">
      <c r="B1008" s="275" t="s">
        <v>630</v>
      </c>
      <c r="C1008" s="276" t="s">
        <v>177</v>
      </c>
      <c r="D1008" s="276" t="s">
        <v>177</v>
      </c>
    </row>
    <row r="1009" spans="2:4" ht="15.75" thickBot="1">
      <c r="B1009" s="278" t="s">
        <v>631</v>
      </c>
      <c r="C1009" s="279" t="s">
        <v>177</v>
      </c>
      <c r="D1009" s="279" t="s">
        <v>177</v>
      </c>
    </row>
    <row r="1010" spans="2:4">
      <c r="B1010" t="s">
        <v>632</v>
      </c>
      <c r="C1010" s="281" t="s">
        <v>177</v>
      </c>
      <c r="D1010" s="281" t="s">
        <v>177</v>
      </c>
    </row>
    <row r="1011" spans="2:4">
      <c r="B1011" t="s">
        <v>633</v>
      </c>
      <c r="C1011" s="282">
        <v>3</v>
      </c>
      <c r="D1011" s="282">
        <v>0</v>
      </c>
    </row>
    <row r="1012" spans="2:4">
      <c r="B1012" t="s">
        <v>634</v>
      </c>
      <c r="C1012" s="283" t="s">
        <v>177</v>
      </c>
      <c r="D1012" s="283" t="s">
        <v>177</v>
      </c>
    </row>
    <row r="1013" spans="2:4">
      <c r="B1013" t="s">
        <v>635</v>
      </c>
      <c r="C1013" s="284">
        <v>2</v>
      </c>
      <c r="D1013" s="284">
        <v>0</v>
      </c>
    </row>
    <row r="1014" spans="2:4" ht="56.25">
      <c r="B1014" t="s">
        <v>636</v>
      </c>
      <c r="C1014" s="290" t="s">
        <v>381</v>
      </c>
      <c r="D1014" s="290" t="s">
        <v>382</v>
      </c>
    </row>
    <row r="1015" spans="2:4">
      <c r="B1015" t="s">
        <v>17</v>
      </c>
      <c r="C1015" s="281">
        <v>68.66</v>
      </c>
      <c r="D1015" s="281">
        <v>68.66</v>
      </c>
    </row>
    <row r="1016" spans="2:4">
      <c r="B1016" t="s">
        <v>637</v>
      </c>
      <c r="C1016" s="288" t="s">
        <v>177</v>
      </c>
      <c r="D1016" s="288" t="s">
        <v>177</v>
      </c>
    </row>
    <row r="1065" spans="2:6" ht="15.75" thickBot="1">
      <c r="B1065" s="268" t="s">
        <v>155</v>
      </c>
      <c r="C1065" s="266" t="s">
        <v>177</v>
      </c>
      <c r="D1065" s="266" t="s">
        <v>177</v>
      </c>
      <c r="E1065" s="266" t="s">
        <v>177</v>
      </c>
      <c r="F1065" s="266">
        <v>88.96</v>
      </c>
    </row>
    <row r="1066" spans="2:6" ht="15.75" thickBot="1">
      <c r="B1066" s="269" t="s">
        <v>156</v>
      </c>
      <c r="C1066" s="270" t="s">
        <v>177</v>
      </c>
      <c r="D1066" s="270" t="s">
        <v>177</v>
      </c>
      <c r="E1066" s="270" t="s">
        <v>177</v>
      </c>
      <c r="F1066" s="270">
        <v>81.819999999999993</v>
      </c>
    </row>
    <row r="1067" spans="2:6" ht="15.75" thickBot="1">
      <c r="B1067" s="272" t="s">
        <v>154</v>
      </c>
      <c r="C1067" s="273" t="s">
        <v>177</v>
      </c>
      <c r="D1067" s="273" t="s">
        <v>177</v>
      </c>
      <c r="E1067" s="273" t="s">
        <v>177</v>
      </c>
      <c r="F1067" s="273">
        <v>81.06</v>
      </c>
    </row>
    <row r="1068" spans="2:6" ht="15.75" thickBot="1">
      <c r="B1068" s="275" t="s">
        <v>630</v>
      </c>
      <c r="C1068" s="276" t="s">
        <v>177</v>
      </c>
      <c r="D1068" s="276" t="s">
        <v>177</v>
      </c>
      <c r="E1068" s="276" t="s">
        <v>177</v>
      </c>
      <c r="F1068" s="276">
        <v>76.14</v>
      </c>
    </row>
    <row r="1069" spans="2:6" ht="15.75" thickBot="1">
      <c r="B1069" s="278" t="s">
        <v>631</v>
      </c>
      <c r="C1069" s="279" t="s">
        <v>177</v>
      </c>
      <c r="D1069" s="279" t="s">
        <v>177</v>
      </c>
      <c r="E1069" s="279" t="s">
        <v>177</v>
      </c>
      <c r="F1069" s="279">
        <v>81.819999999999993</v>
      </c>
    </row>
    <row r="1070" spans="2:6">
      <c r="B1070" t="s">
        <v>632</v>
      </c>
      <c r="C1070" s="281" t="s">
        <v>177</v>
      </c>
      <c r="D1070" s="281" t="s">
        <v>177</v>
      </c>
      <c r="E1070" s="281" t="s">
        <v>177</v>
      </c>
      <c r="F1070" s="281">
        <v>82.6</v>
      </c>
    </row>
    <row r="1071" spans="2:6">
      <c r="B1071" t="s">
        <v>633</v>
      </c>
      <c r="C1071" s="282">
        <v>5</v>
      </c>
      <c r="D1071" s="282">
        <v>2</v>
      </c>
      <c r="E1071" s="282">
        <v>4</v>
      </c>
      <c r="F1071" s="282">
        <v>11</v>
      </c>
    </row>
    <row r="1072" spans="2:6">
      <c r="B1072" t="s">
        <v>634</v>
      </c>
      <c r="C1072" s="283" t="s">
        <v>177</v>
      </c>
      <c r="D1072" s="283" t="s">
        <v>177</v>
      </c>
      <c r="E1072" s="283" t="s">
        <v>177</v>
      </c>
      <c r="F1072" s="283">
        <v>86.03</v>
      </c>
    </row>
    <row r="1073" spans="2:6">
      <c r="B1073" t="s">
        <v>635</v>
      </c>
      <c r="C1073" s="284">
        <v>5</v>
      </c>
      <c r="D1073" s="284">
        <v>2</v>
      </c>
      <c r="E1073" s="284">
        <v>4</v>
      </c>
      <c r="F1073" s="284">
        <v>10</v>
      </c>
    </row>
    <row r="1074" spans="2:6" ht="22.5">
      <c r="B1074" t="s">
        <v>636</v>
      </c>
      <c r="C1074" s="290" t="s">
        <v>383</v>
      </c>
      <c r="D1074" s="290" t="s">
        <v>384</v>
      </c>
      <c r="E1074" s="290" t="s">
        <v>385</v>
      </c>
      <c r="F1074" s="290" t="s">
        <v>386</v>
      </c>
    </row>
    <row r="1075" spans="2:6">
      <c r="B1075" t="s">
        <v>17</v>
      </c>
      <c r="C1075" s="281">
        <v>68.66</v>
      </c>
      <c r="D1075" s="281">
        <v>68.66</v>
      </c>
      <c r="E1075" s="281">
        <v>68.66</v>
      </c>
      <c r="F1075" s="281">
        <v>68.66</v>
      </c>
    </row>
    <row r="1076" spans="2:6">
      <c r="B1076" t="s">
        <v>637</v>
      </c>
      <c r="C1076" s="288" t="s">
        <v>177</v>
      </c>
      <c r="D1076" s="288" t="s">
        <v>177</v>
      </c>
      <c r="E1076" s="288" t="s">
        <v>177</v>
      </c>
      <c r="F1076" s="288">
        <v>81.819999999999993</v>
      </c>
    </row>
    <row r="1125" spans="2:5" ht="15.75" thickBot="1">
      <c r="B1125" s="268" t="s">
        <v>155</v>
      </c>
      <c r="C1125" s="266">
        <v>89.29</v>
      </c>
      <c r="D1125" s="266">
        <v>71.72</v>
      </c>
      <c r="E1125" s="266">
        <v>77.86</v>
      </c>
    </row>
    <row r="1126" spans="2:5" ht="15.75" thickBot="1">
      <c r="B1126" s="269" t="s">
        <v>156</v>
      </c>
      <c r="C1126" s="270">
        <v>90.38</v>
      </c>
      <c r="D1126" s="270">
        <v>72.52</v>
      </c>
      <c r="E1126" s="270">
        <v>76.92</v>
      </c>
    </row>
    <row r="1127" spans="2:5" ht="15.75" thickBot="1">
      <c r="B1127" s="272" t="s">
        <v>154</v>
      </c>
      <c r="C1127" s="273">
        <v>86.46</v>
      </c>
      <c r="D1127" s="273">
        <v>69.27</v>
      </c>
      <c r="E1127" s="273">
        <v>75.83</v>
      </c>
    </row>
    <row r="1128" spans="2:5" ht="15.75" thickBot="1">
      <c r="B1128" s="275" t="s">
        <v>630</v>
      </c>
      <c r="C1128" s="276">
        <v>93.75</v>
      </c>
      <c r="D1128" s="276">
        <v>67.959999999999994</v>
      </c>
      <c r="E1128" s="276">
        <v>71.25</v>
      </c>
    </row>
    <row r="1129" spans="2:5" ht="15.75" thickBot="1">
      <c r="B1129" s="278" t="s">
        <v>631</v>
      </c>
      <c r="C1129" s="279">
        <v>91.25</v>
      </c>
      <c r="D1129" s="279">
        <v>76.319999999999993</v>
      </c>
      <c r="E1129" s="279">
        <v>67</v>
      </c>
    </row>
    <row r="1130" spans="2:5">
      <c r="B1130" t="s">
        <v>632</v>
      </c>
      <c r="C1130" s="281">
        <v>89.87</v>
      </c>
      <c r="D1130" s="281">
        <v>71.58</v>
      </c>
      <c r="E1130" s="281">
        <v>74.31</v>
      </c>
    </row>
    <row r="1131" spans="2:5">
      <c r="B1131" t="s">
        <v>633</v>
      </c>
      <c r="C1131" s="282">
        <v>8</v>
      </c>
      <c r="D1131" s="282">
        <v>139</v>
      </c>
      <c r="E1131" s="282">
        <v>10</v>
      </c>
    </row>
    <row r="1132" spans="2:5">
      <c r="B1132" t="s">
        <v>634</v>
      </c>
      <c r="C1132" s="283">
        <v>82.3</v>
      </c>
      <c r="D1132" s="283">
        <v>82.14</v>
      </c>
      <c r="E1132" s="283">
        <v>91.63</v>
      </c>
    </row>
    <row r="1133" spans="2:5">
      <c r="B1133" t="s">
        <v>635</v>
      </c>
      <c r="C1133" s="284">
        <v>11</v>
      </c>
      <c r="D1133" s="284">
        <v>71</v>
      </c>
      <c r="E1133" s="284">
        <v>7</v>
      </c>
    </row>
    <row r="1134" spans="2:5" ht="22.5">
      <c r="B1134" t="s">
        <v>636</v>
      </c>
      <c r="C1134" s="290" t="s">
        <v>387</v>
      </c>
      <c r="D1134" s="290" t="s">
        <v>388</v>
      </c>
      <c r="E1134" s="290" t="s">
        <v>389</v>
      </c>
    </row>
    <row r="1135" spans="2:5">
      <c r="B1135" t="s">
        <v>17</v>
      </c>
      <c r="C1135" s="281">
        <v>68.66</v>
      </c>
      <c r="D1135" s="281">
        <v>68.66</v>
      </c>
      <c r="E1135" s="281">
        <v>68.66</v>
      </c>
    </row>
    <row r="1136" spans="2:5">
      <c r="B1136" t="s">
        <v>637</v>
      </c>
      <c r="C1136" s="288">
        <v>87.51</v>
      </c>
      <c r="D1136" s="288">
        <v>66.67</v>
      </c>
      <c r="E1136" s="288">
        <v>70</v>
      </c>
    </row>
    <row r="1185" spans="2:8" ht="15.75" thickBot="1">
      <c r="B1185" s="268" t="s">
        <v>155</v>
      </c>
      <c r="C1185" s="266">
        <v>84.69</v>
      </c>
      <c r="D1185" s="266" t="s">
        <v>177</v>
      </c>
      <c r="E1185" s="266">
        <v>95.92</v>
      </c>
      <c r="F1185" s="266">
        <v>93.88</v>
      </c>
      <c r="G1185" s="266">
        <v>70.239999999999995</v>
      </c>
      <c r="H1185" s="266" t="s">
        <v>177</v>
      </c>
    </row>
    <row r="1186" spans="2:8" ht="15.75" thickBot="1">
      <c r="B1186" s="269" t="s">
        <v>156</v>
      </c>
      <c r="C1186" s="270">
        <v>78.02</v>
      </c>
      <c r="D1186" s="270" t="s">
        <v>177</v>
      </c>
      <c r="E1186" s="270">
        <v>92.31</v>
      </c>
      <c r="F1186" s="270">
        <v>86.77</v>
      </c>
      <c r="G1186" s="270">
        <v>53.85</v>
      </c>
      <c r="H1186" s="270" t="s">
        <v>177</v>
      </c>
    </row>
    <row r="1187" spans="2:8" ht="15.75" thickBot="1">
      <c r="B1187" s="272" t="s">
        <v>154</v>
      </c>
      <c r="C1187" s="273">
        <v>75</v>
      </c>
      <c r="D1187" s="273" t="s">
        <v>177</v>
      </c>
      <c r="E1187" s="273">
        <v>78.569999999999993</v>
      </c>
      <c r="F1187" s="273">
        <v>79.17</v>
      </c>
      <c r="G1187" s="273">
        <v>54.17</v>
      </c>
      <c r="H1187" s="273" t="s">
        <v>177</v>
      </c>
    </row>
    <row r="1188" spans="2:8" ht="15.75" thickBot="1">
      <c r="B1188" s="275" t="s">
        <v>630</v>
      </c>
      <c r="C1188" s="276">
        <v>83.93</v>
      </c>
      <c r="D1188" s="276" t="s">
        <v>177</v>
      </c>
      <c r="E1188" s="276">
        <v>87.51</v>
      </c>
      <c r="F1188" s="276">
        <v>82.14</v>
      </c>
      <c r="G1188" s="276">
        <v>52.08</v>
      </c>
      <c r="H1188" s="276" t="s">
        <v>177</v>
      </c>
    </row>
    <row r="1189" spans="2:8" ht="15.75" thickBot="1">
      <c r="B1189" s="278" t="s">
        <v>631</v>
      </c>
      <c r="C1189" s="279">
        <v>74.290000000000006</v>
      </c>
      <c r="D1189" s="279" t="s">
        <v>177</v>
      </c>
      <c r="E1189" s="279">
        <v>80</v>
      </c>
      <c r="F1189" s="279">
        <v>81.430000000000007</v>
      </c>
      <c r="G1189" s="279">
        <v>50</v>
      </c>
      <c r="H1189" s="279" t="s">
        <v>177</v>
      </c>
    </row>
    <row r="1190" spans="2:8">
      <c r="B1190" t="s">
        <v>632</v>
      </c>
      <c r="C1190" s="281">
        <v>79.06</v>
      </c>
      <c r="D1190" s="281" t="s">
        <v>177</v>
      </c>
      <c r="E1190" s="281">
        <v>87.44</v>
      </c>
      <c r="F1190" s="281">
        <v>85.46</v>
      </c>
      <c r="G1190" s="281">
        <v>56.9</v>
      </c>
      <c r="H1190" s="281" t="s">
        <v>177</v>
      </c>
    </row>
    <row r="1191" spans="2:8">
      <c r="B1191" t="s">
        <v>633</v>
      </c>
      <c r="C1191" s="282">
        <v>7</v>
      </c>
      <c r="D1191" s="282">
        <v>5</v>
      </c>
      <c r="E1191" s="282">
        <v>7</v>
      </c>
      <c r="F1191" s="282">
        <v>14</v>
      </c>
      <c r="G1191" s="282">
        <v>6</v>
      </c>
      <c r="H1191" s="282">
        <v>2</v>
      </c>
    </row>
    <row r="1192" spans="2:8">
      <c r="B1192" t="s">
        <v>634</v>
      </c>
      <c r="C1192" s="283">
        <v>79.22</v>
      </c>
      <c r="D1192" s="283">
        <v>96.06</v>
      </c>
      <c r="E1192" s="283">
        <v>88.18</v>
      </c>
      <c r="F1192" s="283">
        <v>63.56</v>
      </c>
      <c r="G1192" s="283">
        <v>64.569999999999993</v>
      </c>
      <c r="H1192" s="283" t="s">
        <v>177</v>
      </c>
    </row>
    <row r="1193" spans="2:8">
      <c r="B1193" t="s">
        <v>635</v>
      </c>
      <c r="C1193" s="284">
        <v>8</v>
      </c>
      <c r="D1193" s="284">
        <v>7</v>
      </c>
      <c r="E1193" s="284">
        <v>7</v>
      </c>
      <c r="F1193" s="284">
        <v>15</v>
      </c>
      <c r="G1193" s="284">
        <v>7</v>
      </c>
      <c r="H1193" s="284">
        <v>2</v>
      </c>
    </row>
    <row r="1194" spans="2:8" ht="33.75">
      <c r="B1194" t="s">
        <v>636</v>
      </c>
      <c r="C1194" s="290" t="s">
        <v>390</v>
      </c>
      <c r="D1194" s="290" t="s">
        <v>391</v>
      </c>
      <c r="E1194" s="290" t="s">
        <v>392</v>
      </c>
      <c r="F1194" s="290" t="s">
        <v>393</v>
      </c>
      <c r="G1194" s="290" t="s">
        <v>394</v>
      </c>
      <c r="H1194" s="290" t="s">
        <v>395</v>
      </c>
    </row>
    <row r="1195" spans="2:8">
      <c r="B1195" t="s">
        <v>17</v>
      </c>
      <c r="C1195" s="281">
        <v>68.66</v>
      </c>
      <c r="D1195" s="281">
        <v>68.66</v>
      </c>
      <c r="E1195" s="281">
        <v>68.66</v>
      </c>
      <c r="F1195" s="281">
        <v>68.66</v>
      </c>
      <c r="G1195" s="281">
        <v>68.66</v>
      </c>
      <c r="H1195" s="281">
        <v>68.66</v>
      </c>
    </row>
    <row r="1196" spans="2:8">
      <c r="B1196" t="s">
        <v>637</v>
      </c>
      <c r="C1196" s="288">
        <v>71.430000000000007</v>
      </c>
      <c r="D1196" s="288" t="s">
        <v>177</v>
      </c>
      <c r="E1196" s="288">
        <v>85.71</v>
      </c>
      <c r="F1196" s="288">
        <v>92.86</v>
      </c>
      <c r="G1196" s="288">
        <v>50</v>
      </c>
      <c r="H1196" s="288" t="s">
        <v>177</v>
      </c>
    </row>
    <row r="1245" spans="2:3" ht="15.75" thickBot="1">
      <c r="B1245" s="268" t="s">
        <v>155</v>
      </c>
      <c r="C1245" s="266" t="s">
        <v>177</v>
      </c>
    </row>
    <row r="1246" spans="2:3" ht="15.75" thickBot="1">
      <c r="B1246" s="269" t="s">
        <v>156</v>
      </c>
      <c r="C1246" s="270" t="s">
        <v>177</v>
      </c>
    </row>
    <row r="1247" spans="2:3" ht="15.75" thickBot="1">
      <c r="B1247" s="272" t="s">
        <v>154</v>
      </c>
      <c r="C1247" s="273" t="s">
        <v>177</v>
      </c>
    </row>
    <row r="1248" spans="2:3" ht="15.75" thickBot="1">
      <c r="B1248" s="275" t="s">
        <v>630</v>
      </c>
      <c r="C1248" s="276" t="s">
        <v>177</v>
      </c>
    </row>
    <row r="1249" spans="2:3" ht="15.75" thickBot="1">
      <c r="B1249" s="278" t="s">
        <v>631</v>
      </c>
      <c r="C1249" s="279" t="s">
        <v>177</v>
      </c>
    </row>
    <row r="1250" spans="2:3">
      <c r="B1250" t="s">
        <v>632</v>
      </c>
      <c r="C1250" s="281" t="s">
        <v>177</v>
      </c>
    </row>
    <row r="1251" spans="2:3">
      <c r="B1251" t="s">
        <v>633</v>
      </c>
      <c r="C1251" s="282">
        <v>5</v>
      </c>
    </row>
    <row r="1252" spans="2:3">
      <c r="B1252" t="s">
        <v>634</v>
      </c>
      <c r="C1252" s="283" t="s">
        <v>177</v>
      </c>
    </row>
    <row r="1253" spans="2:3">
      <c r="B1253" t="s">
        <v>635</v>
      </c>
      <c r="C1253" s="284">
        <v>4</v>
      </c>
    </row>
    <row r="1254" spans="2:3" ht="45">
      <c r="B1254" t="s">
        <v>636</v>
      </c>
      <c r="C1254" s="290" t="s">
        <v>396</v>
      </c>
    </row>
    <row r="1255" spans="2:3">
      <c r="B1255" t="s">
        <v>17</v>
      </c>
      <c r="C1255" s="281">
        <v>68.66</v>
      </c>
    </row>
    <row r="1256" spans="2:3">
      <c r="B1256" t="s">
        <v>637</v>
      </c>
      <c r="C1256" s="288" t="s">
        <v>177</v>
      </c>
    </row>
    <row r="1305" spans="2:3" ht="15.75" thickBot="1">
      <c r="B1305" s="268" t="s">
        <v>155</v>
      </c>
      <c r="C1305" s="266" t="s">
        <v>177</v>
      </c>
    </row>
    <row r="1306" spans="2:3" ht="15.75" thickBot="1">
      <c r="B1306" s="269" t="s">
        <v>156</v>
      </c>
      <c r="C1306" s="270" t="s">
        <v>177</v>
      </c>
    </row>
    <row r="1307" spans="2:3" ht="15.75" thickBot="1">
      <c r="B1307" s="272" t="s">
        <v>154</v>
      </c>
      <c r="C1307" s="273" t="s">
        <v>177</v>
      </c>
    </row>
    <row r="1308" spans="2:3" ht="15.75" thickBot="1">
      <c r="B1308" s="275" t="s">
        <v>630</v>
      </c>
      <c r="C1308" s="276" t="s">
        <v>177</v>
      </c>
    </row>
    <row r="1309" spans="2:3" ht="15.75" thickBot="1">
      <c r="B1309" s="278" t="s">
        <v>631</v>
      </c>
      <c r="C1309" s="279" t="s">
        <v>177</v>
      </c>
    </row>
    <row r="1310" spans="2:3">
      <c r="B1310" t="s">
        <v>632</v>
      </c>
      <c r="C1310" s="281" t="s">
        <v>177</v>
      </c>
    </row>
    <row r="1311" spans="2:3">
      <c r="B1311" t="s">
        <v>633</v>
      </c>
      <c r="C1311" s="282">
        <v>4</v>
      </c>
    </row>
    <row r="1312" spans="2:3">
      <c r="B1312" t="s">
        <v>634</v>
      </c>
      <c r="C1312" s="283" t="s">
        <v>177</v>
      </c>
    </row>
    <row r="1313" spans="2:3">
      <c r="B1313" t="s">
        <v>635</v>
      </c>
      <c r="C1313" s="284">
        <v>5</v>
      </c>
    </row>
    <row r="1314" spans="2:3" ht="33.75">
      <c r="B1314" t="s">
        <v>636</v>
      </c>
      <c r="C1314" s="290" t="s">
        <v>397</v>
      </c>
    </row>
    <row r="1315" spans="2:3">
      <c r="B1315" t="s">
        <v>17</v>
      </c>
      <c r="C1315" s="281">
        <v>68.66</v>
      </c>
    </row>
    <row r="1316" spans="2:3">
      <c r="B1316" t="s">
        <v>637</v>
      </c>
      <c r="C1316" s="288" t="s">
        <v>177</v>
      </c>
    </row>
    <row r="1365" spans="2:3" ht="15.75" thickBot="1">
      <c r="B1365" s="268" t="s">
        <v>155</v>
      </c>
      <c r="C1365" s="266">
        <v>89.8</v>
      </c>
    </row>
    <row r="1366" spans="2:3" ht="15.75" thickBot="1">
      <c r="B1366" s="269" t="s">
        <v>156</v>
      </c>
      <c r="C1366" s="270">
        <v>82.42</v>
      </c>
    </row>
    <row r="1367" spans="2:3" ht="15.75" thickBot="1">
      <c r="B1367" s="272" t="s">
        <v>154</v>
      </c>
      <c r="C1367" s="273">
        <v>72.819999999999993</v>
      </c>
    </row>
    <row r="1368" spans="2:3" ht="15.75" thickBot="1">
      <c r="B1368" s="275" t="s">
        <v>630</v>
      </c>
      <c r="C1368" s="276">
        <v>71.430000000000007</v>
      </c>
    </row>
    <row r="1369" spans="2:3" ht="15.75" thickBot="1">
      <c r="B1369" s="278" t="s">
        <v>631</v>
      </c>
      <c r="C1369" s="279">
        <v>82.86</v>
      </c>
    </row>
    <row r="1370" spans="2:3">
      <c r="B1370" t="s">
        <v>632</v>
      </c>
      <c r="C1370" s="281">
        <v>80.58</v>
      </c>
    </row>
    <row r="1371" spans="2:3">
      <c r="B1371" t="s">
        <v>633</v>
      </c>
      <c r="C1371" s="282">
        <v>7</v>
      </c>
    </row>
    <row r="1372" spans="2:3">
      <c r="B1372" t="s">
        <v>634</v>
      </c>
      <c r="C1372" s="283">
        <v>88.89</v>
      </c>
    </row>
    <row r="1373" spans="2:3">
      <c r="B1373" t="s">
        <v>635</v>
      </c>
      <c r="C1373" s="284">
        <v>9</v>
      </c>
    </row>
    <row r="1374" spans="2:3">
      <c r="B1374" t="s">
        <v>636</v>
      </c>
      <c r="C1374" s="290" t="s">
        <v>398</v>
      </c>
    </row>
    <row r="1375" spans="2:3">
      <c r="B1375" t="s">
        <v>17</v>
      </c>
      <c r="C1375" s="281">
        <v>68.66</v>
      </c>
    </row>
    <row r="1376" spans="2:3">
      <c r="B1376" t="s">
        <v>637</v>
      </c>
      <c r="C1376" s="288">
        <v>71.430000000000007</v>
      </c>
    </row>
    <row r="1425" spans="2:3" ht="15.75" thickBot="1">
      <c r="B1425" s="268" t="s">
        <v>155</v>
      </c>
      <c r="C1425" s="266">
        <v>60.51</v>
      </c>
    </row>
    <row r="1426" spans="2:3" ht="15.75" thickBot="1">
      <c r="B1426" s="269" t="s">
        <v>156</v>
      </c>
      <c r="C1426" s="270">
        <v>62.44</v>
      </c>
    </row>
    <row r="1427" spans="2:3" ht="15.75" thickBot="1">
      <c r="B1427" s="272" t="s">
        <v>154</v>
      </c>
      <c r="C1427" s="273">
        <v>59.31</v>
      </c>
    </row>
    <row r="1428" spans="2:3" ht="15.75" thickBot="1">
      <c r="B1428" s="275" t="s">
        <v>630</v>
      </c>
      <c r="C1428" s="276">
        <v>57.35</v>
      </c>
    </row>
    <row r="1429" spans="2:3" ht="15.75" thickBot="1">
      <c r="B1429" s="278" t="s">
        <v>631</v>
      </c>
      <c r="C1429" s="279">
        <v>56.47</v>
      </c>
    </row>
    <row r="1430" spans="2:3">
      <c r="B1430" t="s">
        <v>632</v>
      </c>
      <c r="C1430" s="281">
        <v>59.53</v>
      </c>
    </row>
    <row r="1431" spans="2:3">
      <c r="B1431" t="s">
        <v>633</v>
      </c>
      <c r="C1431" s="282">
        <v>17</v>
      </c>
    </row>
    <row r="1432" spans="2:3">
      <c r="B1432" t="s">
        <v>634</v>
      </c>
      <c r="C1432" s="283">
        <v>76.92</v>
      </c>
    </row>
    <row r="1433" spans="2:3">
      <c r="B1433" t="s">
        <v>635</v>
      </c>
      <c r="C1433" s="284">
        <v>12</v>
      </c>
    </row>
    <row r="1434" spans="2:3" ht="33.75">
      <c r="B1434" t="s">
        <v>636</v>
      </c>
      <c r="C1434" s="290" t="s">
        <v>399</v>
      </c>
    </row>
    <row r="1435" spans="2:3">
      <c r="B1435" t="s">
        <v>17</v>
      </c>
      <c r="C1435" s="281">
        <v>68.66</v>
      </c>
    </row>
    <row r="1436" spans="2:3">
      <c r="B1436" t="s">
        <v>637</v>
      </c>
      <c r="C1436" s="288">
        <v>58.82</v>
      </c>
    </row>
    <row r="1485" spans="2:3" ht="15.75" thickBot="1">
      <c r="B1485" s="268" t="s">
        <v>155</v>
      </c>
      <c r="C1485" s="266" t="s">
        <v>177</v>
      </c>
    </row>
    <row r="1486" spans="2:3" ht="15.75" thickBot="1">
      <c r="B1486" s="269" t="s">
        <v>156</v>
      </c>
      <c r="C1486" s="270" t="s">
        <v>177</v>
      </c>
    </row>
    <row r="1487" spans="2:3" ht="15.75" thickBot="1">
      <c r="B1487" s="272" t="s">
        <v>154</v>
      </c>
      <c r="C1487" s="273" t="s">
        <v>177</v>
      </c>
    </row>
    <row r="1488" spans="2:3" ht="15.75" thickBot="1">
      <c r="B1488" s="275" t="s">
        <v>630</v>
      </c>
      <c r="C1488" s="276" t="s">
        <v>177</v>
      </c>
    </row>
    <row r="1489" spans="2:3" ht="15.75" thickBot="1">
      <c r="B1489" s="278" t="s">
        <v>631</v>
      </c>
      <c r="C1489" s="279" t="s">
        <v>177</v>
      </c>
    </row>
    <row r="1490" spans="2:3">
      <c r="B1490" t="s">
        <v>632</v>
      </c>
      <c r="C1490" s="281" t="s">
        <v>177</v>
      </c>
    </row>
    <row r="1491" spans="2:3">
      <c r="B1491" t="s">
        <v>633</v>
      </c>
      <c r="C1491" s="282">
        <v>5</v>
      </c>
    </row>
    <row r="1492" spans="2:3">
      <c r="B1492" t="s">
        <v>634</v>
      </c>
      <c r="C1492" s="283" t="s">
        <v>177</v>
      </c>
    </row>
    <row r="1493" spans="2:3">
      <c r="B1493" t="s">
        <v>635</v>
      </c>
      <c r="C1493" s="284">
        <v>5</v>
      </c>
    </row>
    <row r="1494" spans="2:3" ht="33.75">
      <c r="B1494" t="s">
        <v>636</v>
      </c>
      <c r="C1494" s="290" t="s">
        <v>400</v>
      </c>
    </row>
    <row r="1495" spans="2:3">
      <c r="B1495" t="s">
        <v>17</v>
      </c>
      <c r="C1495" s="281">
        <v>68.66</v>
      </c>
    </row>
    <row r="1496" spans="2:3">
      <c r="B1496" t="s">
        <v>637</v>
      </c>
      <c r="C1496" s="288" t="s">
        <v>177</v>
      </c>
    </row>
    <row r="1545" spans="2:3" ht="15.75" thickBot="1">
      <c r="B1545" s="268" t="s">
        <v>155</v>
      </c>
      <c r="C1545" s="266" t="s">
        <v>177</v>
      </c>
    </row>
    <row r="1546" spans="2:3" ht="15.75" thickBot="1">
      <c r="B1546" s="269" t="s">
        <v>156</v>
      </c>
      <c r="C1546" s="270" t="s">
        <v>177</v>
      </c>
    </row>
    <row r="1547" spans="2:3" ht="15.75" thickBot="1">
      <c r="B1547" s="272" t="s">
        <v>154</v>
      </c>
      <c r="C1547" s="273" t="s">
        <v>177</v>
      </c>
    </row>
    <row r="1548" spans="2:3" ht="15.75" thickBot="1">
      <c r="B1548" s="275" t="s">
        <v>630</v>
      </c>
      <c r="C1548" s="276" t="s">
        <v>177</v>
      </c>
    </row>
    <row r="1549" spans="2:3" ht="15.75" thickBot="1">
      <c r="B1549" s="278" t="s">
        <v>631</v>
      </c>
      <c r="C1549" s="279" t="s">
        <v>177</v>
      </c>
    </row>
    <row r="1550" spans="2:3">
      <c r="B1550" t="s">
        <v>632</v>
      </c>
      <c r="C1550" s="281" t="s">
        <v>177</v>
      </c>
    </row>
    <row r="1551" spans="2:3">
      <c r="B1551" t="s">
        <v>633</v>
      </c>
      <c r="C1551" s="282">
        <v>2</v>
      </c>
    </row>
    <row r="1552" spans="2:3">
      <c r="B1552" t="s">
        <v>634</v>
      </c>
      <c r="C1552" s="283" t="s">
        <v>177</v>
      </c>
    </row>
    <row r="1553" spans="2:3">
      <c r="B1553" t="s">
        <v>635</v>
      </c>
      <c r="C1553" s="284">
        <v>1</v>
      </c>
    </row>
    <row r="1554" spans="2:3">
      <c r="B1554" t="s">
        <v>636</v>
      </c>
      <c r="C1554" s="290" t="s">
        <v>401</v>
      </c>
    </row>
    <row r="1555" spans="2:3">
      <c r="B1555" t="s">
        <v>17</v>
      </c>
      <c r="C1555" s="281">
        <v>68.66</v>
      </c>
    </row>
    <row r="1556" spans="2:3">
      <c r="B1556" t="s">
        <v>637</v>
      </c>
      <c r="C1556" s="288" t="s">
        <v>177</v>
      </c>
    </row>
    <row r="1605" spans="2:8" ht="15.75" thickBot="1">
      <c r="B1605" s="268" t="s">
        <v>155</v>
      </c>
      <c r="C1605" s="266" t="s">
        <v>177</v>
      </c>
      <c r="D1605" s="266">
        <v>66.540000000000006</v>
      </c>
      <c r="E1605" s="266">
        <v>79.22</v>
      </c>
      <c r="F1605" s="266">
        <v>80.819999999999993</v>
      </c>
      <c r="G1605" s="266" t="s">
        <v>177</v>
      </c>
      <c r="H1605" s="266">
        <v>83.33</v>
      </c>
    </row>
    <row r="1606" spans="2:8" ht="15.75" thickBot="1">
      <c r="B1606" s="269" t="s">
        <v>156</v>
      </c>
      <c r="C1606" s="270" t="s">
        <v>177</v>
      </c>
      <c r="D1606" s="270">
        <v>68.86</v>
      </c>
      <c r="E1606" s="270">
        <v>73.430000000000007</v>
      </c>
      <c r="F1606" s="270">
        <v>74.290000000000006</v>
      </c>
      <c r="G1606" s="270" t="s">
        <v>177</v>
      </c>
      <c r="H1606" s="270">
        <v>83.76</v>
      </c>
    </row>
    <row r="1607" spans="2:8" ht="15.75" thickBot="1">
      <c r="B1607" s="272" t="s">
        <v>154</v>
      </c>
      <c r="C1607" s="273" t="s">
        <v>177</v>
      </c>
      <c r="D1607" s="273">
        <v>69.989999999999995</v>
      </c>
      <c r="E1607" s="273">
        <v>80.3</v>
      </c>
      <c r="F1607" s="273">
        <v>73.87</v>
      </c>
      <c r="G1607" s="273" t="s">
        <v>177</v>
      </c>
      <c r="H1607" s="273">
        <v>79.05</v>
      </c>
    </row>
    <row r="1608" spans="2:8" ht="15.75" thickBot="1">
      <c r="B1608" s="275" t="s">
        <v>630</v>
      </c>
      <c r="C1608" s="276" t="s">
        <v>177</v>
      </c>
      <c r="D1608" s="276">
        <v>59.75</v>
      </c>
      <c r="E1608" s="276">
        <v>75</v>
      </c>
      <c r="F1608" s="276">
        <v>68.98</v>
      </c>
      <c r="G1608" s="276" t="s">
        <v>177</v>
      </c>
      <c r="H1608" s="276">
        <v>77.78</v>
      </c>
    </row>
    <row r="1609" spans="2:8" ht="15.75" thickBot="1">
      <c r="B1609" s="278" t="s">
        <v>631</v>
      </c>
      <c r="C1609" s="279" t="s">
        <v>177</v>
      </c>
      <c r="D1609" s="279">
        <v>56.31</v>
      </c>
      <c r="E1609" s="279">
        <v>74.55</v>
      </c>
      <c r="F1609" s="279">
        <v>64.19</v>
      </c>
      <c r="G1609" s="279" t="s">
        <v>177</v>
      </c>
      <c r="H1609" s="279">
        <v>80</v>
      </c>
    </row>
    <row r="1610" spans="2:8">
      <c r="B1610" t="s">
        <v>632</v>
      </c>
      <c r="C1610" s="281" t="s">
        <v>177</v>
      </c>
      <c r="D1610" s="281">
        <v>64.510000000000005</v>
      </c>
      <c r="E1610" s="281">
        <v>76.8</v>
      </c>
      <c r="F1610" s="281">
        <v>73.099999999999994</v>
      </c>
      <c r="G1610" s="281" t="s">
        <v>177</v>
      </c>
      <c r="H1610" s="281">
        <v>81.3</v>
      </c>
    </row>
    <row r="1611" spans="2:8">
      <c r="B1611" t="s">
        <v>633</v>
      </c>
      <c r="C1611" s="282">
        <v>4</v>
      </c>
      <c r="D1611" s="282">
        <v>8</v>
      </c>
      <c r="E1611" s="282">
        <v>11</v>
      </c>
      <c r="F1611" s="282">
        <v>17</v>
      </c>
      <c r="G1611" s="282">
        <v>1</v>
      </c>
      <c r="H1611" s="282">
        <v>9</v>
      </c>
    </row>
    <row r="1612" spans="2:8">
      <c r="B1612" t="s">
        <v>634</v>
      </c>
      <c r="C1612" s="283" t="s">
        <v>177</v>
      </c>
      <c r="D1612" s="283">
        <v>70.06</v>
      </c>
      <c r="E1612" s="283" t="s">
        <v>177</v>
      </c>
      <c r="F1612" s="283">
        <v>73.22</v>
      </c>
      <c r="G1612" s="283" t="s">
        <v>177</v>
      </c>
      <c r="H1612" s="283">
        <v>83.33</v>
      </c>
    </row>
    <row r="1613" spans="2:8">
      <c r="B1613" t="s">
        <v>635</v>
      </c>
      <c r="C1613" s="284">
        <v>5</v>
      </c>
      <c r="D1613" s="284">
        <v>11</v>
      </c>
      <c r="E1613" s="284" t="s">
        <v>10</v>
      </c>
      <c r="F1613" s="284">
        <v>15</v>
      </c>
      <c r="G1613" s="284" t="s">
        <v>10</v>
      </c>
      <c r="H1613" s="284">
        <v>9</v>
      </c>
    </row>
    <row r="1614" spans="2:8" ht="33.75">
      <c r="B1614" t="s">
        <v>636</v>
      </c>
      <c r="C1614" s="290" t="s">
        <v>402</v>
      </c>
      <c r="D1614" s="290" t="s">
        <v>403</v>
      </c>
      <c r="E1614" s="290" t="s">
        <v>404</v>
      </c>
      <c r="F1614" s="290" t="s">
        <v>405</v>
      </c>
      <c r="G1614" s="290" t="s">
        <v>406</v>
      </c>
      <c r="H1614" s="290" t="s">
        <v>407</v>
      </c>
    </row>
    <row r="1615" spans="2:8">
      <c r="B1615" t="s">
        <v>17</v>
      </c>
      <c r="C1615" s="281">
        <v>68.66</v>
      </c>
      <c r="D1615" s="281">
        <v>68.66</v>
      </c>
      <c r="E1615" s="281">
        <v>68.66</v>
      </c>
      <c r="F1615" s="281">
        <v>68.66</v>
      </c>
      <c r="G1615" s="281">
        <v>68.66</v>
      </c>
      <c r="H1615" s="281">
        <v>68.66</v>
      </c>
    </row>
    <row r="1616" spans="2:8">
      <c r="B1616" t="s">
        <v>637</v>
      </c>
      <c r="C1616" s="288" t="s">
        <v>177</v>
      </c>
      <c r="D1616" s="288">
        <v>33.33</v>
      </c>
      <c r="E1616" s="288">
        <v>81.819999999999993</v>
      </c>
      <c r="F1616" s="288">
        <v>62.51</v>
      </c>
      <c r="G1616" s="288" t="s">
        <v>177</v>
      </c>
      <c r="H1616" s="288">
        <v>88.89</v>
      </c>
    </row>
    <row r="1665" spans="2:7" ht="15.75" thickBot="1">
      <c r="B1665" s="268" t="s">
        <v>155</v>
      </c>
      <c r="C1665" s="266">
        <v>62.32</v>
      </c>
      <c r="D1665" s="266">
        <v>81.23</v>
      </c>
      <c r="E1665" s="266">
        <v>90.18</v>
      </c>
      <c r="F1665" s="266" t="s">
        <v>177</v>
      </c>
      <c r="G1665" s="266">
        <v>91.84</v>
      </c>
    </row>
    <row r="1666" spans="2:7" ht="15.75" thickBot="1">
      <c r="B1666" s="269" t="s">
        <v>156</v>
      </c>
      <c r="C1666" s="270">
        <v>61.65</v>
      </c>
      <c r="D1666" s="270">
        <v>78.06</v>
      </c>
      <c r="E1666" s="270">
        <v>84.62</v>
      </c>
      <c r="F1666" s="270" t="s">
        <v>177</v>
      </c>
      <c r="G1666" s="270">
        <v>93.41</v>
      </c>
    </row>
    <row r="1667" spans="2:7" ht="15.75" thickBot="1">
      <c r="B1667" s="272" t="s">
        <v>154</v>
      </c>
      <c r="C1667" s="273">
        <v>59.38</v>
      </c>
      <c r="D1667" s="273">
        <v>67.2</v>
      </c>
      <c r="E1667" s="273">
        <v>83.33</v>
      </c>
      <c r="F1667" s="273" t="s">
        <v>177</v>
      </c>
      <c r="G1667" s="273">
        <v>91.67</v>
      </c>
    </row>
    <row r="1668" spans="2:7" ht="15.75" thickBot="1">
      <c r="B1668" s="275" t="s">
        <v>630</v>
      </c>
      <c r="C1668" s="276">
        <v>62.1</v>
      </c>
      <c r="D1668" s="276">
        <v>72.12</v>
      </c>
      <c r="E1668" s="276">
        <v>95.31</v>
      </c>
      <c r="F1668" s="276" t="s">
        <v>177</v>
      </c>
      <c r="G1668" s="276">
        <v>100</v>
      </c>
    </row>
    <row r="1669" spans="2:7" ht="15.75" thickBot="1">
      <c r="B1669" s="278" t="s">
        <v>631</v>
      </c>
      <c r="C1669" s="279">
        <v>67.77</v>
      </c>
      <c r="D1669" s="279">
        <v>73.33</v>
      </c>
      <c r="E1669" s="279">
        <v>76.25</v>
      </c>
      <c r="F1669" s="279" t="s">
        <v>177</v>
      </c>
      <c r="G1669" s="279">
        <v>92.86</v>
      </c>
    </row>
    <row r="1670" spans="2:7">
      <c r="B1670" t="s">
        <v>632</v>
      </c>
      <c r="C1670" s="281">
        <v>62.41</v>
      </c>
      <c r="D1670" s="281">
        <v>74.92</v>
      </c>
      <c r="E1670" s="281">
        <v>85.99</v>
      </c>
      <c r="F1670" s="281" t="s">
        <v>177</v>
      </c>
      <c r="G1670" s="281">
        <v>93.6</v>
      </c>
    </row>
    <row r="1671" spans="2:7">
      <c r="B1671" t="s">
        <v>633</v>
      </c>
      <c r="C1671" s="282">
        <v>30</v>
      </c>
      <c r="D1671" s="282">
        <v>13</v>
      </c>
      <c r="E1671" s="282">
        <v>8</v>
      </c>
      <c r="F1671" s="282">
        <v>2</v>
      </c>
      <c r="G1671" s="282">
        <v>7</v>
      </c>
    </row>
    <row r="1672" spans="2:7">
      <c r="B1672" t="s">
        <v>634</v>
      </c>
      <c r="C1672" s="283">
        <v>75.2</v>
      </c>
      <c r="D1672" s="283">
        <v>75.98</v>
      </c>
      <c r="E1672" s="283">
        <v>61.08</v>
      </c>
      <c r="F1672" s="283">
        <v>75.39</v>
      </c>
      <c r="G1672" s="283">
        <v>81.03</v>
      </c>
    </row>
    <row r="1673" spans="2:7">
      <c r="B1673" t="s">
        <v>635</v>
      </c>
      <c r="C1673" s="284">
        <v>13</v>
      </c>
      <c r="D1673" s="284">
        <v>15</v>
      </c>
      <c r="E1673" s="284">
        <v>7</v>
      </c>
      <c r="F1673" s="284">
        <v>11</v>
      </c>
      <c r="G1673" s="284">
        <v>8</v>
      </c>
    </row>
    <row r="1674" spans="2:7" ht="56.25">
      <c r="B1674" t="s">
        <v>636</v>
      </c>
      <c r="C1674" s="290" t="s">
        <v>408</v>
      </c>
      <c r="D1674" s="290" t="s">
        <v>409</v>
      </c>
      <c r="E1674" s="290" t="s">
        <v>410</v>
      </c>
      <c r="F1674" s="290" t="s">
        <v>411</v>
      </c>
      <c r="G1674" s="290" t="s">
        <v>412</v>
      </c>
    </row>
    <row r="1675" spans="2:7">
      <c r="B1675" t="s">
        <v>17</v>
      </c>
      <c r="C1675" s="281">
        <v>68.66</v>
      </c>
      <c r="D1675" s="281">
        <v>68.66</v>
      </c>
      <c r="E1675" s="281">
        <v>68.66</v>
      </c>
      <c r="F1675" s="281">
        <v>68.66</v>
      </c>
      <c r="G1675" s="281">
        <v>68.66</v>
      </c>
    </row>
    <row r="1676" spans="2:7">
      <c r="B1676" t="s">
        <v>637</v>
      </c>
      <c r="C1676" s="288">
        <v>58.62</v>
      </c>
      <c r="D1676" s="288">
        <v>76.92</v>
      </c>
      <c r="E1676" s="288">
        <v>100</v>
      </c>
      <c r="F1676" s="288" t="s">
        <v>177</v>
      </c>
      <c r="G1676" s="288">
        <v>100</v>
      </c>
    </row>
    <row r="1725" spans="2:3" ht="15.75" thickBot="1">
      <c r="B1725" s="268" t="s">
        <v>155</v>
      </c>
      <c r="C1725" s="266" t="s">
        <v>177</v>
      </c>
    </row>
    <row r="1726" spans="2:3" ht="15.75" thickBot="1">
      <c r="B1726" s="269" t="s">
        <v>156</v>
      </c>
      <c r="C1726" s="270" t="s">
        <v>177</v>
      </c>
    </row>
    <row r="1727" spans="2:3" ht="15.75" thickBot="1">
      <c r="B1727" s="272" t="s">
        <v>154</v>
      </c>
      <c r="C1727" s="273" t="s">
        <v>177</v>
      </c>
    </row>
    <row r="1728" spans="2:3" ht="15.75" thickBot="1">
      <c r="B1728" s="275" t="s">
        <v>630</v>
      </c>
      <c r="C1728" s="276" t="s">
        <v>177</v>
      </c>
    </row>
    <row r="1729" spans="2:3" ht="15.75" thickBot="1">
      <c r="B1729" s="278" t="s">
        <v>631</v>
      </c>
      <c r="C1729" s="279" t="s">
        <v>177</v>
      </c>
    </row>
    <row r="1730" spans="2:3">
      <c r="B1730" t="s">
        <v>632</v>
      </c>
      <c r="C1730" s="281" t="s">
        <v>177</v>
      </c>
    </row>
    <row r="1731" spans="2:3">
      <c r="B1731" t="s">
        <v>633</v>
      </c>
      <c r="C1731" s="282">
        <v>2</v>
      </c>
    </row>
    <row r="1732" spans="2:3">
      <c r="B1732" t="s">
        <v>634</v>
      </c>
      <c r="C1732" s="283" t="s">
        <v>177</v>
      </c>
    </row>
    <row r="1733" spans="2:3">
      <c r="B1733" t="s">
        <v>635</v>
      </c>
      <c r="C1733" s="284">
        <v>1</v>
      </c>
    </row>
    <row r="1734" spans="2:3">
      <c r="B1734" t="s">
        <v>636</v>
      </c>
      <c r="C1734" s="290" t="s">
        <v>413</v>
      </c>
    </row>
    <row r="1735" spans="2:3">
      <c r="B1735" t="s">
        <v>17</v>
      </c>
      <c r="C1735" s="281">
        <v>68.66</v>
      </c>
    </row>
    <row r="1736" spans="2:3">
      <c r="B1736" t="s">
        <v>637</v>
      </c>
      <c r="C1736" s="288" t="s">
        <v>177</v>
      </c>
    </row>
    <row r="1785" spans="2:5" ht="15.75" thickBot="1">
      <c r="B1785" s="268" t="s">
        <v>155</v>
      </c>
      <c r="C1785" s="266" t="s">
        <v>177</v>
      </c>
      <c r="D1785" s="266" t="s">
        <v>177</v>
      </c>
      <c r="E1785" s="266" t="s">
        <v>177</v>
      </c>
    </row>
    <row r="1786" spans="2:5" ht="15.75" thickBot="1">
      <c r="B1786" s="269" t="s">
        <v>156</v>
      </c>
      <c r="C1786" s="270" t="s">
        <v>177</v>
      </c>
      <c r="D1786" s="270" t="s">
        <v>177</v>
      </c>
      <c r="E1786" s="270" t="s">
        <v>177</v>
      </c>
    </row>
    <row r="1787" spans="2:5" ht="15.75" thickBot="1">
      <c r="B1787" s="272" t="s">
        <v>154</v>
      </c>
      <c r="C1787" s="273" t="s">
        <v>177</v>
      </c>
      <c r="D1787" s="273" t="s">
        <v>177</v>
      </c>
      <c r="E1787" s="273" t="s">
        <v>177</v>
      </c>
    </row>
    <row r="1788" spans="2:5" ht="15.75" thickBot="1">
      <c r="B1788" s="275" t="s">
        <v>630</v>
      </c>
      <c r="C1788" s="276" t="s">
        <v>177</v>
      </c>
      <c r="D1788" s="276" t="s">
        <v>177</v>
      </c>
      <c r="E1788" s="276" t="s">
        <v>177</v>
      </c>
    </row>
    <row r="1789" spans="2:5" ht="15.75" thickBot="1">
      <c r="B1789" s="278" t="s">
        <v>631</v>
      </c>
      <c r="C1789" s="279" t="s">
        <v>177</v>
      </c>
      <c r="D1789" s="279" t="s">
        <v>177</v>
      </c>
      <c r="E1789" s="279" t="s">
        <v>177</v>
      </c>
    </row>
    <row r="1790" spans="2:5">
      <c r="B1790" t="s">
        <v>632</v>
      </c>
      <c r="C1790" s="281" t="s">
        <v>177</v>
      </c>
      <c r="D1790" s="281" t="s">
        <v>177</v>
      </c>
      <c r="E1790" s="281" t="s">
        <v>177</v>
      </c>
    </row>
    <row r="1791" spans="2:5">
      <c r="B1791" t="s">
        <v>633</v>
      </c>
      <c r="C1791" s="282">
        <v>5</v>
      </c>
      <c r="D1791" s="282">
        <v>3</v>
      </c>
      <c r="E1791" s="282">
        <v>1</v>
      </c>
    </row>
    <row r="1792" spans="2:5">
      <c r="B1792" t="s">
        <v>634</v>
      </c>
      <c r="C1792" s="283" t="s">
        <v>177</v>
      </c>
      <c r="D1792" s="283" t="s">
        <v>177</v>
      </c>
      <c r="E1792" s="283" t="s">
        <v>177</v>
      </c>
    </row>
    <row r="1793" spans="2:5">
      <c r="B1793" t="s">
        <v>635</v>
      </c>
      <c r="C1793" s="284">
        <v>5</v>
      </c>
      <c r="D1793" s="284">
        <v>5</v>
      </c>
      <c r="E1793" s="284" t="s">
        <v>10</v>
      </c>
    </row>
    <row r="1794" spans="2:5" ht="45">
      <c r="B1794" t="s">
        <v>636</v>
      </c>
      <c r="C1794" s="290" t="s">
        <v>414</v>
      </c>
      <c r="D1794" s="290" t="s">
        <v>415</v>
      </c>
      <c r="E1794" s="290" t="s">
        <v>416</v>
      </c>
    </row>
    <row r="1795" spans="2:5">
      <c r="B1795" t="s">
        <v>17</v>
      </c>
      <c r="C1795" s="281">
        <v>68.66</v>
      </c>
      <c r="D1795" s="281">
        <v>68.66</v>
      </c>
      <c r="E1795" s="281">
        <v>68.66</v>
      </c>
    </row>
    <row r="1796" spans="2:5">
      <c r="B1796" t="s">
        <v>637</v>
      </c>
      <c r="C1796" s="288" t="s">
        <v>177</v>
      </c>
      <c r="D1796" s="288" t="s">
        <v>177</v>
      </c>
      <c r="E1796" s="288" t="s">
        <v>177</v>
      </c>
    </row>
    <row r="1845" spans="2:4" ht="15.75" thickBot="1">
      <c r="B1845" s="268" t="s">
        <v>155</v>
      </c>
      <c r="C1845" s="266" t="s">
        <v>177</v>
      </c>
      <c r="D1845" s="266" t="s">
        <v>177</v>
      </c>
    </row>
    <row r="1846" spans="2:4" ht="15.75" thickBot="1">
      <c r="B1846" s="269" t="s">
        <v>156</v>
      </c>
      <c r="C1846" s="270" t="s">
        <v>177</v>
      </c>
      <c r="D1846" s="270" t="s">
        <v>177</v>
      </c>
    </row>
    <row r="1847" spans="2:4" ht="15.75" thickBot="1">
      <c r="B1847" s="272" t="s">
        <v>154</v>
      </c>
      <c r="C1847" s="273" t="s">
        <v>177</v>
      </c>
      <c r="D1847" s="273" t="s">
        <v>177</v>
      </c>
    </row>
    <row r="1848" spans="2:4" ht="15.75" thickBot="1">
      <c r="B1848" s="275" t="s">
        <v>630</v>
      </c>
      <c r="C1848" s="276" t="s">
        <v>177</v>
      </c>
      <c r="D1848" s="276" t="s">
        <v>177</v>
      </c>
    </row>
    <row r="1849" spans="2:4" ht="15.75" thickBot="1">
      <c r="B1849" s="278" t="s">
        <v>631</v>
      </c>
      <c r="C1849" s="279" t="s">
        <v>177</v>
      </c>
      <c r="D1849" s="279" t="s">
        <v>177</v>
      </c>
    </row>
    <row r="1850" spans="2:4">
      <c r="B1850" t="s">
        <v>632</v>
      </c>
      <c r="C1850" s="281" t="s">
        <v>177</v>
      </c>
      <c r="D1850" s="281" t="s">
        <v>177</v>
      </c>
    </row>
    <row r="1851" spans="2:4">
      <c r="B1851" t="s">
        <v>633</v>
      </c>
      <c r="C1851" s="282">
        <v>2</v>
      </c>
      <c r="D1851" s="282">
        <v>4</v>
      </c>
    </row>
    <row r="1852" spans="2:4">
      <c r="B1852" t="s">
        <v>634</v>
      </c>
      <c r="C1852" s="283" t="s">
        <v>177</v>
      </c>
      <c r="D1852" s="283" t="s">
        <v>177</v>
      </c>
    </row>
    <row r="1853" spans="2:4">
      <c r="B1853" t="s">
        <v>635</v>
      </c>
      <c r="C1853" s="284">
        <v>2</v>
      </c>
      <c r="D1853" s="284">
        <v>4</v>
      </c>
    </row>
    <row r="1854" spans="2:4" ht="33.75">
      <c r="B1854" t="s">
        <v>636</v>
      </c>
      <c r="C1854" s="290" t="s">
        <v>417</v>
      </c>
      <c r="D1854" s="290" t="s">
        <v>418</v>
      </c>
    </row>
    <row r="1855" spans="2:4">
      <c r="B1855" t="s">
        <v>17</v>
      </c>
      <c r="C1855" s="281">
        <v>68.66</v>
      </c>
      <c r="D1855" s="281">
        <v>68.66</v>
      </c>
    </row>
    <row r="1856" spans="2:4">
      <c r="B1856" t="s">
        <v>637</v>
      </c>
      <c r="C1856" s="288" t="s">
        <v>177</v>
      </c>
      <c r="D1856" s="288" t="s">
        <v>177</v>
      </c>
    </row>
    <row r="1905" spans="2:4" ht="15.75" thickBot="1">
      <c r="B1905" s="268" t="s">
        <v>155</v>
      </c>
      <c r="C1905" s="266">
        <v>55.51</v>
      </c>
      <c r="D1905" s="266">
        <v>62.99</v>
      </c>
    </row>
    <row r="1906" spans="2:4" ht="15.75" thickBot="1">
      <c r="B1906" s="269" t="s">
        <v>156</v>
      </c>
      <c r="C1906" s="270">
        <v>60.71</v>
      </c>
      <c r="D1906" s="270">
        <v>63.16</v>
      </c>
    </row>
    <row r="1907" spans="2:4" ht="15.75" thickBot="1">
      <c r="B1907" s="272" t="s">
        <v>154</v>
      </c>
      <c r="C1907" s="273">
        <v>60.16</v>
      </c>
      <c r="D1907" s="273">
        <v>57.89</v>
      </c>
    </row>
    <row r="1908" spans="2:4" ht="15.75" thickBot="1">
      <c r="B1908" s="275" t="s">
        <v>630</v>
      </c>
      <c r="C1908" s="276">
        <v>64.95</v>
      </c>
      <c r="D1908" s="276">
        <v>60.53</v>
      </c>
    </row>
    <row r="1909" spans="2:4" ht="15.75" thickBot="1">
      <c r="B1909" s="278" t="s">
        <v>631</v>
      </c>
      <c r="C1909" s="279">
        <v>58.95</v>
      </c>
      <c r="D1909" s="279">
        <v>66.84</v>
      </c>
    </row>
    <row r="1910" spans="2:4">
      <c r="B1910" t="s">
        <v>632</v>
      </c>
      <c r="C1910" s="281">
        <v>59.75</v>
      </c>
      <c r="D1910" s="281">
        <v>62.03</v>
      </c>
    </row>
    <row r="1911" spans="2:4">
      <c r="B1911" t="s">
        <v>633</v>
      </c>
      <c r="C1911" s="282">
        <v>19</v>
      </c>
      <c r="D1911" s="282">
        <v>19</v>
      </c>
    </row>
    <row r="1912" spans="2:4">
      <c r="B1912" t="s">
        <v>634</v>
      </c>
      <c r="C1912" s="283">
        <v>62.93</v>
      </c>
      <c r="D1912" s="283">
        <v>74.040000000000006</v>
      </c>
    </row>
    <row r="1913" spans="2:4">
      <c r="B1913" t="s">
        <v>635</v>
      </c>
      <c r="C1913" s="284">
        <v>18</v>
      </c>
      <c r="D1913" s="284">
        <v>19</v>
      </c>
    </row>
    <row r="1914" spans="2:4" ht="45">
      <c r="B1914" t="s">
        <v>636</v>
      </c>
      <c r="C1914" s="290" t="s">
        <v>419</v>
      </c>
      <c r="D1914" s="290" t="s">
        <v>420</v>
      </c>
    </row>
    <row r="1915" spans="2:4">
      <c r="B1915" t="s">
        <v>17</v>
      </c>
      <c r="C1915" s="281">
        <v>68.66</v>
      </c>
      <c r="D1915" s="281">
        <v>68.66</v>
      </c>
    </row>
    <row r="1916" spans="2:4">
      <c r="B1916" t="s">
        <v>637</v>
      </c>
      <c r="C1916" s="288">
        <v>68.42</v>
      </c>
      <c r="D1916" s="288">
        <v>47.37</v>
      </c>
    </row>
    <row r="1965" spans="2:4" ht="15.75" thickBot="1">
      <c r="B1965" s="268" t="s">
        <v>155</v>
      </c>
      <c r="C1965" s="266">
        <v>51.6</v>
      </c>
      <c r="D1965" s="266">
        <v>74.599999999999994</v>
      </c>
    </row>
    <row r="1966" spans="2:4" ht="15.75" thickBot="1">
      <c r="B1966" s="269" t="s">
        <v>156</v>
      </c>
      <c r="C1966" s="270">
        <v>58.23</v>
      </c>
      <c r="D1966" s="270">
        <v>74.180000000000007</v>
      </c>
    </row>
    <row r="1967" spans="2:4" ht="15.75" thickBot="1">
      <c r="B1967" s="272" t="s">
        <v>154</v>
      </c>
      <c r="C1967" s="273">
        <v>50.14</v>
      </c>
      <c r="D1967" s="273">
        <v>70.489999999999995</v>
      </c>
    </row>
    <row r="1968" spans="2:4" ht="15.75" thickBot="1">
      <c r="B1968" s="275" t="s">
        <v>630</v>
      </c>
      <c r="C1968" s="276">
        <v>52</v>
      </c>
      <c r="D1968" s="276">
        <v>71.430000000000007</v>
      </c>
    </row>
    <row r="1969" spans="2:4" ht="15.75" thickBot="1">
      <c r="B1969" s="278" t="s">
        <v>631</v>
      </c>
      <c r="C1969" s="279">
        <v>54.49</v>
      </c>
      <c r="D1969" s="279">
        <v>73.39</v>
      </c>
    </row>
    <row r="1970" spans="2:4">
      <c r="B1970" t="s">
        <v>632</v>
      </c>
      <c r="C1970" s="281">
        <v>53.28</v>
      </c>
      <c r="D1970" s="281">
        <v>72.95</v>
      </c>
    </row>
    <row r="1971" spans="2:4">
      <c r="B1971" t="s">
        <v>633</v>
      </c>
      <c r="C1971" s="282">
        <v>121</v>
      </c>
      <c r="D1971" s="282">
        <v>425</v>
      </c>
    </row>
    <row r="1972" spans="2:4">
      <c r="B1972" t="s">
        <v>634</v>
      </c>
      <c r="C1972" s="283">
        <v>59.69</v>
      </c>
      <c r="D1972" s="283">
        <v>77.31</v>
      </c>
    </row>
    <row r="1973" spans="2:4">
      <c r="B1973" t="s">
        <v>635</v>
      </c>
      <c r="C1973" s="284">
        <v>159</v>
      </c>
      <c r="D1973" s="284">
        <v>441</v>
      </c>
    </row>
    <row r="1974" spans="2:4">
      <c r="B1974" t="s">
        <v>636</v>
      </c>
      <c r="C1974" s="287" t="s">
        <v>421</v>
      </c>
      <c r="D1974" s="287" t="s">
        <v>422</v>
      </c>
    </row>
    <row r="1975" spans="2:4">
      <c r="B1975" t="s">
        <v>17</v>
      </c>
      <c r="C1975" s="281">
        <v>68.66</v>
      </c>
      <c r="D1975" s="281">
        <v>68.66</v>
      </c>
    </row>
    <row r="1976" spans="2:4">
      <c r="B1976" t="s">
        <v>637</v>
      </c>
      <c r="C1976" s="288">
        <v>48.28</v>
      </c>
      <c r="D1976" s="288">
        <v>71.05</v>
      </c>
    </row>
    <row r="2025" spans="2:7" ht="15.75" thickBot="1">
      <c r="B2025" s="268" t="s">
        <v>155</v>
      </c>
      <c r="C2025" s="266">
        <v>65.7</v>
      </c>
      <c r="D2025" s="266">
        <v>67.92</v>
      </c>
      <c r="E2025" s="266">
        <v>45.24</v>
      </c>
      <c r="F2025" s="266">
        <v>79.849999999999994</v>
      </c>
      <c r="G2025" s="266">
        <v>40.35</v>
      </c>
    </row>
    <row r="2026" spans="2:7" ht="15.75" thickBot="1">
      <c r="B2026" s="269" t="s">
        <v>156</v>
      </c>
      <c r="C2026" s="270">
        <v>71.34</v>
      </c>
      <c r="D2026" s="270">
        <v>63.01</v>
      </c>
      <c r="E2026" s="270">
        <v>39.229999999999997</v>
      </c>
      <c r="F2026" s="270">
        <v>78.97</v>
      </c>
      <c r="G2026" s="270">
        <v>44.64</v>
      </c>
    </row>
    <row r="2027" spans="2:7" ht="15.75" thickBot="1">
      <c r="B2027" s="272" t="s">
        <v>154</v>
      </c>
      <c r="C2027" s="273">
        <v>62.54</v>
      </c>
      <c r="D2027" s="273">
        <v>65.52</v>
      </c>
      <c r="E2027" s="273">
        <v>41.02</v>
      </c>
      <c r="F2027" s="273">
        <v>74.63</v>
      </c>
      <c r="G2027" s="273">
        <v>41.52</v>
      </c>
    </row>
    <row r="2028" spans="2:7" ht="15.75" thickBot="1">
      <c r="B2028" s="275" t="s">
        <v>630</v>
      </c>
      <c r="C2028" s="276">
        <v>60.05</v>
      </c>
      <c r="D2028" s="276">
        <v>62.11</v>
      </c>
      <c r="E2028" s="276">
        <v>29.03</v>
      </c>
      <c r="F2028" s="276">
        <v>80.47</v>
      </c>
      <c r="G2028" s="276">
        <v>37.51</v>
      </c>
    </row>
    <row r="2029" spans="2:7" ht="15.75" thickBot="1">
      <c r="B2029" s="278" t="s">
        <v>631</v>
      </c>
      <c r="C2029" s="279">
        <v>68.55</v>
      </c>
      <c r="D2029" s="279">
        <v>63.02</v>
      </c>
      <c r="E2029" s="279">
        <v>28.22</v>
      </c>
      <c r="F2029" s="279">
        <v>79</v>
      </c>
      <c r="G2029" s="279">
        <v>40.909999999999997</v>
      </c>
    </row>
    <row r="2030" spans="2:7">
      <c r="B2030" t="s">
        <v>632</v>
      </c>
      <c r="C2030" s="281">
        <v>65.959999999999994</v>
      </c>
      <c r="D2030" s="281">
        <v>64.59</v>
      </c>
      <c r="E2030" s="281">
        <v>37.590000000000003</v>
      </c>
      <c r="F2030" s="281">
        <v>78.489999999999995</v>
      </c>
      <c r="G2030" s="281">
        <v>41.06</v>
      </c>
    </row>
    <row r="2031" spans="2:7">
      <c r="B2031" t="s">
        <v>633</v>
      </c>
      <c r="C2031" s="282">
        <v>138</v>
      </c>
      <c r="D2031" s="282">
        <v>43</v>
      </c>
      <c r="E2031" s="282">
        <v>10</v>
      </c>
      <c r="F2031" s="282">
        <v>266</v>
      </c>
      <c r="G2031" s="282">
        <v>56</v>
      </c>
    </row>
    <row r="2032" spans="2:7">
      <c r="B2032" t="s">
        <v>634</v>
      </c>
      <c r="C2032" s="283">
        <v>67.489999999999995</v>
      </c>
      <c r="D2032" s="283">
        <v>60.86</v>
      </c>
      <c r="E2032" s="283">
        <v>43.1</v>
      </c>
      <c r="F2032" s="283">
        <v>81.81</v>
      </c>
      <c r="G2032" s="283">
        <v>54.92</v>
      </c>
    </row>
    <row r="2033" spans="2:7">
      <c r="B2033" t="s">
        <v>635</v>
      </c>
      <c r="C2033" s="284">
        <v>175</v>
      </c>
      <c r="D2033" s="284">
        <v>47</v>
      </c>
      <c r="E2033" s="284">
        <v>10</v>
      </c>
      <c r="F2033" s="284">
        <v>301</v>
      </c>
      <c r="G2033" s="284">
        <v>46</v>
      </c>
    </row>
    <row r="2034" spans="2:7" ht="67.5">
      <c r="B2034" t="s">
        <v>636</v>
      </c>
      <c r="C2034" s="287" t="s">
        <v>423</v>
      </c>
      <c r="D2034" s="287" t="s">
        <v>424</v>
      </c>
      <c r="E2034" s="287" t="s">
        <v>425</v>
      </c>
      <c r="F2034" s="287" t="s">
        <v>426</v>
      </c>
      <c r="G2034" s="287" t="s">
        <v>427</v>
      </c>
    </row>
    <row r="2035" spans="2:7">
      <c r="B2035" t="s">
        <v>17</v>
      </c>
      <c r="C2035" s="281">
        <v>68.66</v>
      </c>
      <c r="D2035" s="281">
        <v>68.66</v>
      </c>
      <c r="E2035" s="281">
        <v>68.66</v>
      </c>
      <c r="F2035" s="281">
        <v>68.66</v>
      </c>
      <c r="G2035" s="281">
        <v>68.66</v>
      </c>
    </row>
    <row r="2036" spans="2:7">
      <c r="B2036" t="s">
        <v>637</v>
      </c>
      <c r="C2036" s="288">
        <v>62.32</v>
      </c>
      <c r="D2036" s="288">
        <v>62.79</v>
      </c>
      <c r="E2036" s="288">
        <v>30</v>
      </c>
      <c r="F2036" s="288">
        <v>78.95</v>
      </c>
      <c r="G2036" s="288">
        <v>28.57</v>
      </c>
    </row>
  </sheetData>
  <conditionalFormatting sqref="C45:C49">
    <cfRule type="cellIs" dxfId="173" priority="172" stopIfTrue="1" operator="lessThanOrEqual">
      <formula>44.49</formula>
    </cfRule>
    <cfRule type="cellIs" dxfId="172" priority="173" stopIfTrue="1" operator="greaterThanOrEqual">
      <formula>85.5</formula>
    </cfRule>
    <cfRule type="cellIs" dxfId="171" priority="174" stopIfTrue="1" operator="between">
      <formula>44.5</formula>
      <formula>60.49</formula>
    </cfRule>
  </conditionalFormatting>
  <conditionalFormatting sqref="D45:E49">
    <cfRule type="cellIs" dxfId="170" priority="169" stopIfTrue="1" operator="lessThanOrEqual">
      <formula>44.49</formula>
    </cfRule>
    <cfRule type="cellIs" dxfId="169" priority="170" stopIfTrue="1" operator="greaterThanOrEqual">
      <formula>85.5</formula>
    </cfRule>
    <cfRule type="cellIs" dxfId="168" priority="171" stopIfTrue="1" operator="between">
      <formula>44.5</formula>
      <formula>60.49</formula>
    </cfRule>
  </conditionalFormatting>
  <conditionalFormatting sqref="F45:F49">
    <cfRule type="cellIs" dxfId="167" priority="166" stopIfTrue="1" operator="lessThanOrEqual">
      <formula>44.49</formula>
    </cfRule>
    <cfRule type="cellIs" dxfId="166" priority="167" stopIfTrue="1" operator="greaterThanOrEqual">
      <formula>85.5</formula>
    </cfRule>
    <cfRule type="cellIs" dxfId="165" priority="168" stopIfTrue="1" operator="between">
      <formula>44.5</formula>
      <formula>60.49</formula>
    </cfRule>
  </conditionalFormatting>
  <conditionalFormatting sqref="C105:G109">
    <cfRule type="cellIs" dxfId="164" priority="163" stopIfTrue="1" operator="lessThanOrEqual">
      <formula>44.49</formula>
    </cfRule>
    <cfRule type="cellIs" dxfId="163" priority="164" stopIfTrue="1" operator="greaterThanOrEqual">
      <formula>85.5</formula>
    </cfRule>
    <cfRule type="cellIs" dxfId="162" priority="165" stopIfTrue="1" operator="between">
      <formula>44.5</formula>
      <formula>60.49</formula>
    </cfRule>
  </conditionalFormatting>
  <conditionalFormatting sqref="C165:C169">
    <cfRule type="cellIs" dxfId="161" priority="160" stopIfTrue="1" operator="lessThanOrEqual">
      <formula>44.49</formula>
    </cfRule>
    <cfRule type="cellIs" dxfId="160" priority="161" stopIfTrue="1" operator="greaterThanOrEqual">
      <formula>85.5</formula>
    </cfRule>
    <cfRule type="cellIs" dxfId="159" priority="162" stopIfTrue="1" operator="between">
      <formula>44.5</formula>
      <formula>60.49</formula>
    </cfRule>
  </conditionalFormatting>
  <conditionalFormatting sqref="D165:D169">
    <cfRule type="cellIs" dxfId="158" priority="157" stopIfTrue="1" operator="lessThanOrEqual">
      <formula>44.49</formula>
    </cfRule>
    <cfRule type="cellIs" dxfId="157" priority="158" stopIfTrue="1" operator="greaterThanOrEqual">
      <formula>85.5</formula>
    </cfRule>
    <cfRule type="cellIs" dxfId="156" priority="159" stopIfTrue="1" operator="between">
      <formula>44.5</formula>
      <formula>60.49</formula>
    </cfRule>
  </conditionalFormatting>
  <conditionalFormatting sqref="C225:C229">
    <cfRule type="cellIs" dxfId="155" priority="154" stopIfTrue="1" operator="lessThanOrEqual">
      <formula>44.49</formula>
    </cfRule>
    <cfRule type="cellIs" dxfId="154" priority="155" stopIfTrue="1" operator="greaterThanOrEqual">
      <formula>85.5</formula>
    </cfRule>
    <cfRule type="cellIs" dxfId="153" priority="156" stopIfTrue="1" operator="between">
      <formula>44.5</formula>
      <formula>60.49</formula>
    </cfRule>
  </conditionalFormatting>
  <conditionalFormatting sqref="D225:G229">
    <cfRule type="cellIs" dxfId="152" priority="151" stopIfTrue="1" operator="lessThanOrEqual">
      <formula>44.49</formula>
    </cfRule>
    <cfRule type="cellIs" dxfId="151" priority="152" stopIfTrue="1" operator="greaterThanOrEqual">
      <formula>85.5</formula>
    </cfRule>
    <cfRule type="cellIs" dxfId="150" priority="153" stopIfTrue="1" operator="between">
      <formula>44.5</formula>
      <formula>60.49</formula>
    </cfRule>
  </conditionalFormatting>
  <conditionalFormatting sqref="C285:G289">
    <cfRule type="cellIs" dxfId="149" priority="148" stopIfTrue="1" operator="lessThanOrEqual">
      <formula>44.49</formula>
    </cfRule>
    <cfRule type="cellIs" dxfId="148" priority="149" stopIfTrue="1" operator="greaterThanOrEqual">
      <formula>85.5</formula>
    </cfRule>
    <cfRule type="cellIs" dxfId="147" priority="150" stopIfTrue="1" operator="between">
      <formula>44.5</formula>
      <formula>60.49</formula>
    </cfRule>
  </conditionalFormatting>
  <conditionalFormatting sqref="C345:C349">
    <cfRule type="cellIs" dxfId="146" priority="145" stopIfTrue="1" operator="lessThanOrEqual">
      <formula>44.49</formula>
    </cfRule>
    <cfRule type="cellIs" dxfId="145" priority="146" stopIfTrue="1" operator="greaterThanOrEqual">
      <formula>85.5</formula>
    </cfRule>
    <cfRule type="cellIs" dxfId="144" priority="147" stopIfTrue="1" operator="between">
      <formula>44.5</formula>
      <formula>60.49</formula>
    </cfRule>
  </conditionalFormatting>
  <conditionalFormatting sqref="D345:D349">
    <cfRule type="cellIs" dxfId="143" priority="142" stopIfTrue="1" operator="lessThanOrEqual">
      <formula>44.49</formula>
    </cfRule>
    <cfRule type="cellIs" dxfId="142" priority="143" stopIfTrue="1" operator="greaterThanOrEqual">
      <formula>85.5</formula>
    </cfRule>
    <cfRule type="cellIs" dxfId="141" priority="144" stopIfTrue="1" operator="between">
      <formula>44.5</formula>
      <formula>60.49</formula>
    </cfRule>
  </conditionalFormatting>
  <conditionalFormatting sqref="C405:F409">
    <cfRule type="cellIs" dxfId="140" priority="139" stopIfTrue="1" operator="lessThanOrEqual">
      <formula>44.49</formula>
    </cfRule>
    <cfRule type="cellIs" dxfId="139" priority="140" stopIfTrue="1" operator="greaterThanOrEqual">
      <formula>85.5</formula>
    </cfRule>
    <cfRule type="cellIs" dxfId="138" priority="141" stopIfTrue="1" operator="between">
      <formula>44.5</formula>
      <formula>60.49</formula>
    </cfRule>
  </conditionalFormatting>
  <conditionalFormatting sqref="C465:G469">
    <cfRule type="cellIs" dxfId="137" priority="136" stopIfTrue="1" operator="lessThanOrEqual">
      <formula>44.49</formula>
    </cfRule>
    <cfRule type="cellIs" dxfId="136" priority="137" stopIfTrue="1" operator="greaterThanOrEqual">
      <formula>85.5</formula>
    </cfRule>
    <cfRule type="cellIs" dxfId="135" priority="138" stopIfTrue="1" operator="between">
      <formula>44.5</formula>
      <formula>60.49</formula>
    </cfRule>
  </conditionalFormatting>
  <conditionalFormatting sqref="I465:I469">
    <cfRule type="cellIs" dxfId="134" priority="133" stopIfTrue="1" operator="lessThanOrEqual">
      <formula>44.49</formula>
    </cfRule>
    <cfRule type="cellIs" dxfId="133" priority="134" stopIfTrue="1" operator="greaterThanOrEqual">
      <formula>85.5</formula>
    </cfRule>
    <cfRule type="cellIs" dxfId="132" priority="135" stopIfTrue="1" operator="between">
      <formula>44.5</formula>
      <formula>60.49</formula>
    </cfRule>
  </conditionalFormatting>
  <conditionalFormatting sqref="C525:G529">
    <cfRule type="cellIs" dxfId="131" priority="130" stopIfTrue="1" operator="lessThanOrEqual">
      <formula>44.49</formula>
    </cfRule>
    <cfRule type="cellIs" dxfId="130" priority="131" stopIfTrue="1" operator="greaterThanOrEqual">
      <formula>85.5</formula>
    </cfRule>
    <cfRule type="cellIs" dxfId="129" priority="132" stopIfTrue="1" operator="between">
      <formula>44.5</formula>
      <formula>60.49</formula>
    </cfRule>
  </conditionalFormatting>
  <conditionalFormatting sqref="I525:I529">
    <cfRule type="cellIs" dxfId="128" priority="127" stopIfTrue="1" operator="lessThanOrEqual">
      <formula>44.49</formula>
    </cfRule>
    <cfRule type="cellIs" dxfId="127" priority="128" stopIfTrue="1" operator="greaterThanOrEqual">
      <formula>85.5</formula>
    </cfRule>
    <cfRule type="cellIs" dxfId="126" priority="129" stopIfTrue="1" operator="between">
      <formula>44.5</formula>
      <formula>60.49</formula>
    </cfRule>
  </conditionalFormatting>
  <conditionalFormatting sqref="C585:G589">
    <cfRule type="cellIs" dxfId="125" priority="124" stopIfTrue="1" operator="lessThanOrEqual">
      <formula>44.49</formula>
    </cfRule>
    <cfRule type="cellIs" dxfId="124" priority="125" stopIfTrue="1" operator="greaterThanOrEqual">
      <formula>85.5</formula>
    </cfRule>
    <cfRule type="cellIs" dxfId="123" priority="126" stopIfTrue="1" operator="between">
      <formula>44.5</formula>
      <formula>60.49</formula>
    </cfRule>
  </conditionalFormatting>
  <conditionalFormatting sqref="I585:I589">
    <cfRule type="cellIs" dxfId="122" priority="121" stopIfTrue="1" operator="lessThanOrEqual">
      <formula>44.49</formula>
    </cfRule>
    <cfRule type="cellIs" dxfId="121" priority="122" stopIfTrue="1" operator="greaterThanOrEqual">
      <formula>85.5</formula>
    </cfRule>
    <cfRule type="cellIs" dxfId="120" priority="123" stopIfTrue="1" operator="between">
      <formula>44.5</formula>
      <formula>60.49</formula>
    </cfRule>
  </conditionalFormatting>
  <conditionalFormatting sqref="C645:C649">
    <cfRule type="cellIs" dxfId="119" priority="118" stopIfTrue="1" operator="lessThanOrEqual">
      <formula>44.49</formula>
    </cfRule>
    <cfRule type="cellIs" dxfId="118" priority="119" stopIfTrue="1" operator="greaterThanOrEqual">
      <formula>85.5</formula>
    </cfRule>
    <cfRule type="cellIs" dxfId="117" priority="120" stopIfTrue="1" operator="between">
      <formula>44.5</formula>
      <formula>60.49</formula>
    </cfRule>
  </conditionalFormatting>
  <conditionalFormatting sqref="D645:D649">
    <cfRule type="cellIs" dxfId="116" priority="115" stopIfTrue="1" operator="lessThanOrEqual">
      <formula>44.49</formula>
    </cfRule>
    <cfRule type="cellIs" dxfId="115" priority="116" stopIfTrue="1" operator="greaterThanOrEqual">
      <formula>85.5</formula>
    </cfRule>
    <cfRule type="cellIs" dxfId="114" priority="117" stopIfTrue="1" operator="between">
      <formula>44.5</formula>
      <formula>60.49</formula>
    </cfRule>
  </conditionalFormatting>
  <conditionalFormatting sqref="C705:E709">
    <cfRule type="cellIs" dxfId="113" priority="112" stopIfTrue="1" operator="lessThanOrEqual">
      <formula>44.49</formula>
    </cfRule>
    <cfRule type="cellIs" dxfId="112" priority="113" stopIfTrue="1" operator="greaterThanOrEqual">
      <formula>85.5</formula>
    </cfRule>
    <cfRule type="cellIs" dxfId="111" priority="114" stopIfTrue="1" operator="between">
      <formula>44.5</formula>
      <formula>60.49</formula>
    </cfRule>
  </conditionalFormatting>
  <conditionalFormatting sqref="F705:F709">
    <cfRule type="cellIs" dxfId="110" priority="109" stopIfTrue="1" operator="lessThanOrEqual">
      <formula>44.49</formula>
    </cfRule>
    <cfRule type="cellIs" dxfId="109" priority="110" stopIfTrue="1" operator="greaterThanOrEqual">
      <formula>85.5</formula>
    </cfRule>
    <cfRule type="cellIs" dxfId="108" priority="111" stopIfTrue="1" operator="between">
      <formula>44.5</formula>
      <formula>60.49</formula>
    </cfRule>
  </conditionalFormatting>
  <conditionalFormatting sqref="C765:E769">
    <cfRule type="cellIs" dxfId="107" priority="106" stopIfTrue="1" operator="lessThanOrEqual">
      <formula>44.49</formula>
    </cfRule>
    <cfRule type="cellIs" dxfId="106" priority="107" stopIfTrue="1" operator="greaterThanOrEqual">
      <formula>85.5</formula>
    </cfRule>
    <cfRule type="cellIs" dxfId="105" priority="108" stopIfTrue="1" operator="between">
      <formula>44.5</formula>
      <formula>60.49</formula>
    </cfRule>
  </conditionalFormatting>
  <conditionalFormatting sqref="F765:F769">
    <cfRule type="cellIs" dxfId="104" priority="103" stopIfTrue="1" operator="lessThanOrEqual">
      <formula>44.49</formula>
    </cfRule>
    <cfRule type="cellIs" dxfId="103" priority="104" stopIfTrue="1" operator="greaterThanOrEqual">
      <formula>85.5</formula>
    </cfRule>
    <cfRule type="cellIs" dxfId="102" priority="105" stopIfTrue="1" operator="between">
      <formula>44.5</formula>
      <formula>60.49</formula>
    </cfRule>
  </conditionalFormatting>
  <conditionalFormatting sqref="C825:C829">
    <cfRule type="cellIs" dxfId="101" priority="100" stopIfTrue="1" operator="lessThanOrEqual">
      <formula>44.49</formula>
    </cfRule>
    <cfRule type="cellIs" dxfId="100" priority="101" stopIfTrue="1" operator="greaterThanOrEqual">
      <formula>85.5</formula>
    </cfRule>
    <cfRule type="cellIs" dxfId="99" priority="102" stopIfTrue="1" operator="between">
      <formula>44.5</formula>
      <formula>60.49</formula>
    </cfRule>
  </conditionalFormatting>
  <conditionalFormatting sqref="D825:D829">
    <cfRule type="cellIs" dxfId="98" priority="97" stopIfTrue="1" operator="lessThanOrEqual">
      <formula>44.49</formula>
    </cfRule>
    <cfRule type="cellIs" dxfId="97" priority="98" stopIfTrue="1" operator="greaterThanOrEqual">
      <formula>85.5</formula>
    </cfRule>
    <cfRule type="cellIs" dxfId="96" priority="99" stopIfTrue="1" operator="between">
      <formula>44.5</formula>
      <formula>60.49</formula>
    </cfRule>
  </conditionalFormatting>
  <conditionalFormatting sqref="C885:C889">
    <cfRule type="cellIs" dxfId="95" priority="94" stopIfTrue="1" operator="lessThanOrEqual">
      <formula>44.49</formula>
    </cfRule>
    <cfRule type="cellIs" dxfId="94" priority="95" stopIfTrue="1" operator="greaterThanOrEqual">
      <formula>85.5</formula>
    </cfRule>
    <cfRule type="cellIs" dxfId="93" priority="96" stopIfTrue="1" operator="between">
      <formula>44.5</formula>
      <formula>60.49</formula>
    </cfRule>
  </conditionalFormatting>
  <conditionalFormatting sqref="D885:D889">
    <cfRule type="cellIs" dxfId="92" priority="91" stopIfTrue="1" operator="lessThanOrEqual">
      <formula>44.49</formula>
    </cfRule>
    <cfRule type="cellIs" dxfId="91" priority="92" stopIfTrue="1" operator="greaterThanOrEqual">
      <formula>85.5</formula>
    </cfRule>
    <cfRule type="cellIs" dxfId="90" priority="93" stopIfTrue="1" operator="between">
      <formula>44.5</formula>
      <formula>60.49</formula>
    </cfRule>
  </conditionalFormatting>
  <conditionalFormatting sqref="C945:C949">
    <cfRule type="cellIs" dxfId="89" priority="88" stopIfTrue="1" operator="lessThanOrEqual">
      <formula>44.49</formula>
    </cfRule>
    <cfRule type="cellIs" dxfId="88" priority="89" stopIfTrue="1" operator="greaterThanOrEqual">
      <formula>85.5</formula>
    </cfRule>
    <cfRule type="cellIs" dxfId="87" priority="90" stopIfTrue="1" operator="between">
      <formula>44.5</formula>
      <formula>60.49</formula>
    </cfRule>
  </conditionalFormatting>
  <conditionalFormatting sqref="D945:D949">
    <cfRule type="cellIs" dxfId="86" priority="85" stopIfTrue="1" operator="lessThanOrEqual">
      <formula>44.49</formula>
    </cfRule>
    <cfRule type="cellIs" dxfId="85" priority="86" stopIfTrue="1" operator="greaterThanOrEqual">
      <formula>85.5</formula>
    </cfRule>
    <cfRule type="cellIs" dxfId="84" priority="87" stopIfTrue="1" operator="between">
      <formula>44.5</formula>
      <formula>60.49</formula>
    </cfRule>
  </conditionalFormatting>
  <conditionalFormatting sqref="C1005:C1009">
    <cfRule type="cellIs" dxfId="83" priority="82" stopIfTrue="1" operator="lessThanOrEqual">
      <formula>44.49</formula>
    </cfRule>
    <cfRule type="cellIs" dxfId="82" priority="83" stopIfTrue="1" operator="greaterThanOrEqual">
      <formula>85.5</formula>
    </cfRule>
    <cfRule type="cellIs" dxfId="81" priority="84" stopIfTrue="1" operator="between">
      <formula>44.5</formula>
      <formula>60.49</formula>
    </cfRule>
  </conditionalFormatting>
  <conditionalFormatting sqref="D1005:D1009">
    <cfRule type="cellIs" dxfId="80" priority="79" stopIfTrue="1" operator="lessThanOrEqual">
      <formula>44.49</formula>
    </cfRule>
    <cfRule type="cellIs" dxfId="79" priority="80" stopIfTrue="1" operator="greaterThanOrEqual">
      <formula>85.5</formula>
    </cfRule>
    <cfRule type="cellIs" dxfId="78" priority="81" stopIfTrue="1" operator="between">
      <formula>44.5</formula>
      <formula>60.49</formula>
    </cfRule>
  </conditionalFormatting>
  <conditionalFormatting sqref="C1065:E1069">
    <cfRule type="cellIs" dxfId="77" priority="76" stopIfTrue="1" operator="lessThanOrEqual">
      <formula>44.49</formula>
    </cfRule>
    <cfRule type="cellIs" dxfId="76" priority="77" stopIfTrue="1" operator="greaterThanOrEqual">
      <formula>85.5</formula>
    </cfRule>
    <cfRule type="cellIs" dxfId="75" priority="78" stopIfTrue="1" operator="between">
      <formula>44.5</formula>
      <formula>60.49</formula>
    </cfRule>
  </conditionalFormatting>
  <conditionalFormatting sqref="F1065:F1069">
    <cfRule type="cellIs" dxfId="74" priority="73" stopIfTrue="1" operator="lessThanOrEqual">
      <formula>44.49</formula>
    </cfRule>
    <cfRule type="cellIs" dxfId="73" priority="74" stopIfTrue="1" operator="greaterThanOrEqual">
      <formula>85.5</formula>
    </cfRule>
    <cfRule type="cellIs" dxfId="72" priority="75" stopIfTrue="1" operator="between">
      <formula>44.5</formula>
      <formula>60.49</formula>
    </cfRule>
  </conditionalFormatting>
  <conditionalFormatting sqref="C1125:D1129">
    <cfRule type="cellIs" dxfId="71" priority="70" stopIfTrue="1" operator="lessThanOrEqual">
      <formula>44.49</formula>
    </cfRule>
    <cfRule type="cellIs" dxfId="70" priority="71" stopIfTrue="1" operator="greaterThanOrEqual">
      <formula>85.5</formula>
    </cfRule>
    <cfRule type="cellIs" dxfId="69" priority="72" stopIfTrue="1" operator="between">
      <formula>44.5</formula>
      <formula>60.49</formula>
    </cfRule>
  </conditionalFormatting>
  <conditionalFormatting sqref="E1125:E1129">
    <cfRule type="cellIs" dxfId="68" priority="67" stopIfTrue="1" operator="lessThanOrEqual">
      <formula>44.49</formula>
    </cfRule>
    <cfRule type="cellIs" dxfId="67" priority="68" stopIfTrue="1" operator="greaterThanOrEqual">
      <formula>85.5</formula>
    </cfRule>
    <cfRule type="cellIs" dxfId="66" priority="69" stopIfTrue="1" operator="between">
      <formula>44.5</formula>
      <formula>60.49</formula>
    </cfRule>
  </conditionalFormatting>
  <conditionalFormatting sqref="C1185:G1189">
    <cfRule type="cellIs" dxfId="65" priority="64" stopIfTrue="1" operator="lessThanOrEqual">
      <formula>44.49</formula>
    </cfRule>
    <cfRule type="cellIs" dxfId="64" priority="65" stopIfTrue="1" operator="greaterThanOrEqual">
      <formula>85.5</formula>
    </cfRule>
    <cfRule type="cellIs" dxfId="63" priority="66" stopIfTrue="1" operator="between">
      <formula>44.5</formula>
      <formula>60.49</formula>
    </cfRule>
  </conditionalFormatting>
  <conditionalFormatting sqref="H1185:H1189">
    <cfRule type="cellIs" dxfId="62" priority="61" stopIfTrue="1" operator="lessThanOrEqual">
      <formula>44.49</formula>
    </cfRule>
    <cfRule type="cellIs" dxfId="61" priority="62" stopIfTrue="1" operator="greaterThanOrEqual">
      <formula>85.5</formula>
    </cfRule>
    <cfRule type="cellIs" dxfId="60" priority="63" stopIfTrue="1" operator="between">
      <formula>44.5</formula>
      <formula>60.49</formula>
    </cfRule>
  </conditionalFormatting>
  <conditionalFormatting sqref="C1245:C1249">
    <cfRule type="cellIs" dxfId="59" priority="58" stopIfTrue="1" operator="lessThanOrEqual">
      <formula>44.49</formula>
    </cfRule>
    <cfRule type="cellIs" dxfId="58" priority="59" stopIfTrue="1" operator="greaterThanOrEqual">
      <formula>85.5</formula>
    </cfRule>
    <cfRule type="cellIs" dxfId="57" priority="60" stopIfTrue="1" operator="between">
      <formula>44.5</formula>
      <formula>60.49</formula>
    </cfRule>
  </conditionalFormatting>
  <conditionalFormatting sqref="C1305:C1309">
    <cfRule type="cellIs" dxfId="56" priority="55" stopIfTrue="1" operator="lessThanOrEqual">
      <formula>44.49</formula>
    </cfRule>
    <cfRule type="cellIs" dxfId="55" priority="56" stopIfTrue="1" operator="greaterThanOrEqual">
      <formula>85.5</formula>
    </cfRule>
    <cfRule type="cellIs" dxfId="54" priority="57" stopIfTrue="1" operator="between">
      <formula>44.5</formula>
      <formula>60.49</formula>
    </cfRule>
  </conditionalFormatting>
  <conditionalFormatting sqref="C1365:C1369">
    <cfRule type="cellIs" dxfId="53" priority="52" stopIfTrue="1" operator="lessThanOrEqual">
      <formula>44.49</formula>
    </cfRule>
    <cfRule type="cellIs" dxfId="52" priority="53" stopIfTrue="1" operator="greaterThanOrEqual">
      <formula>85.5</formula>
    </cfRule>
    <cfRule type="cellIs" dxfId="51" priority="54" stopIfTrue="1" operator="between">
      <formula>44.5</formula>
      <formula>60.49</formula>
    </cfRule>
  </conditionalFormatting>
  <conditionalFormatting sqref="C1425:C1429">
    <cfRule type="cellIs" dxfId="50" priority="49" stopIfTrue="1" operator="lessThanOrEqual">
      <formula>44.49</formula>
    </cfRule>
    <cfRule type="cellIs" dxfId="49" priority="50" stopIfTrue="1" operator="greaterThanOrEqual">
      <formula>85.5</formula>
    </cfRule>
    <cfRule type="cellIs" dxfId="48" priority="51" stopIfTrue="1" operator="between">
      <formula>44.5</formula>
      <formula>60.49</formula>
    </cfRule>
  </conditionalFormatting>
  <conditionalFormatting sqref="C1485:C1489">
    <cfRule type="cellIs" dxfId="47" priority="46" stopIfTrue="1" operator="lessThanOrEqual">
      <formula>44.49</formula>
    </cfRule>
    <cfRule type="cellIs" dxfId="46" priority="47" stopIfTrue="1" operator="greaterThanOrEqual">
      <formula>85.5</formula>
    </cfRule>
    <cfRule type="cellIs" dxfId="45" priority="48" stopIfTrue="1" operator="between">
      <formula>44.5</formula>
      <formula>60.49</formula>
    </cfRule>
  </conditionalFormatting>
  <conditionalFormatting sqref="C1545:C1549">
    <cfRule type="cellIs" dxfId="44" priority="43" stopIfTrue="1" operator="lessThanOrEqual">
      <formula>44.49</formula>
    </cfRule>
    <cfRule type="cellIs" dxfId="43" priority="44" stopIfTrue="1" operator="greaterThanOrEqual">
      <formula>85.5</formula>
    </cfRule>
    <cfRule type="cellIs" dxfId="42" priority="45" stopIfTrue="1" operator="between">
      <formula>44.5</formula>
      <formula>60.49</formula>
    </cfRule>
  </conditionalFormatting>
  <conditionalFormatting sqref="H1605:H1609">
    <cfRule type="cellIs" dxfId="41" priority="37" stopIfTrue="1" operator="lessThanOrEqual">
      <formula>44.49</formula>
    </cfRule>
    <cfRule type="cellIs" dxfId="40" priority="38" stopIfTrue="1" operator="greaterThanOrEqual">
      <formula>85.5</formula>
    </cfRule>
    <cfRule type="cellIs" dxfId="39" priority="39" stopIfTrue="1" operator="between">
      <formula>44.5</formula>
      <formula>60.49</formula>
    </cfRule>
  </conditionalFormatting>
  <conditionalFormatting sqref="C1605:G1609">
    <cfRule type="cellIs" dxfId="38" priority="40" stopIfTrue="1" operator="lessThanOrEqual">
      <formula>44.49</formula>
    </cfRule>
    <cfRule type="cellIs" dxfId="37" priority="41" stopIfTrue="1" operator="greaterThanOrEqual">
      <formula>85.5</formula>
    </cfRule>
    <cfRule type="cellIs" dxfId="36" priority="42" stopIfTrue="1" operator="between">
      <formula>44.5</formula>
      <formula>60.49</formula>
    </cfRule>
  </conditionalFormatting>
  <conditionalFormatting sqref="C1665:F1669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G1665:G1669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C1725:C1729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C1785:D1789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E1785:E1789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C1845:C1849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1845:D1849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C1905:C1909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1905:D1909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C1965:C1969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1965:D196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C2025:G2029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43</vt:i4>
      </vt:variant>
    </vt:vector>
  </HeadingPairs>
  <TitlesOfParts>
    <vt:vector size="51" baseType="lpstr">
      <vt:lpstr>Referencia Datos</vt:lpstr>
      <vt:lpstr>Demografia</vt:lpstr>
      <vt:lpstr>Indicadores</vt:lpstr>
      <vt:lpstr>Ficha Tecnica</vt:lpstr>
      <vt:lpstr>Cuadro de Mando Indicadores</vt:lpstr>
      <vt:lpstr>Graficos Indicadores</vt:lpstr>
      <vt:lpstr>Cuadro de Mando Demografias</vt:lpstr>
      <vt:lpstr>Graficos Demografias</vt:lpstr>
      <vt:lpstr>Confianza1</vt:lpstr>
      <vt:lpstr>Confianza2</vt:lpstr>
      <vt:lpstr>GrafDemo_Bis1_datos</vt:lpstr>
      <vt:lpstr>GrafDemo_Bis10_datos</vt:lpstr>
      <vt:lpstr>GrafDemo_Bis11_datos</vt:lpstr>
      <vt:lpstr>GrafDemo_Bis12_datos</vt:lpstr>
      <vt:lpstr>GrafDemo_Bis13_datos</vt:lpstr>
      <vt:lpstr>GrafDemo_Bis14_datos</vt:lpstr>
      <vt:lpstr>GrafDemo_Bis15_datos</vt:lpstr>
      <vt:lpstr>GrafDemo_Bis16_datos</vt:lpstr>
      <vt:lpstr>GrafDemo_Bis17_datos</vt:lpstr>
      <vt:lpstr>GrafDemo_Bis18_datos</vt:lpstr>
      <vt:lpstr>GrafDemo_Bis19_datos</vt:lpstr>
      <vt:lpstr>GrafDemo_Bis2_datos</vt:lpstr>
      <vt:lpstr>GrafDemo_Bis20_datos</vt:lpstr>
      <vt:lpstr>GrafDemo_Bis21_datos</vt:lpstr>
      <vt:lpstr>GrafDemo_Bis22_datos</vt:lpstr>
      <vt:lpstr>GrafDemo_Bis23_datos</vt:lpstr>
      <vt:lpstr>GrafDemo_Bis24_datos</vt:lpstr>
      <vt:lpstr>GrafDemo_Bis25_datos</vt:lpstr>
      <vt:lpstr>GrafDemo_Bis26_datos</vt:lpstr>
      <vt:lpstr>GrafDemo_Bis27_datos</vt:lpstr>
      <vt:lpstr>GrafDemo_Bis28_datos</vt:lpstr>
      <vt:lpstr>GrafDemo_Bis29_datos</vt:lpstr>
      <vt:lpstr>GrafDemo_Bis3_datos</vt:lpstr>
      <vt:lpstr>GrafDemo_Bis30_datos</vt:lpstr>
      <vt:lpstr>GrafDemo_Bis31_datos</vt:lpstr>
      <vt:lpstr>GrafDemo_Bis32_datos</vt:lpstr>
      <vt:lpstr>GrafDemo_Bis33_datos</vt:lpstr>
      <vt:lpstr>GrafDemo_Bis34_datos</vt:lpstr>
      <vt:lpstr>GrafDemo_Bis4_datos</vt:lpstr>
      <vt:lpstr>GrafDemo_Bis5_datos</vt:lpstr>
      <vt:lpstr>GrafDemo_Bis6_datos</vt:lpstr>
      <vt:lpstr>GrafDemo_Bis7_datos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2017-04-03T00:37:27Z</dcterms:modified>
</cp:coreProperties>
</file>