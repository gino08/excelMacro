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Hb0VhHo83GreWnxBXeWJYilaMNFPlrJpheaT5hGnuPjga5QSByiwkShpdNESncciK9RZjzRW5b9zoJ99vmXFLQ==" workbookSaltValue="wQR2pF0nSOMW2k30MwMjJQ==" workbookSpinCount="100000" lockStructure="1"/>
  <bookViews>
    <workbookView xWindow="0" yWindow="0" windowWidth="19200" windowHeight="1159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197" r:id="rId7"/>
    <sheet name="Gráficos Indicadores" sheetId="2246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/>
  <c r="BS16" i="2"/>
  <c r="BM16" i="2"/>
  <c r="BH16" i="2"/>
  <c r="AS16" i="2"/>
  <c r="AL16" i="2"/>
  <c r="AA16" i="2"/>
  <c r="U16" i="2"/>
  <c r="R16" i="2"/>
  <c r="L16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H56" i="3"/>
  <c r="F56" i="3"/>
  <c r="E56" i="3"/>
  <c r="D56" i="3"/>
  <c r="C56" i="3"/>
  <c r="G56" i="3" s="1"/>
  <c r="Q55" i="3"/>
  <c r="Q54" i="3"/>
  <c r="Q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H17" i="3"/>
  <c r="F17" i="3"/>
  <c r="E17" i="3"/>
  <c r="G17" i="3" s="1"/>
  <c r="D17" i="3"/>
  <c r="C17" i="3"/>
  <c r="Q15" i="3"/>
  <c r="Q14" i="3"/>
  <c r="Q13" i="3"/>
  <c r="Q12" i="3"/>
  <c r="G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G6" i="3" s="1"/>
  <c r="Q5" i="3"/>
  <c r="Q4" i="3"/>
  <c r="Q3" i="3"/>
  <c r="Q2" i="3"/>
  <c r="H2" i="3"/>
  <c r="F2" i="3"/>
  <c r="E2" i="3"/>
  <c r="D2" i="3"/>
  <c r="C2" i="3"/>
  <c r="G2" i="3" s="1"/>
  <c r="H46" i="3" l="1"/>
  <c r="H31" i="3"/>
  <c r="H53" i="3"/>
  <c r="G21" i="3"/>
  <c r="G60" i="3"/>
  <c r="H6" i="3"/>
  <c r="H38" i="3"/>
  <c r="G23" i="3"/>
  <c r="G44" i="3"/>
  <c r="G48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<sst xmlns="http://schemas.openxmlformats.org/spreadsheetml/2006/main" count="1601" uniqueCount="509">
  <si>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</si>
  <si>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</si>
  <si>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</si>
  <si>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</si>
  <si>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</si>
  <si>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</si>
  <si>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</si>
  <si>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</si>
  <si>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</si>
  <si>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</si>
  <si>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</si>
  <si>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</si>
  <si>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</si>
  <si>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</si>
  <si>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</si>
  <si>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</si>
  <si>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</si>
  <si>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</si>
  <si>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</si>
  <si>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</si>
  <si>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</si>
  <si>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</si>
  <si>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</si>
  <si>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</si>
  <si>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</si>
  <si>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</si>
  <si>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</si>
  <si>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</si>
  <si>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</si>
  <si>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</si>
  <si>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</si>
  <si>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</si>
  <si>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</si>
  <si>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</si>
  <si>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</si>
  <si>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</si>
  <si>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</si>
  <si>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</si>
  <si>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</si>
  <si>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</si>
  <si>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</si>
  <si>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</si>
  <si>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</si>
  <si>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</si>
  <si>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</si>
  <si>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</si>
  <si>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</si>
  <si>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</si>
  <si>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</si>
  <si>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</si>
  <si>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</si>
  <si>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</si>
  <si>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</si>
  <si>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</si>
  <si>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</si>
  <si>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</si>
  <si>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</si>
  <si>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</si>
  <si>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</si>
  <si>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</si>
  <si>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</si>
  <si>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</si>
  <si>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</si>
  <si>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</si>
  <si>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</si>
  <si>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</si>
  <si>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</si>
  <si>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</si>
  <si>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</si>
  <si>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</si>
  <si>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</si>
  <si>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</si>
  <si>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</si>
  <si>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</si>
  <si>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</si>
  <si>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</si>
  <si>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</si>
  <si>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</si>
  <si>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</si>
  <si>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</si>
  <si>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</si>
  <si>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</si>
  <si>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</si>
  <si>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</si>
  <si>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</si>
  <si>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</si>
  <si>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</si>
  <si>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</si>
  <si>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</si>
  <si>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</si>
  <si>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</si>
  <si>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</si>
  <si>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</si>
  <si>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</si>
  <si>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</si>
  <si>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</si>
  <si>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</si>
  <si>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</si>
  <si>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</si>
  <si>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</si>
  <si>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</si>
  <si>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</si>
  <si>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</si>
  <si>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</si>
  <si>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</si>
  <si>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</si>
  <si>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</si>
  <si>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</si>
  <si>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</si>
  <si>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</si>
  <si>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</si>
  <si>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</si>
  <si>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</si>
  <si>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</si>
  <si>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</si>
  <si>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</si>
  <si>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</si>
  <si>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</si>
  <si>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</si>
  <si>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</si>
  <si>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</si>
  <si>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</si>
  <si>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</si>
  <si>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</si>
  <si>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</si>
  <si>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</si>
  <si>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</si>
  <si>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</si>
  <si>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</si>
  <si>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</si>
  <si>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</si>
  <si>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</si>
  <si>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</si>
  <si>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</si>
  <si>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</si>
  <si>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</si>
  <si>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</si>
  <si>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</si>
  <si>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</si>
  <si>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</si>
  <si>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</si>
  <si>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</si>
  <si>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</si>
  <si>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</si>
  <si>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</si>
  <si>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</si>
  <si>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</si>
  <si>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</si>
  <si>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</si>
  <si>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</si>
  <si>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</si>
  <si>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</si>
  <si>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</si>
  <si>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</si>
  <si>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</si>
  <si>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</si>
  <si>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</si>
  <si>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</si>
  <si>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</si>
  <si>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</si>
  <si>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</si>
  <si>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</si>
  <si>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</si>
  <si>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</si>
  <si>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</si>
  <si>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</si>
  <si>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</si>
  <si>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</si>
  <si>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</si>
  <si>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</si>
  <si>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</si>
  <si>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</si>
  <si>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</si>
  <si>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</si>
  <si>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</si>
  <si>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</si>
  <si>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</si>
  <si>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</si>
  <si>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</si>
  <si>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</si>
  <si>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</si>
  <si>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</si>
  <si>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</si>
  <si>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</si>
  <si>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</si>
  <si>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</si>
  <si>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</si>
  <si>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</si>
  <si>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</si>
  <si>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</si>
  <si>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</si>
  <si>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</si>
  <si>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</si>
  <si>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</si>
  <si>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</si>
  <si>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</si>
  <si>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</si>
  <si>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</si>
  <si>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</si>
  <si>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</si>
  <si>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</si>
  <si>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</si>
  <si>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</si>
  <si>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</si>
  <si>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</si>
  <si>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</si>
  <si>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</si>
  <si>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</si>
  <si>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</si>
  <si>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</si>
  <si>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</si>
  <si>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</si>
  <si>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</si>
  <si>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</si>
  <si>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</si>
  <si>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</si>
  <si>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</si>
  <si>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</si>
  <si>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</si>
  <si>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</si>
  <si>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</si>
  <si>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</si>
  <si>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</si>
  <si>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</si>
  <si>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</si>
  <si>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</si>
  <si>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</si>
  <si>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</si>
  <si>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</si>
  <si>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</si>
  <si>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</si>
  <si>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</si>
  <si>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</si>
  <si>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</si>
  <si>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</si>
  <si>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</si>
  <si>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</si>
  <si>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</si>
  <si>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</si>
  <si>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</si>
  <si>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</si>
  <si>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</si>
  <si>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</si>
  <si>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</si>
  <si>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</si>
  <si>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</si>
  <si>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</si>
  <si>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</si>
  <si>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</si>
  <si>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</si>
  <si>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</si>
  <si>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</si>
  <si>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</si>
  <si>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</si>
  <si>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</si>
  <si>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</si>
  <si>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</si>
  <si>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</si>
  <si>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</si>
  <si>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</si>
  <si>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</si>
  <si>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</si>
  <si>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</si>
  <si>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</si>
  <si>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</si>
  <si>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</si>
  <si>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</si>
  <si>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</si>
  <si>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</si>
  <si>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</si>
  <si>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</si>
  <si>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</si>
  <si>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</si>
  <si>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</si>
  <si>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</si>
  <si>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</si>
  <si>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</si>
  <si>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</si>
  <si>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</si>
  <si>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</si>
  <si>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</si>
  <si>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</si>
  <si>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</si>
  <si>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</si>
  <si>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</si>
  <si>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</si>
  <si>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</si>
  <si>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</si>
  <si>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</si>
  <si>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</si>
  <si>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</si>
  <si>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</si>
  <si>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</si>
  <si>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</si>
  <si>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</si>
  <si>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</si>
  <si>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</si>
  <si>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</si>
  <si>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</si>
  <si>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</si>
  <si>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</si>
  <si>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</si>
  <si>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</si>
  <si>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</si>
  <si>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</si>
  <si>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</si>
  <si>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</si>
  <si>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</si>
  <si>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</si>
  <si>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</si>
  <si>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</si>
  <si>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</si>
  <si>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</si>
  <si>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</si>
  <si>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</si>
  <si>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</si>
  <si>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</si>
  <si>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</si>
  <si>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</si>
  <si>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</si>
  <si>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</si>
  <si>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</si>
  <si>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</si>
  <si>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</si>
  <si>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</si>
  <si>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</si>
  <si>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</si>
  <si>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</si>
  <si>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</si>
  <si>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</si>
  <si>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</si>
  <si>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</si>
  <si>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</si>
  <si>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</si>
  <si>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</si>
  <si>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</si>
  <si>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</si>
  <si>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</si>
  <si>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</si>
  <si>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</si>
  <si>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</si>
  <si>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</si>
  <si>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</si>
  <si>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</si>
  <si>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</si>
  <si>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</si>
  <si>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</si>
  <si>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</si>
  <si>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</si>
  <si>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</si>
  <si>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</si>
  <si>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</si>
  <si>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</si>
  <si>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</si>
  <si>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</si>
  <si>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</si>
  <si>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</si>
  <si>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</si>
  <si>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</si>
  <si>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</si>
  <si>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</si>
  <si>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</si>
  <si>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</si>
  <si>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</si>
  <si>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</si>
  <si>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</si>
  <si>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</si>
  <si>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</si>
  <si>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</si>
  <si>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</si>
  <si>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</si>
  <si>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</si>
  <si>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</si>
  <si>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</si>
  <si>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</si>
  <si>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</si>
  <si>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</si>
  <si>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</si>
  <si>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</si>
  <si>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</si>
  <si>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</si>
  <si>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</si>
  <si>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</si>
  <si>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</si>
  <si>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</si>
  <si>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</si>
  <si>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</si>
  <si>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</si>
  <si>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</si>
  <si>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</si>
  <si>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</si>
  <si>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</si>
  <si>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</si>
  <si>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</si>
  <si>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</si>
  <si>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</si>
  <si>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</si>
  <si>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</si>
  <si>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</si>
  <si>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</si>
  <si>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</si>
  <si>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</si>
  <si>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</si>
  <si>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</si>
  <si>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</si>
  <si>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</si>
  <si>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</si>
  <si>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</si>
  <si>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</si>
  <si>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</si>
  <si>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</si>
  <si>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</si>
  <si>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</si>
  <si>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</si>
  <si>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</si>
  <si>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</si>
  <si>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</si>
  <si>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</si>
  <si>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</si>
  <si>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</si>
  <si>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</si>
  <si>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</si>
  <si>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</si>
  <si>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</si>
  <si>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</si>
  <si>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</si>
  <si>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</si>
  <si>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</si>
  <si>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</si>
  <si>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</si>
  <si>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</si>
  <si>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</si>
  <si>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</si>
  <si>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</si>
  <si>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</si>
  <si>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Dimension1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</si>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</sst>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7F7F7F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9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8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25" fillId="27" borderId="25" xfId="0" applyFont="1" applyFill="1" applyBorder="1" applyAlignment="1">
      <alignment horizontal="center"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0" fontId="49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0" fillId="0" borderId="75" xfId="0" applyFont="1" applyBorder="1"/>
    <xf numFmtId="0" fontId="51" fillId="0" borderId="75" xfId="0" applyFont="1" applyBorder="1"/>
    <xf numFmtId="0" fontId="52" fillId="0" borderId="75" xfId="0" applyFont="1" applyBorder="1"/>
    <xf numFmtId="0" fontId="53" fillId="0" borderId="76" xfId="0" applyFont="1" applyBorder="1"/>
    <xf numFmtId="0" fontId="54" fillId="0" borderId="0" xfId="0" applyFont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 wrapText="1"/>
    </xf>
    <xf numFmtId="164" fontId="14" fillId="47" borderId="13" xfId="0" applyNumberFormat="1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84" xfId="0" applyBorder="1" applyAlignment="1">
      <alignment horizontal="center"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horizontal="center" vertical="center" wrapText="1"/>
    </xf>
    <xf numFmtId="0" fontId="0" fillId="29" borderId="0" xfId="0" applyFill="1" applyBorder="1" applyAlignment="1">
      <alignment horizontal="center" vertical="center" wrapText="1"/>
    </xf>
    <xf numFmtId="0" fontId="0" fillId="29" borderId="77" xfId="0" applyFill="1" applyBorder="1" applyAlignment="1">
      <alignment horizontal="center" vertical="center" wrapText="1"/>
    </xf>
    <xf numFmtId="0" fontId="0" fillId="29" borderId="80" xfId="0" applyFill="1" applyBorder="1" applyAlignment="1">
      <alignment horizontal="center" vertical="center" wrapText="1"/>
    </xf>
    <xf numFmtId="0" fontId="0" fillId="29" borderId="81" xfId="0" applyFill="1" applyBorder="1" applyAlignment="1">
      <alignment horizontal="center" vertical="center" wrapText="1"/>
    </xf>
    <xf numFmtId="0" fontId="55" fillId="0" borderId="0" xfId="0" applyFont="1" applyBorder="1" applyAlignment="1">
      <alignment vertical="center" wrapText="1"/>
    </xf>
    <xf numFmtId="0" fontId="55" fillId="0" borderId="77" xfId="0" applyFont="1" applyBorder="1" applyAlignment="1">
      <alignment vertical="center" wrapText="1"/>
    </xf>
    <xf numFmtId="0" fontId="55" fillId="0" borderId="79" xfId="0" applyFont="1" applyBorder="1" applyAlignment="1">
      <alignment vertical="center" wrapText="1"/>
    </xf>
    <xf numFmtId="0" fontId="56" fillId="0" borderId="87" xfId="0" applyFont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79" xfId="0" applyFont="1" applyBorder="1" applyAlignment="1">
      <alignment horizontal="center" vertical="center" wrapText="1"/>
    </xf>
    <xf numFmtId="0" fontId="57" fillId="0" borderId="87" xfId="0" applyFont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79" xfId="0" applyFont="1" applyBorder="1" applyAlignment="1">
      <alignment horizontal="left" vertical="center" wrapText="1"/>
    </xf>
    <xf numFmtId="0" fontId="58" fillId="29" borderId="0" xfId="0" applyFont="1" applyFill="1" applyBorder="1" applyAlignment="1">
      <alignment vertical="center" wrapText="1"/>
    </xf>
    <xf numFmtId="0" fontId="58" fillId="29" borderId="77" xfId="0" applyFont="1" applyFill="1" applyBorder="1" applyAlignment="1">
      <alignment vertical="center" wrapText="1"/>
    </xf>
    <xf numFmtId="0" fontId="58" fillId="29" borderId="80" xfId="0" applyFont="1" applyFill="1" applyBorder="1" applyAlignment="1">
      <alignment vertical="center" wrapText="1"/>
    </xf>
    <xf numFmtId="0" fontId="59" fillId="29" borderId="88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0" fillId="29" borderId="88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80" xfId="0" applyFont="1" applyBorder="1" applyAlignment="1">
      <alignment horizontal="left" vertical="center" wrapText="1"/>
    </xf>
    <xf numFmtId="0" fontId="61" fillId="0" borderId="0" xfId="0" applyFont="1" applyBorder="1" applyAlignment="1">
      <alignment vertical="center" wrapText="1"/>
    </xf>
    <xf numFmtId="0" fontId="61" fillId="0" borderId="81" xfId="0" applyFont="1" applyBorder="1" applyAlignment="1">
      <alignment vertical="center" wrapText="1"/>
    </xf>
    <xf numFmtId="0" fontId="61" fillId="0" borderId="83" xfId="0" applyFont="1" applyBorder="1" applyAlignment="1">
      <alignment vertical="center" wrapText="1"/>
    </xf>
    <xf numFmtId="0" fontId="62" fillId="0" borderId="89" xfId="0" applyFont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82" xfId="0" applyFont="1" applyBorder="1" applyAlignment="1">
      <alignment horizontal="center" vertical="center" wrapText="1"/>
    </xf>
    <xf numFmtId="0" fontId="63" fillId="0" borderId="89" xfId="0" applyFont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82" xfId="0" applyFont="1" applyBorder="1" applyAlignment="1">
      <alignment horizontal="left" vertical="center" wrapText="1"/>
    </xf>
    <xf numFmtId="0" fontId="64" fillId="29" borderId="0" xfId="0" applyFont="1" applyFill="1" applyBorder="1" applyAlignment="1">
      <alignment vertical="center" wrapText="1"/>
    </xf>
    <xf numFmtId="0" fontId="64" fillId="29" borderId="81" xfId="0" applyFont="1" applyFill="1" applyBorder="1" applyAlignment="1">
      <alignment vertical="center" wrapText="1"/>
    </xf>
    <xf numFmtId="0" fontId="65" fillId="29" borderId="90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4" xfId="0" applyFont="1" applyBorder="1" applyAlignment="1">
      <alignment horizontal="center" vertical="center" wrapText="1"/>
    </xf>
    <xf numFmtId="0" fontId="66" fillId="29" borderId="90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84" xfId="0" applyFont="1" applyBorder="1" applyAlignment="1">
      <alignment horizontal="left" vertical="center" wrapText="1"/>
    </xf>
    <xf numFmtId="0" fontId="67" fillId="0" borderId="85" xfId="0" applyFont="1" applyBorder="1" applyAlignment="1">
      <alignment vertical="center" wrapText="1"/>
    </xf>
    <xf numFmtId="0" fontId="67" fillId="0" borderId="86" xfId="0" applyFont="1" applyBorder="1" applyAlignment="1">
      <alignment vertical="center" wrapText="1"/>
    </xf>
    <xf numFmtId="0" fontId="67" fillId="0" borderId="84" xfId="0" applyFont="1" applyBorder="1" applyAlignment="1">
      <alignment vertical="center" wrapText="1"/>
    </xf>
    <xf numFmtId="0" fontId="68" fillId="0" borderId="85" xfId="0" applyFont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84" xfId="0" applyFont="1" applyBorder="1" applyAlignment="1">
      <alignment horizontal="center" vertical="center" wrapText="1"/>
    </xf>
    <xf numFmtId="0" fontId="69" fillId="0" borderId="85" xfId="0" applyFont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4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6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868686"/>
      <color rgb="FF595959"/>
      <color rgb="FF2E3232"/>
      <color rgb="FFFF7D7D"/>
      <color rgb="FFFF7C80"/>
      <color rgb="FFFF9999"/>
      <color rgb="FF9064A2"/>
      <color rgb="FF7489B5"/>
      <color rgb="FF71699A"/>
      <color rgb="FF8353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72576"/>
        <c:axId val="17747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72576"/>
        <c:axId val="17747136"/>
      </c:lineChart>
      <c:catAx>
        <c:axId val="1975672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47136"/>
        <c:crosses val="autoZero"/>
        <c:auto val="1"/>
        <c:lblAlgn val="ctr"/>
        <c:lblOffset val="100"/>
        <c:noMultiLvlLbl val="0"/>
      </c:catAx>
      <c:valAx>
        <c:axId val="17747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7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59552"/>
        <c:axId val="17750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59552"/>
        <c:axId val="17750784"/>
      </c:lineChart>
      <c:catAx>
        <c:axId val="1975659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50784"/>
        <c:crosses val="autoZero"/>
        <c:auto val="1"/>
        <c:lblAlgn val="ctr"/>
        <c:lblOffset val="100"/>
        <c:noMultiLvlLbl val="0"/>
      </c:catAx>
      <c:valAx>
        <c:axId val="1775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5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63696"/>
        <c:axId val="17774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63696"/>
        <c:axId val="17774496"/>
      </c:lineChart>
      <c:catAx>
        <c:axId val="197566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4496"/>
        <c:crosses val="autoZero"/>
        <c:auto val="1"/>
        <c:lblAlgn val="ctr"/>
        <c:lblOffset val="100"/>
        <c:noMultiLvlLbl val="0"/>
      </c:catAx>
      <c:valAx>
        <c:axId val="1777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6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75669616"/>
        <c:axId val="17758080"/>
      </c:barChart>
      <c:catAx>
        <c:axId val="1975669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7758080"/>
        <c:crosses val="autoZero"/>
        <c:auto val="1"/>
        <c:lblAlgn val="ctr"/>
        <c:lblOffset val="100"/>
        <c:noMultiLvlLbl val="0"/>
      </c:catAx>
      <c:valAx>
        <c:axId val="1775808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9756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65472"/>
        <c:axId val="1775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65472"/>
        <c:axId val="17759296"/>
      </c:lineChart>
      <c:catAx>
        <c:axId val="1975665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59296"/>
        <c:crosses val="autoZero"/>
        <c:auto val="1"/>
        <c:lblAlgn val="ctr"/>
        <c:lblOffset val="100"/>
        <c:noMultiLvlLbl val="0"/>
      </c:catAx>
      <c:valAx>
        <c:axId val="1775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6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58960"/>
        <c:axId val="17745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58960"/>
        <c:axId val="17745312"/>
      </c:lineChart>
      <c:catAx>
        <c:axId val="1975658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45312"/>
        <c:crosses val="autoZero"/>
        <c:auto val="1"/>
        <c:lblAlgn val="ctr"/>
        <c:lblOffset val="100"/>
        <c:noMultiLvlLbl val="0"/>
      </c:catAx>
      <c:valAx>
        <c:axId val="17745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71984"/>
        <c:axId val="177605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71984"/>
        <c:axId val="17760512"/>
      </c:lineChart>
      <c:catAx>
        <c:axId val="1975671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60512"/>
        <c:crosses val="autoZero"/>
        <c:auto val="1"/>
        <c:lblAlgn val="ctr"/>
        <c:lblOffset val="100"/>
        <c:noMultiLvlLbl val="0"/>
      </c:catAx>
      <c:valAx>
        <c:axId val="17760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75663104"/>
        <c:axId val="17762336"/>
      </c:barChart>
      <c:catAx>
        <c:axId val="1975663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7762336"/>
        <c:crosses val="autoZero"/>
        <c:auto val="1"/>
        <c:lblAlgn val="ctr"/>
        <c:lblOffset val="100"/>
        <c:noMultiLvlLbl val="0"/>
      </c:catAx>
      <c:valAx>
        <c:axId val="1776233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97566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68432"/>
        <c:axId val="17751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68432"/>
        <c:axId val="17751392"/>
      </c:lineChart>
      <c:catAx>
        <c:axId val="1975668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51392"/>
        <c:crosses val="autoZero"/>
        <c:auto val="1"/>
        <c:lblAlgn val="ctr"/>
        <c:lblOffset val="100"/>
        <c:noMultiLvlLbl val="0"/>
      </c:catAx>
      <c:valAx>
        <c:axId val="17751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6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67248"/>
        <c:axId val="17775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67248"/>
        <c:axId val="17775712"/>
      </c:lineChart>
      <c:catAx>
        <c:axId val="1975667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5712"/>
        <c:crosses val="autoZero"/>
        <c:auto val="1"/>
        <c:lblAlgn val="ctr"/>
        <c:lblOffset val="100"/>
        <c:noMultiLvlLbl val="0"/>
      </c:catAx>
      <c:valAx>
        <c:axId val="17775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6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75670208"/>
        <c:axId val="16404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670208"/>
        <c:axId val="16404400"/>
      </c:lineChart>
      <c:catAx>
        <c:axId val="1975670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04400"/>
        <c:crosses val="autoZero"/>
        <c:auto val="1"/>
        <c:lblAlgn val="ctr"/>
        <c:lblOffset val="100"/>
        <c:noMultiLvlLbl val="0"/>
      </c:catAx>
      <c:valAx>
        <c:axId val="16404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7567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843952"/>
        <c:axId val="16414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43952"/>
        <c:axId val="16414736"/>
      </c:lineChart>
      <c:catAx>
        <c:axId val="15843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14736"/>
        <c:crosses val="autoZero"/>
        <c:auto val="1"/>
        <c:lblAlgn val="ctr"/>
        <c:lblOffset val="100"/>
        <c:noMultiLvlLbl val="0"/>
      </c:catAx>
      <c:valAx>
        <c:axId val="16414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84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846320"/>
        <c:axId val="16403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46320"/>
        <c:axId val="16403184"/>
      </c:lineChart>
      <c:catAx>
        <c:axId val="15846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03184"/>
        <c:crosses val="autoZero"/>
        <c:auto val="1"/>
        <c:lblAlgn val="ctr"/>
        <c:lblOffset val="100"/>
        <c:noMultiLvlLbl val="0"/>
      </c:catAx>
      <c:valAx>
        <c:axId val="1640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84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62064"/>
        <c:axId val="4065310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2064"/>
        <c:axId val="406531072"/>
      </c:lineChart>
      <c:catAx>
        <c:axId val="455962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6531072"/>
        <c:crosses val="autoZero"/>
        <c:auto val="1"/>
        <c:lblAlgn val="ctr"/>
        <c:lblOffset val="100"/>
        <c:noMultiLvlLbl val="0"/>
      </c:catAx>
      <c:valAx>
        <c:axId val="40653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596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5963840"/>
        <c:axId val="387146288"/>
      </c:lineChart>
      <c:catAx>
        <c:axId val="45596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146288"/>
        <c:crosses val="autoZero"/>
        <c:auto val="1"/>
        <c:lblAlgn val="ctr"/>
        <c:lblOffset val="100"/>
        <c:noMultiLvlLbl val="0"/>
      </c:catAx>
      <c:valAx>
        <c:axId val="38714628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5596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73904"/>
        <c:axId val="3871396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73904"/>
        <c:axId val="387139600"/>
      </c:lineChart>
      <c:catAx>
        <c:axId val="455973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7139600"/>
        <c:crosses val="autoZero"/>
        <c:auto val="1"/>
        <c:lblAlgn val="ctr"/>
        <c:lblOffset val="100"/>
        <c:noMultiLvlLbl val="0"/>
      </c:catAx>
      <c:valAx>
        <c:axId val="387139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5967392"/>
        <c:axId val="387144464"/>
      </c:lineChart>
      <c:catAx>
        <c:axId val="45596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7144464"/>
        <c:crosses val="autoZero"/>
        <c:auto val="1"/>
        <c:lblAlgn val="ctr"/>
        <c:lblOffset val="100"/>
        <c:noMultiLvlLbl val="0"/>
      </c:catAx>
      <c:valAx>
        <c:axId val="38714446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559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55985744"/>
        <c:axId val="3871359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5744"/>
        <c:axId val="387135952"/>
      </c:lineChart>
      <c:catAx>
        <c:axId val="455985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7135952"/>
        <c:crosses val="autoZero"/>
        <c:auto val="1"/>
        <c:lblAlgn val="ctr"/>
        <c:lblOffset val="100"/>
        <c:noMultiLvlLbl val="0"/>
      </c:catAx>
      <c:valAx>
        <c:axId val="387135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59696"/>
        <c:axId val="707609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59696"/>
        <c:axId val="70760992"/>
      </c:lineChart>
      <c:catAx>
        <c:axId val="455959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70760992"/>
        <c:crosses val="autoZero"/>
        <c:auto val="1"/>
        <c:lblAlgn val="ctr"/>
        <c:lblOffset val="100"/>
        <c:noMultiLvlLbl val="0"/>
      </c:catAx>
      <c:valAx>
        <c:axId val="70760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5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55981008"/>
        <c:axId val="4065335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1008"/>
        <c:axId val="406533504"/>
      </c:lineChart>
      <c:catAx>
        <c:axId val="455981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406533504"/>
        <c:crosses val="autoZero"/>
        <c:auto val="1"/>
        <c:lblAlgn val="ctr"/>
        <c:lblOffset val="100"/>
        <c:noMultiLvlLbl val="0"/>
      </c:catAx>
      <c:valAx>
        <c:axId val="40653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8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62656"/>
        <c:axId val="1359339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2656"/>
        <c:axId val="135933984"/>
      </c:lineChart>
      <c:catAx>
        <c:axId val="455962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933984"/>
        <c:crosses val="autoZero"/>
        <c:auto val="1"/>
        <c:lblAlgn val="ctr"/>
        <c:lblOffset val="100"/>
        <c:noMultiLvlLbl val="0"/>
      </c:catAx>
      <c:valAx>
        <c:axId val="135933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6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55967984"/>
        <c:axId val="393520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7984"/>
        <c:axId val="393520528"/>
      </c:lineChart>
      <c:catAx>
        <c:axId val="45596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520528"/>
        <c:crosses val="autoZero"/>
        <c:auto val="1"/>
        <c:lblAlgn val="ctr"/>
        <c:lblOffset val="100"/>
        <c:noMultiLvlLbl val="0"/>
      </c:catAx>
      <c:valAx>
        <c:axId val="393520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80416"/>
        <c:axId val="393510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0416"/>
        <c:axId val="393510800"/>
      </c:lineChart>
      <c:catAx>
        <c:axId val="455980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510800"/>
        <c:crosses val="autoZero"/>
        <c:auto val="1"/>
        <c:lblAlgn val="ctr"/>
        <c:lblOffset val="100"/>
        <c:noMultiLvlLbl val="0"/>
      </c:catAx>
      <c:valAx>
        <c:axId val="393510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8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55982192"/>
        <c:axId val="189661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2192"/>
        <c:axId val="18966128"/>
      </c:lineChart>
      <c:catAx>
        <c:axId val="45598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66128"/>
        <c:crosses val="autoZero"/>
        <c:auto val="1"/>
        <c:lblAlgn val="ctr"/>
        <c:lblOffset val="100"/>
        <c:noMultiLvlLbl val="0"/>
      </c:catAx>
      <c:valAx>
        <c:axId val="18966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8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83968"/>
        <c:axId val="189643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83968"/>
        <c:axId val="18964304"/>
      </c:lineChart>
      <c:catAx>
        <c:axId val="455983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64304"/>
        <c:crosses val="autoZero"/>
        <c:auto val="1"/>
        <c:lblAlgn val="ctr"/>
        <c:lblOffset val="100"/>
        <c:noMultiLvlLbl val="0"/>
      </c:catAx>
      <c:valAx>
        <c:axId val="18964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8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455969760"/>
        <c:axId val="4065231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9760"/>
        <c:axId val="406523168"/>
      </c:lineChart>
      <c:catAx>
        <c:axId val="455969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6523168"/>
        <c:crosses val="autoZero"/>
        <c:auto val="1"/>
        <c:lblAlgn val="ctr"/>
        <c:lblOffset val="100"/>
        <c:noMultiLvlLbl val="0"/>
      </c:catAx>
      <c:valAx>
        <c:axId val="406523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6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455964432"/>
        <c:axId val="707640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964432"/>
        <c:axId val="70764032"/>
      </c:lineChart>
      <c:catAx>
        <c:axId val="455964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70764032"/>
        <c:crosses val="autoZero"/>
        <c:auto val="1"/>
        <c:lblAlgn val="ctr"/>
        <c:lblOffset val="100"/>
        <c:noMultiLvlLbl val="0"/>
      </c:catAx>
      <c:valAx>
        <c:axId val="70764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596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55965024"/>
        <c:axId val="136790816"/>
      </c:barChart>
      <c:catAx>
        <c:axId val="455965024"/>
        <c:scaling>
          <c:orientation val="minMax"/>
        </c:scaling>
        <c:delete val="1"/>
        <c:axPos val="l"/>
        <c:majorTickMark val="none"/>
        <c:minorTickMark val="none"/>
        <c:tickLblPos val="nextTo"/>
        <c:crossAx val="136790816"/>
        <c:crosses val="autoZero"/>
        <c:auto val="1"/>
        <c:lblAlgn val="ctr"/>
        <c:lblOffset val="100"/>
        <c:noMultiLvlLbl val="0"/>
      </c:catAx>
      <c:valAx>
        <c:axId val="1367908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559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16" name="Button 52" hidden="1">
              <a:extLst>
                <a:ext uri="{63B3BB69-23CF-44E3-9099-C40C66FF867C}">
                  <a14:compatExt spid="_x0000_s26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7792700"/>
          <a:ext cx="11169650" cy="4953000"/>
          <a:chOff x="1524000" y="1811655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356800"/>
          <a:ext cx="11169650" cy="4953000"/>
          <a:chOff x="1524000" y="359092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6761975"/>
          <a:ext cx="11169650" cy="4953000"/>
          <a:chOff x="1524000" y="827151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3642775"/>
          <a:ext cx="11169650" cy="4953000"/>
          <a:chOff x="1524000" y="121577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1206875"/>
          <a:ext cx="11169650" cy="4953000"/>
          <a:chOff x="1524000" y="139369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0380700"/>
          <a:ext cx="11169650" cy="4953000"/>
          <a:chOff x="1524000" y="15988665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0.87276</cdr:y>
    </cdr:from>
    <cdr:to>
      <cdr:x>0.068</cdr:x>
      <cdr:y>0.91122</cdr:y>
    </cdr:to>
    <cdr:sp macro="" textlink="">
      <cdr:nvSpPr>
        <cdr:cNvPr id="2" name="GrafDemo9_rectangulo2017"/>
        <cdr:cNvSpPr/>
      </cdr:nvSpPr>
      <cdr:spPr>
        <a:xfrm xmlns:a="http://schemas.openxmlformats.org/drawingml/2006/main">
          <a:off x="177800" y="4322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GrafDemo9_rectangulo2016"/>
        <cdr:cNvSpPr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0.068</cdr:x>
      <cdr:y>0.87276</cdr:y>
    </cdr:from>
    <cdr:to>
      <cdr:x>0.228</cdr:x>
      <cdr:y>0.91122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431800" y="4322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latin typeface="Arial" panose="020B0604020202020204" pitchFamily="34" charset="0"/>
              <a:cs typeface="Arial" panose="020B0604020202020204" pitchFamily="34" charset="0"/>
            </a:rPr>
            <a:t>2017: círculo exterior</a:t>
          </a:r>
        </a:p>
      </cdr:txBody>
    </cdr:sp>
  </cdr:relSizeAnchor>
  <cdr:relSizeAnchor xmlns:cdr="http://schemas.openxmlformats.org/drawingml/2006/chartDrawing">
    <cdr:from>
      <cdr:x>0.068</cdr:x>
      <cdr:y>0.94968</cdr:y>
    </cdr:from>
    <cdr:to>
      <cdr:x>0.228</cdr:x>
      <cdr:y>0.98814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431800" y="4703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latin typeface="Arial" panose="020B0604020202020204" pitchFamily="34" charset="0"/>
              <a:cs typeface="Arial" panose="020B0604020202020204" pitchFamily="34" charset="0"/>
            </a:rPr>
            <a:t>2016: círculo interior</a:t>
          </a:r>
        </a:p>
      </cdr:txBody>
    </cdr:sp>
  </cdr:relSizeAnchor>
  <cdr:relSizeAnchor xmlns:cdr="http://schemas.openxmlformats.org/drawingml/2006/chartDrawing">
    <cdr:from>
      <cdr:x>0.228</cdr:x>
      <cdr:y>0.87276</cdr:y>
    </cdr:from>
    <cdr:to>
      <cdr:x>0.528</cdr:x>
      <cdr:y>0.91122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47800" y="4322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0.228</cdr:x>
      <cdr:y>0.94968</cdr:y>
    </cdr:from>
    <cdr:to>
      <cdr:x>0.528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4478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75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507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539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84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7016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9048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93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525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557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2002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4034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66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511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543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750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4" t="s">
        <v>6</v>
      </c>
      <c r="G2" s="174"/>
      <c r="H2" s="174"/>
      <c r="J2" s="174" t="s">
        <v>7</v>
      </c>
      <c r="K2" s="174"/>
      <c r="L2" s="174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362</v>
      </c>
      <c r="J4" s="9" t="s">
        <v>198</v>
      </c>
      <c r="K4" s="101" t="s">
        <v>8</v>
      </c>
      <c r="L4" s="101" t="s">
        <v>362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Q4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3" t="s">
        <v>363</v>
      </c>
      <c r="B1" s="183"/>
      <c r="C1" s="106"/>
      <c r="D1" s="190" t="s">
        <v>199</v>
      </c>
      <c r="E1" s="191"/>
      <c r="F1" s="191"/>
      <c r="G1" s="191"/>
      <c r="H1" s="191"/>
      <c r="I1" s="191"/>
      <c r="J1" s="191"/>
      <c r="K1" s="133"/>
      <c r="L1" s="190" t="s">
        <v>28</v>
      </c>
      <c r="M1" s="191"/>
      <c r="N1" s="191"/>
      <c r="O1" s="191"/>
      <c r="P1" s="192"/>
      <c r="Q1" s="133"/>
      <c r="R1" s="190" t="s">
        <v>29</v>
      </c>
      <c r="S1" s="192"/>
      <c r="T1" s="133"/>
      <c r="U1" s="190" t="s">
        <v>159</v>
      </c>
      <c r="V1" s="191"/>
      <c r="W1" s="191"/>
      <c r="X1" s="191"/>
      <c r="Y1" s="192"/>
      <c r="Z1" s="133"/>
      <c r="AA1" s="190" t="s">
        <v>364</v>
      </c>
      <c r="AB1" s="191"/>
      <c r="AC1" s="191"/>
      <c r="AD1" s="191"/>
      <c r="AE1" s="191"/>
      <c r="AF1" s="191"/>
      <c r="AG1" s="191"/>
      <c r="AH1" s="191"/>
      <c r="AI1" s="191"/>
      <c r="AJ1" s="192"/>
      <c r="AK1" s="133"/>
      <c r="AL1" s="190" t="s">
        <v>160</v>
      </c>
      <c r="AM1" s="191"/>
      <c r="AN1" s="191"/>
      <c r="AO1" s="191"/>
      <c r="AP1" s="191"/>
      <c r="AQ1" s="192"/>
      <c r="AR1" s="133"/>
      <c r="AS1" s="190" t="s">
        <v>365</v>
      </c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2"/>
      <c r="BG1" s="133"/>
      <c r="BH1" s="190" t="s">
        <v>161</v>
      </c>
      <c r="BI1" s="191"/>
      <c r="BJ1" s="191"/>
      <c r="BK1" s="192"/>
      <c r="BL1" s="133"/>
      <c r="BM1" s="190" t="s">
        <v>142</v>
      </c>
      <c r="BN1" s="191"/>
      <c r="BO1" s="191"/>
      <c r="BP1" s="191"/>
      <c r="BQ1" s="192"/>
      <c r="BR1" s="133"/>
      <c r="BS1" s="190" t="s">
        <v>162</v>
      </c>
      <c r="BT1" s="191"/>
      <c r="BU1" s="191"/>
      <c r="BV1" s="192"/>
    </row>
    <row r="2" spans="1:74" ht="273.75">
      <c r="A2" s="181" t="s">
        <v>366</v>
      </c>
      <c r="B2" s="181"/>
      <c r="C2" s="182"/>
      <c r="D2" s="107">
        <v>2016</v>
      </c>
      <c r="E2" s="107">
        <v>2015</v>
      </c>
      <c r="F2" s="107" t="s">
        <v>367</v>
      </c>
      <c r="G2" s="107" t="s">
        <v>368</v>
      </c>
      <c r="H2" s="107" t="s">
        <v>369</v>
      </c>
      <c r="I2" s="107" t="s">
        <v>370</v>
      </c>
      <c r="J2" s="107" t="s">
        <v>371</v>
      </c>
      <c r="K2" s="133"/>
      <c r="L2" s="107" t="s">
        <v>436</v>
      </c>
      <c r="M2" s="107" t="s">
        <v>437</v>
      </c>
      <c r="N2" s="107" t="s">
        <v>438</v>
      </c>
      <c r="O2" s="107" t="s">
        <v>439</v>
      </c>
      <c r="P2" s="107" t="s">
        <v>440</v>
      </c>
      <c r="Q2" s="133"/>
      <c r="R2" s="107" t="s">
        <v>441</v>
      </c>
      <c r="S2" s="107" t="s">
        <v>442</v>
      </c>
      <c r="T2" s="133"/>
      <c r="U2" s="107" t="s">
        <v>443</v>
      </c>
      <c r="V2" s="107" t="s">
        <v>444</v>
      </c>
      <c r="W2" s="107" t="s">
        <v>445</v>
      </c>
      <c r="X2" s="107" t="s">
        <v>446</v>
      </c>
      <c r="Y2" s="107" t="s">
        <v>447</v>
      </c>
      <c r="Z2" s="133"/>
      <c r="AA2" s="134" t="s">
        <v>448</v>
      </c>
      <c r="AB2" s="134" t="s">
        <v>449</v>
      </c>
      <c r="AC2" s="134" t="s">
        <v>450</v>
      </c>
      <c r="AD2" s="134" t="s">
        <v>451</v>
      </c>
      <c r="AE2" s="134" t="s">
        <v>452</v>
      </c>
      <c r="AF2" s="134" t="s">
        <v>453</v>
      </c>
      <c r="AG2" s="134" t="s">
        <v>454</v>
      </c>
      <c r="AH2" s="134" t="s">
        <v>455</v>
      </c>
      <c r="AI2" s="134" t="s">
        <v>456</v>
      </c>
      <c r="AJ2" s="134" t="s">
        <v>457</v>
      </c>
      <c r="AK2" s="133"/>
      <c r="AL2" s="107" t="s">
        <v>458</v>
      </c>
      <c r="AM2" s="107" t="s">
        <v>459</v>
      </c>
      <c r="AN2" s="107" t="s">
        <v>460</v>
      </c>
      <c r="AO2" s="107" t="s">
        <v>461</v>
      </c>
      <c r="AP2" s="107" t="s">
        <v>462</v>
      </c>
      <c r="AQ2" s="107" t="s">
        <v>463</v>
      </c>
      <c r="AR2" s="133"/>
      <c r="AS2" s="107" t="s">
        <v>464</v>
      </c>
      <c r="AT2" s="107" t="s">
        <v>465</v>
      </c>
      <c r="AU2" s="107" t="s">
        <v>466</v>
      </c>
      <c r="AV2" s="107" t="s">
        <v>467</v>
      </c>
      <c r="AW2" s="107" t="s">
        <v>468</v>
      </c>
      <c r="AX2" s="107" t="s">
        <v>469</v>
      </c>
      <c r="AY2" s="107" t="s">
        <v>470</v>
      </c>
      <c r="AZ2" s="107" t="s">
        <v>471</v>
      </c>
      <c r="BA2" s="107" t="s">
        <v>472</v>
      </c>
      <c r="BB2" s="107" t="s">
        <v>473</v>
      </c>
      <c r="BC2" s="107" t="s">
        <v>474</v>
      </c>
      <c r="BD2" s="107" t="s">
        <v>475</v>
      </c>
      <c r="BE2" s="107" t="s">
        <v>476</v>
      </c>
      <c r="BF2" s="107" t="s">
        <v>477</v>
      </c>
      <c r="BG2" s="133"/>
      <c r="BH2" s="107" t="s">
        <v>478</v>
      </c>
      <c r="BI2" s="107" t="s">
        <v>479</v>
      </c>
      <c r="BJ2" s="107" t="s">
        <v>480</v>
      </c>
      <c r="BK2" s="107" t="s">
        <v>481</v>
      </c>
      <c r="BL2" s="133"/>
      <c r="BM2" s="107" t="s">
        <v>482</v>
      </c>
      <c r="BN2" s="107" t="s">
        <v>483</v>
      </c>
      <c r="BO2" s="107" t="s">
        <v>484</v>
      </c>
      <c r="BP2" s="107" t="s">
        <v>485</v>
      </c>
      <c r="BQ2" s="107" t="s">
        <v>486</v>
      </c>
      <c r="BR2" s="133"/>
      <c r="BS2" s="107" t="s">
        <v>487</v>
      </c>
      <c r="BT2" s="107" t="s">
        <v>479</v>
      </c>
      <c r="BU2" s="107" t="s">
        <v>480</v>
      </c>
      <c r="BV2" s="107" t="s">
        <v>481</v>
      </c>
    </row>
    <row r="3" spans="1:74">
      <c r="A3" s="108"/>
      <c r="B3" s="108"/>
      <c r="C3" s="109" t="s">
        <v>200</v>
      </c>
      <c r="D3" s="110">
        <v>4886</v>
      </c>
      <c r="E3" s="110">
        <v>4735</v>
      </c>
      <c r="F3" s="110"/>
      <c r="G3" s="110"/>
      <c r="H3" s="110"/>
      <c r="I3" s="110"/>
      <c r="J3" s="110"/>
      <c r="K3" s="133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3"/>
      <c r="R3" s="110">
        <v>2476</v>
      </c>
      <c r="S3" s="110">
        <v>2191</v>
      </c>
      <c r="T3" s="133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3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3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3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3"/>
      <c r="BH3" s="110">
        <v>2444</v>
      </c>
      <c r="BI3" s="110">
        <v>1088</v>
      </c>
      <c r="BJ3" s="110">
        <v>501</v>
      </c>
      <c r="BK3" s="110">
        <v>116</v>
      </c>
      <c r="BL3" s="133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3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5"/>
      <c r="B4" s="135"/>
      <c r="C4" s="136" t="s">
        <v>330</v>
      </c>
      <c r="D4" s="137">
        <v>5231</v>
      </c>
      <c r="E4" s="137">
        <v>5159</v>
      </c>
      <c r="F4" s="137"/>
      <c r="G4" s="137"/>
      <c r="H4" s="137"/>
      <c r="I4" s="137"/>
      <c r="J4" s="137"/>
      <c r="K4" s="133"/>
      <c r="L4" s="137"/>
      <c r="M4" s="137"/>
      <c r="N4" s="137"/>
      <c r="O4" s="137"/>
      <c r="P4" s="137"/>
      <c r="Q4" s="133"/>
      <c r="R4" s="137"/>
      <c r="S4" s="137"/>
      <c r="T4" s="133"/>
      <c r="U4" s="137"/>
      <c r="V4" s="137"/>
      <c r="W4" s="137"/>
      <c r="X4" s="137"/>
      <c r="Y4" s="137"/>
      <c r="Z4" s="133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3"/>
      <c r="AL4" s="137"/>
      <c r="AM4" s="137"/>
      <c r="AN4" s="137"/>
      <c r="AO4" s="137"/>
      <c r="AP4" s="137"/>
      <c r="AQ4" s="137"/>
      <c r="AR4" s="133"/>
      <c r="AS4" s="137">
        <v>9</v>
      </c>
      <c r="AT4" s="137">
        <v>22</v>
      </c>
      <c r="AU4" s="137">
        <v>43</v>
      </c>
      <c r="AV4" s="137">
        <v>219</v>
      </c>
      <c r="AW4" s="137">
        <v>2790</v>
      </c>
      <c r="AX4" s="137">
        <v>97</v>
      </c>
      <c r="AY4" s="137">
        <v>21</v>
      </c>
      <c r="AZ4" s="137">
        <v>179</v>
      </c>
      <c r="BA4" s="137">
        <v>109</v>
      </c>
      <c r="BB4" s="137">
        <v>62</v>
      </c>
      <c r="BC4" s="137">
        <v>1587</v>
      </c>
      <c r="BD4" s="137">
        <v>77</v>
      </c>
      <c r="BE4" s="137">
        <v>4</v>
      </c>
      <c r="BF4" s="137">
        <v>12</v>
      </c>
      <c r="BG4" s="133"/>
      <c r="BH4" s="137"/>
      <c r="BI4" s="137"/>
      <c r="BJ4" s="137"/>
      <c r="BK4" s="137"/>
      <c r="BL4" s="133"/>
      <c r="BM4" s="137"/>
      <c r="BN4" s="137"/>
      <c r="BO4" s="137"/>
      <c r="BP4" s="137"/>
      <c r="BQ4" s="137"/>
      <c r="BR4" s="133"/>
      <c r="BS4" s="137"/>
      <c r="BT4" s="137"/>
      <c r="BU4" s="137"/>
      <c r="BV4" s="137"/>
    </row>
    <row r="5" spans="1:74">
      <c r="A5" s="138"/>
      <c r="B5" s="138"/>
      <c r="C5" s="139" t="s">
        <v>331</v>
      </c>
      <c r="D5" s="140">
        <v>4735</v>
      </c>
      <c r="E5" s="140">
        <v>4504</v>
      </c>
      <c r="F5" s="140"/>
      <c r="G5" s="140"/>
      <c r="H5" s="140"/>
      <c r="I5" s="140"/>
      <c r="J5" s="140"/>
      <c r="K5" s="133"/>
      <c r="L5" s="140">
        <v>249</v>
      </c>
      <c r="M5" s="140">
        <v>1965</v>
      </c>
      <c r="N5" s="140">
        <v>1426</v>
      </c>
      <c r="O5" s="140">
        <v>733</v>
      </c>
      <c r="P5" s="140">
        <v>256</v>
      </c>
      <c r="Q5" s="133"/>
      <c r="R5" s="140">
        <v>2382</v>
      </c>
      <c r="S5" s="140">
        <v>2218</v>
      </c>
      <c r="T5" s="133"/>
      <c r="U5" s="140">
        <v>14</v>
      </c>
      <c r="V5" s="140">
        <v>413</v>
      </c>
      <c r="W5" s="140">
        <v>2318</v>
      </c>
      <c r="X5" s="140">
        <v>1467</v>
      </c>
      <c r="Y5" s="140">
        <v>425</v>
      </c>
      <c r="Z5" s="133"/>
      <c r="AA5" s="140">
        <v>65</v>
      </c>
      <c r="AB5" s="140">
        <v>121</v>
      </c>
      <c r="AC5" s="140">
        <v>895</v>
      </c>
      <c r="AD5" s="140">
        <v>768</v>
      </c>
      <c r="AE5" s="140">
        <v>265</v>
      </c>
      <c r="AF5" s="140">
        <v>519</v>
      </c>
      <c r="AG5" s="140">
        <v>572</v>
      </c>
      <c r="AH5" s="140">
        <v>937</v>
      </c>
      <c r="AI5" s="140">
        <v>444</v>
      </c>
      <c r="AJ5" s="140" t="s">
        <v>201</v>
      </c>
      <c r="AK5" s="133"/>
      <c r="AL5" s="140">
        <v>305</v>
      </c>
      <c r="AM5" s="140">
        <v>1135</v>
      </c>
      <c r="AN5" s="140">
        <v>1202</v>
      </c>
      <c r="AO5" s="140">
        <v>481</v>
      </c>
      <c r="AP5" s="140">
        <v>715</v>
      </c>
      <c r="AQ5" s="140">
        <v>773</v>
      </c>
      <c r="AR5" s="133"/>
      <c r="AS5" s="140">
        <v>22</v>
      </c>
      <c r="AT5" s="140">
        <v>10</v>
      </c>
      <c r="AU5" s="140">
        <v>47</v>
      </c>
      <c r="AV5" s="140">
        <v>187</v>
      </c>
      <c r="AW5" s="140">
        <v>2535</v>
      </c>
      <c r="AX5" s="140">
        <v>89</v>
      </c>
      <c r="AY5" s="140" t="s">
        <v>201</v>
      </c>
      <c r="AZ5" s="140">
        <v>159</v>
      </c>
      <c r="BA5" s="140">
        <v>99</v>
      </c>
      <c r="BB5" s="140">
        <v>55</v>
      </c>
      <c r="BC5" s="140">
        <v>1432</v>
      </c>
      <c r="BD5" s="140">
        <v>77</v>
      </c>
      <c r="BE5" s="140">
        <v>5</v>
      </c>
      <c r="BF5" s="140">
        <v>11</v>
      </c>
      <c r="BG5" s="133"/>
      <c r="BH5" s="140">
        <v>2773</v>
      </c>
      <c r="BI5" s="140">
        <v>1087</v>
      </c>
      <c r="BJ5" s="140">
        <v>595</v>
      </c>
      <c r="BK5" s="140">
        <v>110</v>
      </c>
      <c r="BL5" s="133"/>
      <c r="BM5" s="140">
        <v>764</v>
      </c>
      <c r="BN5" s="140">
        <v>1235</v>
      </c>
      <c r="BO5" s="140">
        <v>132</v>
      </c>
      <c r="BP5" s="140">
        <v>2149</v>
      </c>
      <c r="BQ5" s="140">
        <v>297</v>
      </c>
      <c r="BR5" s="133"/>
      <c r="BS5" s="140" t="s">
        <v>201</v>
      </c>
      <c r="BT5" s="140" t="s">
        <v>201</v>
      </c>
      <c r="BU5" s="140" t="s">
        <v>201</v>
      </c>
      <c r="BV5" s="140" t="s">
        <v>201</v>
      </c>
    </row>
    <row r="6" spans="1:74">
      <c r="A6" s="14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184" t="s">
        <v>202</v>
      </c>
      <c r="B7" s="185"/>
      <c r="C7" s="186"/>
      <c r="D7" s="142">
        <v>85.93</v>
      </c>
      <c r="E7" s="142">
        <v>82.67</v>
      </c>
      <c r="F7" s="142">
        <v>89.46</v>
      </c>
      <c r="G7" s="142">
        <v>79.150000000000006</v>
      </c>
      <c r="H7" s="143">
        <v>3.2600000000000051</v>
      </c>
      <c r="I7" s="143">
        <v>-3.5299999999999869</v>
      </c>
      <c r="J7" s="143">
        <v>6.7800000000000011</v>
      </c>
      <c r="K7" s="133"/>
      <c r="L7" s="142">
        <v>90.45</v>
      </c>
      <c r="M7" s="142">
        <v>86.08</v>
      </c>
      <c r="N7" s="142">
        <v>84.35</v>
      </c>
      <c r="O7" s="142">
        <v>87.74</v>
      </c>
      <c r="P7" s="142">
        <v>90.43</v>
      </c>
      <c r="Q7" s="133"/>
      <c r="R7" s="142">
        <v>86.53</v>
      </c>
      <c r="S7" s="142">
        <v>86.24</v>
      </c>
      <c r="T7" s="133"/>
      <c r="U7" s="142">
        <v>76.19</v>
      </c>
      <c r="V7" s="142">
        <v>87.14</v>
      </c>
      <c r="W7" s="142">
        <v>86.86</v>
      </c>
      <c r="X7" s="142">
        <v>85.18</v>
      </c>
      <c r="Y7" s="142">
        <v>87.05</v>
      </c>
      <c r="Z7" s="133"/>
      <c r="AA7" s="142">
        <v>93.53</v>
      </c>
      <c r="AB7" s="142">
        <v>91.83</v>
      </c>
      <c r="AC7" s="142">
        <v>88.97</v>
      </c>
      <c r="AD7" s="142">
        <v>83.86</v>
      </c>
      <c r="AE7" s="142">
        <v>84.1</v>
      </c>
      <c r="AF7" s="142">
        <v>78.73</v>
      </c>
      <c r="AG7" s="142">
        <v>86.35</v>
      </c>
      <c r="AH7" s="142">
        <v>87.52</v>
      </c>
      <c r="AI7" s="142">
        <v>90.4</v>
      </c>
      <c r="AJ7" s="142">
        <v>79.88</v>
      </c>
      <c r="AK7" s="133"/>
      <c r="AL7" s="142">
        <v>91.75</v>
      </c>
      <c r="AM7" s="142">
        <v>87.14</v>
      </c>
      <c r="AN7" s="142">
        <v>84.41</v>
      </c>
      <c r="AO7" s="142">
        <v>79.94</v>
      </c>
      <c r="AP7" s="142">
        <v>87.42</v>
      </c>
      <c r="AQ7" s="142">
        <v>88.24</v>
      </c>
      <c r="AR7" s="133"/>
      <c r="AS7" s="142">
        <v>70.28</v>
      </c>
      <c r="AT7" s="142">
        <v>93.52</v>
      </c>
      <c r="AU7" s="142">
        <v>81.7</v>
      </c>
      <c r="AV7" s="142">
        <v>85.8</v>
      </c>
      <c r="AW7" s="142">
        <v>86.78</v>
      </c>
      <c r="AX7" s="142">
        <v>83.81</v>
      </c>
      <c r="AY7" s="142">
        <v>96.24</v>
      </c>
      <c r="AZ7" s="142">
        <v>90.49</v>
      </c>
      <c r="BA7" s="142">
        <v>78.42</v>
      </c>
      <c r="BB7" s="142">
        <v>89.17</v>
      </c>
      <c r="BC7" s="142">
        <v>84.63</v>
      </c>
      <c r="BD7" s="142">
        <v>81.78</v>
      </c>
      <c r="BE7" s="142" t="s">
        <v>203</v>
      </c>
      <c r="BF7" s="142">
        <v>97.14</v>
      </c>
      <c r="BG7" s="133"/>
      <c r="BH7" s="142">
        <v>92.06</v>
      </c>
      <c r="BI7" s="142">
        <v>82.99</v>
      </c>
      <c r="BJ7" s="142">
        <v>73.010000000000005</v>
      </c>
      <c r="BK7" s="142">
        <v>58.22</v>
      </c>
      <c r="BL7" s="133"/>
      <c r="BM7" s="142">
        <v>88.46</v>
      </c>
      <c r="BN7" s="142">
        <v>81.81</v>
      </c>
      <c r="BO7" s="142">
        <v>69.47</v>
      </c>
      <c r="BP7" s="142">
        <v>90.75</v>
      </c>
      <c r="BQ7" s="142">
        <v>71.900000000000006</v>
      </c>
      <c r="BR7" s="133"/>
      <c r="BS7" s="142">
        <v>93.66</v>
      </c>
      <c r="BT7" s="142">
        <v>88.03</v>
      </c>
      <c r="BU7" s="142">
        <v>82.62</v>
      </c>
      <c r="BV7" s="142">
        <v>65.010000000000005</v>
      </c>
    </row>
    <row r="8" spans="1:74">
      <c r="A8" s="187" t="s">
        <v>204</v>
      </c>
      <c r="B8" s="188"/>
      <c r="C8" s="189"/>
      <c r="D8" s="142">
        <v>81.56</v>
      </c>
      <c r="E8" s="142">
        <v>77.59</v>
      </c>
      <c r="F8" s="142">
        <v>88.6</v>
      </c>
      <c r="G8" s="142">
        <v>77.23</v>
      </c>
      <c r="H8" s="143">
        <v>3.9699999999999989</v>
      </c>
      <c r="I8" s="143">
        <v>-7.039999999999992</v>
      </c>
      <c r="J8" s="143">
        <v>4.3299999999999983</v>
      </c>
      <c r="K8" s="133"/>
      <c r="L8" s="142">
        <v>84.9</v>
      </c>
      <c r="M8" s="142">
        <v>80.59</v>
      </c>
      <c r="N8" s="142">
        <v>81</v>
      </c>
      <c r="O8" s="142">
        <v>84.36</v>
      </c>
      <c r="P8" s="142">
        <v>87.34</v>
      </c>
      <c r="Q8" s="133"/>
      <c r="R8" s="142">
        <v>82.52</v>
      </c>
      <c r="S8" s="142">
        <v>81.34</v>
      </c>
      <c r="T8" s="133"/>
      <c r="U8" s="142">
        <v>78.209999999999994</v>
      </c>
      <c r="V8" s="142">
        <v>80.63</v>
      </c>
      <c r="W8" s="142">
        <v>81.92</v>
      </c>
      <c r="X8" s="142">
        <v>81.260000000000005</v>
      </c>
      <c r="Y8" s="142">
        <v>85.26</v>
      </c>
      <c r="Z8" s="133"/>
      <c r="AA8" s="142">
        <v>93.66</v>
      </c>
      <c r="AB8" s="142">
        <v>89.43</v>
      </c>
      <c r="AC8" s="142">
        <v>85.92</v>
      </c>
      <c r="AD8" s="142">
        <v>81.99</v>
      </c>
      <c r="AE8" s="142">
        <v>79.41</v>
      </c>
      <c r="AF8" s="142">
        <v>74.709999999999994</v>
      </c>
      <c r="AG8" s="142">
        <v>79.209999999999994</v>
      </c>
      <c r="AH8" s="142">
        <v>81.94</v>
      </c>
      <c r="AI8" s="142">
        <v>82.09</v>
      </c>
      <c r="AJ8" s="142">
        <v>80.540000000000006</v>
      </c>
      <c r="AK8" s="133"/>
      <c r="AL8" s="142">
        <v>87.01</v>
      </c>
      <c r="AM8" s="142">
        <v>82.15</v>
      </c>
      <c r="AN8" s="142">
        <v>78.97</v>
      </c>
      <c r="AO8" s="142">
        <v>76.930000000000007</v>
      </c>
      <c r="AP8" s="142">
        <v>83.93</v>
      </c>
      <c r="AQ8" s="142">
        <v>84.79</v>
      </c>
      <c r="AR8" s="133"/>
      <c r="AS8" s="142">
        <v>62.23</v>
      </c>
      <c r="AT8" s="142">
        <v>94.29</v>
      </c>
      <c r="AU8" s="142">
        <v>80.44</v>
      </c>
      <c r="AV8" s="142">
        <v>83.68</v>
      </c>
      <c r="AW8" s="142">
        <v>81.459999999999994</v>
      </c>
      <c r="AX8" s="142">
        <v>84.28</v>
      </c>
      <c r="AY8" s="142">
        <v>91.48</v>
      </c>
      <c r="AZ8" s="142">
        <v>90.16</v>
      </c>
      <c r="BA8" s="142">
        <v>79.81</v>
      </c>
      <c r="BB8" s="142">
        <v>87.3</v>
      </c>
      <c r="BC8" s="142">
        <v>79.87</v>
      </c>
      <c r="BD8" s="142">
        <v>83.85</v>
      </c>
      <c r="BE8" s="142" t="s">
        <v>203</v>
      </c>
      <c r="BF8" s="142">
        <v>95.38</v>
      </c>
      <c r="BG8" s="133"/>
      <c r="BH8" s="142">
        <v>87.65</v>
      </c>
      <c r="BI8" s="142">
        <v>78.34</v>
      </c>
      <c r="BJ8" s="142">
        <v>69.09</v>
      </c>
      <c r="BK8" s="142">
        <v>54.71</v>
      </c>
      <c r="BL8" s="133"/>
      <c r="BM8" s="142">
        <v>84.45</v>
      </c>
      <c r="BN8" s="142">
        <v>75.67</v>
      </c>
      <c r="BO8" s="142">
        <v>62.34</v>
      </c>
      <c r="BP8" s="142">
        <v>87.24</v>
      </c>
      <c r="BQ8" s="142">
        <v>66.099999999999994</v>
      </c>
      <c r="BR8" s="133"/>
      <c r="BS8" s="142">
        <v>89.83</v>
      </c>
      <c r="BT8" s="142">
        <v>83.54</v>
      </c>
      <c r="BU8" s="142">
        <v>77.73</v>
      </c>
      <c r="BV8" s="142">
        <v>61.02</v>
      </c>
    </row>
    <row r="9" spans="1:74">
      <c r="A9" s="193" t="s">
        <v>205</v>
      </c>
      <c r="B9" s="194"/>
      <c r="C9" s="195"/>
      <c r="D9" s="142">
        <v>77.78</v>
      </c>
      <c r="E9" s="142">
        <v>73.56</v>
      </c>
      <c r="F9" s="142">
        <v>84.91</v>
      </c>
      <c r="G9" s="142">
        <v>75.44</v>
      </c>
      <c r="H9" s="143">
        <v>4.2199999999999989</v>
      </c>
      <c r="I9" s="143">
        <v>-7.1299999999999955</v>
      </c>
      <c r="J9" s="143">
        <v>2.3400000000000034</v>
      </c>
      <c r="K9" s="133"/>
      <c r="L9" s="142">
        <v>85.2</v>
      </c>
      <c r="M9" s="142">
        <v>77.400000000000006</v>
      </c>
      <c r="N9" s="142">
        <v>75.959999999999994</v>
      </c>
      <c r="O9" s="142">
        <v>79.81</v>
      </c>
      <c r="P9" s="142">
        <v>83.12</v>
      </c>
      <c r="Q9" s="133"/>
      <c r="R9" s="142">
        <v>78.27</v>
      </c>
      <c r="S9" s="142">
        <v>78.02</v>
      </c>
      <c r="T9" s="133"/>
      <c r="U9" s="142">
        <v>80.489999999999995</v>
      </c>
      <c r="V9" s="142">
        <v>78.47</v>
      </c>
      <c r="W9" s="142">
        <v>78.739999999999995</v>
      </c>
      <c r="X9" s="142">
        <v>76.790000000000006</v>
      </c>
      <c r="Y9" s="142">
        <v>79.03</v>
      </c>
      <c r="Z9" s="133"/>
      <c r="AA9" s="142">
        <v>87.16</v>
      </c>
      <c r="AB9" s="142">
        <v>83.33</v>
      </c>
      <c r="AC9" s="142">
        <v>81.790000000000006</v>
      </c>
      <c r="AD9" s="142">
        <v>75.37</v>
      </c>
      <c r="AE9" s="142">
        <v>74.319999999999993</v>
      </c>
      <c r="AF9" s="142">
        <v>69.97</v>
      </c>
      <c r="AG9" s="142">
        <v>77.64</v>
      </c>
      <c r="AH9" s="142">
        <v>79.180000000000007</v>
      </c>
      <c r="AI9" s="142">
        <v>83.27</v>
      </c>
      <c r="AJ9" s="142">
        <v>72.260000000000005</v>
      </c>
      <c r="AK9" s="133"/>
      <c r="AL9" s="142">
        <v>87.17</v>
      </c>
      <c r="AM9" s="142">
        <v>79.760000000000005</v>
      </c>
      <c r="AN9" s="142">
        <v>74.66</v>
      </c>
      <c r="AO9" s="142">
        <v>72.42</v>
      </c>
      <c r="AP9" s="142">
        <v>77.63</v>
      </c>
      <c r="AQ9" s="142">
        <v>80.38</v>
      </c>
      <c r="AR9" s="133"/>
      <c r="AS9" s="142">
        <v>67.959999999999994</v>
      </c>
      <c r="AT9" s="142">
        <v>91.07</v>
      </c>
      <c r="AU9" s="142">
        <v>74.040000000000006</v>
      </c>
      <c r="AV9" s="142">
        <v>74.45</v>
      </c>
      <c r="AW9" s="142">
        <v>78.72</v>
      </c>
      <c r="AX9" s="142">
        <v>76.58</v>
      </c>
      <c r="AY9" s="142">
        <v>81.349999999999994</v>
      </c>
      <c r="AZ9" s="142">
        <v>80.63</v>
      </c>
      <c r="BA9" s="142">
        <v>70.56</v>
      </c>
      <c r="BB9" s="142">
        <v>81.760000000000005</v>
      </c>
      <c r="BC9" s="142">
        <v>76.849999999999994</v>
      </c>
      <c r="BD9" s="142">
        <v>73.540000000000006</v>
      </c>
      <c r="BE9" s="142" t="s">
        <v>203</v>
      </c>
      <c r="BF9" s="142">
        <v>85</v>
      </c>
      <c r="BG9" s="133"/>
      <c r="BH9" s="142">
        <v>83.2</v>
      </c>
      <c r="BI9" s="142">
        <v>74.31</v>
      </c>
      <c r="BJ9" s="142">
        <v>66.7</v>
      </c>
      <c r="BK9" s="142">
        <v>56.94</v>
      </c>
      <c r="BL9" s="133"/>
      <c r="BM9" s="142">
        <v>79.25</v>
      </c>
      <c r="BN9" s="142">
        <v>73.47</v>
      </c>
      <c r="BO9" s="142">
        <v>59.43</v>
      </c>
      <c r="BP9" s="142">
        <v>82.97</v>
      </c>
      <c r="BQ9" s="142">
        <v>62.41</v>
      </c>
      <c r="BR9" s="133"/>
      <c r="BS9" s="142">
        <v>85.29</v>
      </c>
      <c r="BT9" s="142">
        <v>79.36</v>
      </c>
      <c r="BU9" s="142">
        <v>73.209999999999994</v>
      </c>
      <c r="BV9" s="142">
        <v>61.49</v>
      </c>
    </row>
    <row r="10" spans="1:74">
      <c r="A10" s="175" t="s">
        <v>206</v>
      </c>
      <c r="B10" s="176"/>
      <c r="C10" s="177"/>
      <c r="D10" s="142">
        <v>83.3</v>
      </c>
      <c r="E10" s="142">
        <v>78.540000000000006</v>
      </c>
      <c r="F10" s="142">
        <v>90.36</v>
      </c>
      <c r="G10" s="142">
        <v>80.28</v>
      </c>
      <c r="H10" s="143">
        <v>4.7599999999999909</v>
      </c>
      <c r="I10" s="143">
        <v>-7.0600000000000023</v>
      </c>
      <c r="J10" s="143">
        <v>3.019999999999996</v>
      </c>
      <c r="K10" s="133"/>
      <c r="L10" s="142">
        <v>83.54</v>
      </c>
      <c r="M10" s="142">
        <v>81.03</v>
      </c>
      <c r="N10" s="142">
        <v>83.26</v>
      </c>
      <c r="O10" s="142">
        <v>88.56</v>
      </c>
      <c r="P10" s="142">
        <v>91.07</v>
      </c>
      <c r="Q10" s="133"/>
      <c r="R10" s="142">
        <v>83.68</v>
      </c>
      <c r="S10" s="142">
        <v>83.52</v>
      </c>
      <c r="T10" s="133"/>
      <c r="U10" s="142">
        <v>84.38</v>
      </c>
      <c r="V10" s="142">
        <v>84.66</v>
      </c>
      <c r="W10" s="142">
        <v>83.78</v>
      </c>
      <c r="X10" s="142">
        <v>82.02</v>
      </c>
      <c r="Y10" s="142">
        <v>86.82</v>
      </c>
      <c r="Z10" s="133"/>
      <c r="AA10" s="142">
        <v>94.93</v>
      </c>
      <c r="AB10" s="142">
        <v>92.27</v>
      </c>
      <c r="AC10" s="142">
        <v>89.09</v>
      </c>
      <c r="AD10" s="142">
        <v>82.97</v>
      </c>
      <c r="AE10" s="142">
        <v>81.58</v>
      </c>
      <c r="AF10" s="142">
        <v>76.73</v>
      </c>
      <c r="AG10" s="142">
        <v>80.61</v>
      </c>
      <c r="AH10" s="142">
        <v>83.49</v>
      </c>
      <c r="AI10" s="142">
        <v>80.66</v>
      </c>
      <c r="AJ10" s="142">
        <v>76.23</v>
      </c>
      <c r="AK10" s="133"/>
      <c r="AL10" s="142">
        <v>86.67</v>
      </c>
      <c r="AM10" s="142">
        <v>82.73</v>
      </c>
      <c r="AN10" s="142">
        <v>79.88</v>
      </c>
      <c r="AO10" s="142">
        <v>80.069999999999993</v>
      </c>
      <c r="AP10" s="142">
        <v>86.61</v>
      </c>
      <c r="AQ10" s="142">
        <v>88.62</v>
      </c>
      <c r="AR10" s="133"/>
      <c r="AS10" s="142">
        <v>72.989999999999995</v>
      </c>
      <c r="AT10" s="142">
        <v>99.04</v>
      </c>
      <c r="AU10" s="142">
        <v>80</v>
      </c>
      <c r="AV10" s="142">
        <v>84.75</v>
      </c>
      <c r="AW10" s="142">
        <v>83.95</v>
      </c>
      <c r="AX10" s="142">
        <v>89.61</v>
      </c>
      <c r="AY10" s="142">
        <v>93.45</v>
      </c>
      <c r="AZ10" s="142">
        <v>88.73</v>
      </c>
      <c r="BA10" s="142">
        <v>76.319999999999993</v>
      </c>
      <c r="BB10" s="142">
        <v>90.11</v>
      </c>
      <c r="BC10" s="142">
        <v>80.97</v>
      </c>
      <c r="BD10" s="142">
        <v>81.84</v>
      </c>
      <c r="BE10" s="142" t="s">
        <v>203</v>
      </c>
      <c r="BF10" s="142">
        <v>96.25</v>
      </c>
      <c r="BG10" s="133"/>
      <c r="BH10" s="142">
        <v>87.6</v>
      </c>
      <c r="BI10" s="142">
        <v>81.8</v>
      </c>
      <c r="BJ10" s="142">
        <v>71.7</v>
      </c>
      <c r="BK10" s="142">
        <v>66.19</v>
      </c>
      <c r="BL10" s="133"/>
      <c r="BM10" s="142">
        <v>84.85</v>
      </c>
      <c r="BN10" s="142">
        <v>75.930000000000007</v>
      </c>
      <c r="BO10" s="142">
        <v>67.13</v>
      </c>
      <c r="BP10" s="142">
        <v>89.76</v>
      </c>
      <c r="BQ10" s="142">
        <v>66.989999999999995</v>
      </c>
      <c r="BR10" s="133"/>
      <c r="BS10" s="142">
        <v>89.45</v>
      </c>
      <c r="BT10" s="142">
        <v>84.49</v>
      </c>
      <c r="BU10" s="142">
        <v>80.319999999999993</v>
      </c>
      <c r="BV10" s="142">
        <v>67.36</v>
      </c>
    </row>
    <row r="11" spans="1:74">
      <c r="A11" s="178" t="s">
        <v>207</v>
      </c>
      <c r="B11" s="179"/>
      <c r="C11" s="180"/>
      <c r="D11" s="142">
        <v>86.19</v>
      </c>
      <c r="E11" s="142">
        <v>81.86</v>
      </c>
      <c r="F11" s="142">
        <v>92.63</v>
      </c>
      <c r="G11" s="142">
        <v>83.31</v>
      </c>
      <c r="H11" s="143">
        <v>4.3299999999999983</v>
      </c>
      <c r="I11" s="143">
        <v>-6.4399999999999977</v>
      </c>
      <c r="J11" s="143">
        <v>2.8799999999999955</v>
      </c>
      <c r="K11" s="133"/>
      <c r="L11" s="142">
        <v>90.58</v>
      </c>
      <c r="M11" s="142">
        <v>85.89</v>
      </c>
      <c r="N11" s="142">
        <v>85.08</v>
      </c>
      <c r="O11" s="142">
        <v>88.42</v>
      </c>
      <c r="P11" s="142">
        <v>90.24</v>
      </c>
      <c r="Q11" s="133"/>
      <c r="R11" s="142">
        <v>86.39</v>
      </c>
      <c r="S11" s="142">
        <v>86.83</v>
      </c>
      <c r="T11" s="133"/>
      <c r="U11" s="142">
        <v>78.33</v>
      </c>
      <c r="V11" s="142">
        <v>85.6</v>
      </c>
      <c r="W11" s="142">
        <v>86.75</v>
      </c>
      <c r="X11" s="142">
        <v>85.69</v>
      </c>
      <c r="Y11" s="142">
        <v>89.35</v>
      </c>
      <c r="Z11" s="133"/>
      <c r="AA11" s="142">
        <v>94.86</v>
      </c>
      <c r="AB11" s="142">
        <v>92.88</v>
      </c>
      <c r="AC11" s="142">
        <v>90.23</v>
      </c>
      <c r="AD11" s="142">
        <v>86.42</v>
      </c>
      <c r="AE11" s="142">
        <v>83.34</v>
      </c>
      <c r="AF11" s="142">
        <v>79.400000000000006</v>
      </c>
      <c r="AG11" s="142">
        <v>84.13</v>
      </c>
      <c r="AH11" s="142">
        <v>86.8</v>
      </c>
      <c r="AI11" s="142">
        <v>89.26</v>
      </c>
      <c r="AJ11" s="142">
        <v>80.28</v>
      </c>
      <c r="AK11" s="133"/>
      <c r="AL11" s="142">
        <v>91.77</v>
      </c>
      <c r="AM11" s="142">
        <v>87.67</v>
      </c>
      <c r="AN11" s="142">
        <v>83.75</v>
      </c>
      <c r="AO11" s="142">
        <v>81.36</v>
      </c>
      <c r="AP11" s="142">
        <v>88.32</v>
      </c>
      <c r="AQ11" s="142">
        <v>88.26</v>
      </c>
      <c r="AR11" s="133"/>
      <c r="AS11" s="142">
        <v>60.71</v>
      </c>
      <c r="AT11" s="142">
        <v>98.57</v>
      </c>
      <c r="AU11" s="142">
        <v>79.77</v>
      </c>
      <c r="AV11" s="142">
        <v>87.66</v>
      </c>
      <c r="AW11" s="142">
        <v>86.3</v>
      </c>
      <c r="AX11" s="142">
        <v>90.11</v>
      </c>
      <c r="AY11" s="142">
        <v>93.76</v>
      </c>
      <c r="AZ11" s="142">
        <v>92.57</v>
      </c>
      <c r="BA11" s="142">
        <v>79.37</v>
      </c>
      <c r="BB11" s="142">
        <v>91.39</v>
      </c>
      <c r="BC11" s="142">
        <v>85.14</v>
      </c>
      <c r="BD11" s="142">
        <v>86.85</v>
      </c>
      <c r="BE11" s="142" t="s">
        <v>203</v>
      </c>
      <c r="BF11" s="142">
        <v>91</v>
      </c>
      <c r="BG11" s="133"/>
      <c r="BH11" s="142">
        <v>90.98</v>
      </c>
      <c r="BI11" s="142">
        <v>84.03</v>
      </c>
      <c r="BJ11" s="142">
        <v>75.88</v>
      </c>
      <c r="BK11" s="142">
        <v>65.92</v>
      </c>
      <c r="BL11" s="133"/>
      <c r="BM11" s="142">
        <v>88.44</v>
      </c>
      <c r="BN11" s="142">
        <v>81.05</v>
      </c>
      <c r="BO11" s="142">
        <v>68.94</v>
      </c>
      <c r="BP11" s="142">
        <v>91.63</v>
      </c>
      <c r="BQ11" s="142">
        <v>70.739999999999995</v>
      </c>
      <c r="BR11" s="133"/>
      <c r="BS11" s="142">
        <v>93.27</v>
      </c>
      <c r="BT11" s="142">
        <v>88.22</v>
      </c>
      <c r="BU11" s="142">
        <v>84</v>
      </c>
      <c r="BV11" s="142">
        <v>70.72</v>
      </c>
    </row>
    <row r="12" spans="1:74">
      <c r="A12" s="144" t="s">
        <v>332</v>
      </c>
      <c r="B12" s="112">
        <v>58</v>
      </c>
      <c r="C12" s="113" t="s">
        <v>208</v>
      </c>
      <c r="D12" s="145">
        <v>84.08</v>
      </c>
      <c r="E12" s="145">
        <v>79.319999999999993</v>
      </c>
      <c r="F12" s="145">
        <v>91.62</v>
      </c>
      <c r="G12" s="145">
        <v>82.28</v>
      </c>
      <c r="H12" s="146">
        <v>4.7600000000000051</v>
      </c>
      <c r="I12" s="146">
        <v>-7.5400000000000063</v>
      </c>
      <c r="J12" s="146">
        <v>1.7999999999999972</v>
      </c>
      <c r="K12" s="133"/>
      <c r="L12" s="145">
        <v>87.33</v>
      </c>
      <c r="M12" s="145">
        <v>82.4</v>
      </c>
      <c r="N12" s="145">
        <v>83.7</v>
      </c>
      <c r="O12" s="145">
        <v>87.89</v>
      </c>
      <c r="P12" s="145">
        <v>93.55</v>
      </c>
      <c r="Q12" s="133"/>
      <c r="R12" s="145">
        <v>85.32</v>
      </c>
      <c r="S12" s="145">
        <v>83.78</v>
      </c>
      <c r="T12" s="133"/>
      <c r="U12" s="145">
        <v>75</v>
      </c>
      <c r="V12" s="145">
        <v>86.11</v>
      </c>
      <c r="W12" s="145">
        <v>84.66</v>
      </c>
      <c r="X12" s="145">
        <v>82.38</v>
      </c>
      <c r="Y12" s="145">
        <v>89.58</v>
      </c>
      <c r="Z12" s="133"/>
      <c r="AA12" s="145">
        <v>98.65</v>
      </c>
      <c r="AB12" s="145">
        <v>94.24</v>
      </c>
      <c r="AC12" s="145">
        <v>89.27</v>
      </c>
      <c r="AD12" s="145">
        <v>85.34</v>
      </c>
      <c r="AE12" s="145">
        <v>81.61</v>
      </c>
      <c r="AF12" s="145">
        <v>80</v>
      </c>
      <c r="AG12" s="145">
        <v>81.459999999999994</v>
      </c>
      <c r="AH12" s="145">
        <v>82.78</v>
      </c>
      <c r="AI12" s="145">
        <v>82.83</v>
      </c>
      <c r="AJ12" s="145">
        <v>76.19</v>
      </c>
      <c r="AK12" s="133"/>
      <c r="AL12" s="145">
        <v>90.59</v>
      </c>
      <c r="AM12" s="145">
        <v>84.53</v>
      </c>
      <c r="AN12" s="145">
        <v>80.75</v>
      </c>
      <c r="AO12" s="145">
        <v>79.08</v>
      </c>
      <c r="AP12" s="145">
        <v>86.71</v>
      </c>
      <c r="AQ12" s="145">
        <v>89.28</v>
      </c>
      <c r="AR12" s="133"/>
      <c r="AS12" s="145">
        <v>75</v>
      </c>
      <c r="AT12" s="145">
        <v>100</v>
      </c>
      <c r="AU12" s="145">
        <v>75.61</v>
      </c>
      <c r="AV12" s="145">
        <v>86.36</v>
      </c>
      <c r="AW12" s="145">
        <v>83.41</v>
      </c>
      <c r="AX12" s="145">
        <v>91.58</v>
      </c>
      <c r="AY12" s="145">
        <v>100</v>
      </c>
      <c r="AZ12" s="145">
        <v>91.12</v>
      </c>
      <c r="BA12" s="145">
        <v>81.37</v>
      </c>
      <c r="BB12" s="145">
        <v>91.53</v>
      </c>
      <c r="BC12" s="145">
        <v>83.23</v>
      </c>
      <c r="BD12" s="145">
        <v>87.67</v>
      </c>
      <c r="BE12" s="145" t="s">
        <v>203</v>
      </c>
      <c r="BF12" s="145">
        <v>100</v>
      </c>
      <c r="BG12" s="133"/>
      <c r="BH12" s="145">
        <v>89.51</v>
      </c>
      <c r="BI12" s="145">
        <v>82.26</v>
      </c>
      <c r="BJ12" s="145">
        <v>70.599999999999994</v>
      </c>
      <c r="BK12" s="145">
        <v>68.099999999999994</v>
      </c>
      <c r="BL12" s="133"/>
      <c r="BM12" s="145">
        <v>87.3</v>
      </c>
      <c r="BN12" s="145">
        <v>77.290000000000006</v>
      </c>
      <c r="BO12" s="145">
        <v>65.349999999999994</v>
      </c>
      <c r="BP12" s="145">
        <v>91.62</v>
      </c>
      <c r="BQ12" s="145">
        <v>61.47</v>
      </c>
      <c r="BR12" s="133"/>
      <c r="BS12" s="145">
        <v>93.54</v>
      </c>
      <c r="BT12" s="145">
        <v>87.99</v>
      </c>
      <c r="BU12" s="145">
        <v>81.739999999999995</v>
      </c>
      <c r="BV12" s="145">
        <v>63.29</v>
      </c>
    </row>
    <row r="13" spans="1:74">
      <c r="A13" s="202" t="s">
        <v>209</v>
      </c>
      <c r="B13" s="203"/>
      <c r="C13" s="20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3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3"/>
      <c r="R13" s="26">
        <v>83.48</v>
      </c>
      <c r="S13" s="26">
        <v>83.12</v>
      </c>
      <c r="T13" s="133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3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3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3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203</v>
      </c>
      <c r="BF13" s="26">
        <v>93.1</v>
      </c>
      <c r="BG13" s="133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3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3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8"/>
      <c r="B14" s="138"/>
      <c r="C14" s="139" t="s">
        <v>333</v>
      </c>
      <c r="D14" s="147">
        <v>78.88</v>
      </c>
      <c r="E14" s="147">
        <v>73.930000000000007</v>
      </c>
      <c r="F14" s="147"/>
      <c r="G14" s="147"/>
      <c r="H14" s="147"/>
      <c r="I14" s="147"/>
      <c r="J14" s="147"/>
      <c r="K14" s="148"/>
      <c r="L14" s="147">
        <v>82.41</v>
      </c>
      <c r="M14" s="147">
        <v>77.44</v>
      </c>
      <c r="N14" s="147">
        <v>78.069999999999993</v>
      </c>
      <c r="O14" s="147">
        <v>82.57</v>
      </c>
      <c r="P14" s="147">
        <v>86.36</v>
      </c>
      <c r="Q14" s="148"/>
      <c r="R14" s="147">
        <v>79.62</v>
      </c>
      <c r="S14" s="147">
        <v>78.790000000000006</v>
      </c>
      <c r="T14" s="148"/>
      <c r="U14" s="147">
        <v>68.069999999999993</v>
      </c>
      <c r="V14" s="147">
        <v>79.69</v>
      </c>
      <c r="W14" s="147">
        <v>79.13</v>
      </c>
      <c r="X14" s="147">
        <v>78.17</v>
      </c>
      <c r="Y14" s="147">
        <v>82.9</v>
      </c>
      <c r="Z14" s="148"/>
      <c r="AA14" s="147">
        <v>91.91</v>
      </c>
      <c r="AB14" s="147">
        <v>88.05</v>
      </c>
      <c r="AC14" s="147">
        <v>86.33</v>
      </c>
      <c r="AD14" s="147">
        <v>77.510000000000005</v>
      </c>
      <c r="AE14" s="147">
        <v>73.2</v>
      </c>
      <c r="AF14" s="147">
        <v>71.02</v>
      </c>
      <c r="AG14" s="147">
        <v>74.760000000000005</v>
      </c>
      <c r="AH14" s="147">
        <v>80.2</v>
      </c>
      <c r="AI14" s="147">
        <v>80.39</v>
      </c>
      <c r="AJ14" s="147" t="s">
        <v>203</v>
      </c>
      <c r="AK14" s="148"/>
      <c r="AL14" s="147">
        <v>83.99</v>
      </c>
      <c r="AM14" s="147">
        <v>78.19</v>
      </c>
      <c r="AN14" s="147">
        <v>76.42</v>
      </c>
      <c r="AO14" s="147">
        <v>76.36</v>
      </c>
      <c r="AP14" s="147">
        <v>80.75</v>
      </c>
      <c r="AQ14" s="147">
        <v>84.02</v>
      </c>
      <c r="AR14" s="148"/>
      <c r="AS14" s="147">
        <v>71.709999999999994</v>
      </c>
      <c r="AT14" s="147">
        <v>94.66</v>
      </c>
      <c r="AU14" s="147">
        <v>78.58</v>
      </c>
      <c r="AV14" s="147">
        <v>74.38</v>
      </c>
      <c r="AW14" s="147">
        <v>80.41</v>
      </c>
      <c r="AX14" s="147">
        <v>84.16</v>
      </c>
      <c r="AY14" s="147" t="s">
        <v>203</v>
      </c>
      <c r="AZ14" s="147">
        <v>87.49</v>
      </c>
      <c r="BA14" s="147">
        <v>80.099999999999994</v>
      </c>
      <c r="BB14" s="147">
        <v>77.22</v>
      </c>
      <c r="BC14" s="147">
        <v>75.45</v>
      </c>
      <c r="BD14" s="147">
        <v>82.2</v>
      </c>
      <c r="BE14" s="147" t="s">
        <v>203</v>
      </c>
      <c r="BF14" s="147">
        <v>91.82</v>
      </c>
      <c r="BG14" s="148"/>
      <c r="BH14" s="147">
        <v>84.86</v>
      </c>
      <c r="BI14" s="147">
        <v>74.510000000000005</v>
      </c>
      <c r="BJ14" s="147">
        <v>66.599999999999994</v>
      </c>
      <c r="BK14" s="147">
        <v>55.18</v>
      </c>
      <c r="BL14" s="148"/>
      <c r="BM14" s="147">
        <v>80.739999999999995</v>
      </c>
      <c r="BN14" s="147">
        <v>74.11</v>
      </c>
      <c r="BO14" s="147">
        <v>60.51</v>
      </c>
      <c r="BP14" s="147">
        <v>85.59</v>
      </c>
      <c r="BQ14" s="147">
        <v>59.82</v>
      </c>
      <c r="BR14" s="148"/>
      <c r="BS14" s="147" t="s">
        <v>203</v>
      </c>
      <c r="BT14" s="147" t="s">
        <v>203</v>
      </c>
      <c r="BU14" s="147" t="s">
        <v>203</v>
      </c>
      <c r="BV14" s="147" t="s">
        <v>203</v>
      </c>
    </row>
    <row r="16" spans="1:74">
      <c r="A16" s="108"/>
      <c r="B16" s="108"/>
      <c r="C16" s="109" t="s">
        <v>334</v>
      </c>
      <c r="D16" s="110"/>
      <c r="E16" s="110"/>
      <c r="F16" s="110"/>
      <c r="G16" s="110"/>
      <c r="H16" s="110"/>
      <c r="I16" s="110"/>
      <c r="J16" s="110"/>
      <c r="K16" s="133"/>
      <c r="L16" s="196">
        <f>+SUM(L3:P3)</f>
        <v>4698</v>
      </c>
      <c r="M16" s="197"/>
      <c r="N16" s="197"/>
      <c r="O16" s="197"/>
      <c r="P16" s="198"/>
      <c r="Q16" s="133"/>
      <c r="R16" s="196">
        <f>+SUM(R3:S3)</f>
        <v>4667</v>
      </c>
      <c r="S16" s="198"/>
      <c r="T16" s="133"/>
      <c r="U16" s="196">
        <f>+SUM(U3:Y3)</f>
        <v>4690</v>
      </c>
      <c r="V16" s="197"/>
      <c r="W16" s="197"/>
      <c r="X16" s="197"/>
      <c r="Y16" s="198"/>
      <c r="Z16" s="133"/>
      <c r="AA16" s="196">
        <f>+SUM(AA3:AJ3)</f>
        <v>4649</v>
      </c>
      <c r="AB16" s="197"/>
      <c r="AC16" s="197"/>
      <c r="AD16" s="197"/>
      <c r="AE16" s="197"/>
      <c r="AF16" s="197"/>
      <c r="AG16" s="197"/>
      <c r="AH16" s="197"/>
      <c r="AI16" s="197"/>
      <c r="AJ16" s="198"/>
      <c r="AK16" s="133"/>
      <c r="AL16" s="196">
        <f>+SUM(AL3:AQ3)</f>
        <v>4670</v>
      </c>
      <c r="AM16" s="197"/>
      <c r="AN16" s="197"/>
      <c r="AO16" s="197"/>
      <c r="AP16" s="197"/>
      <c r="AQ16" s="198"/>
      <c r="AR16" s="133"/>
      <c r="AS16" s="196">
        <f>+SUM(AS3:BF3)</f>
        <v>4886</v>
      </c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8"/>
      <c r="BG16" s="133"/>
      <c r="BH16" s="196">
        <f>+SUM(BH3:BK3)</f>
        <v>4149</v>
      </c>
      <c r="BI16" s="197"/>
      <c r="BJ16" s="197"/>
      <c r="BK16" s="198"/>
      <c r="BL16" s="133"/>
      <c r="BM16" s="196">
        <f>+SUM(BM3:BQ3)</f>
        <v>3932</v>
      </c>
      <c r="BN16" s="197"/>
      <c r="BO16" s="197"/>
      <c r="BP16" s="197"/>
      <c r="BQ16" s="198"/>
      <c r="BR16" s="133"/>
      <c r="BS16" s="196">
        <f>+SUM(BS3:BV3)</f>
        <v>1839</v>
      </c>
      <c r="BT16" s="197"/>
      <c r="BU16" s="197"/>
      <c r="BV16" s="198"/>
    </row>
    <row r="17" spans="1:74">
      <c r="A17" s="135"/>
      <c r="B17" s="135"/>
      <c r="C17" s="136" t="s">
        <v>335</v>
      </c>
      <c r="D17" s="172"/>
      <c r="E17" s="172"/>
      <c r="F17" s="172"/>
      <c r="G17" s="172"/>
      <c r="H17" s="172"/>
      <c r="I17" s="172"/>
      <c r="J17" s="172"/>
      <c r="K17" s="133"/>
      <c r="L17" s="153">
        <f>+L3/$L$16*100</f>
        <v>6.215410813111963</v>
      </c>
      <c r="M17" s="153">
        <f>+M3/$L$16*100</f>
        <v>42.486164325244786</v>
      </c>
      <c r="N17" s="153">
        <f>+N3/$L$16*100</f>
        <v>30.353341847594724</v>
      </c>
      <c r="O17" s="153">
        <f>+O3/$L$16*100</f>
        <v>15.666240953597274</v>
      </c>
      <c r="P17" s="153">
        <f>+P3/$L$16*100</f>
        <v>5.2788420604512565</v>
      </c>
      <c r="Q17" s="133"/>
      <c r="R17" s="153">
        <f>+R3/$L$16*100</f>
        <v>52.703277990634312</v>
      </c>
      <c r="S17" s="153">
        <f>+S3/$L$16*100</f>
        <v>46.636866751809279</v>
      </c>
      <c r="T17" s="133"/>
      <c r="U17" s="153">
        <f>+U3/$L$16*100</f>
        <v>0.2554278416347382</v>
      </c>
      <c r="V17" s="153">
        <f>+V3/$L$16*100</f>
        <v>7.6628352490421454</v>
      </c>
      <c r="W17" s="153">
        <f>+W3/$L$16*100</f>
        <v>48.44614729672201</v>
      </c>
      <c r="X17" s="153">
        <f>+X3/$L$16*100</f>
        <v>32.82247765006386</v>
      </c>
      <c r="Y17" s="153">
        <f>+Y3/$L$16*100</f>
        <v>10.642826734780758</v>
      </c>
      <c r="Z17" s="133"/>
      <c r="AA17" s="153">
        <f t="shared" ref="AA17:AJ17" si="0">+AA3/$L$16*100</f>
        <v>1.5751383567475523</v>
      </c>
      <c r="AB17" s="153">
        <f t="shared" si="0"/>
        <v>2.9587058322690507</v>
      </c>
      <c r="AC17" s="153">
        <f t="shared" si="0"/>
        <v>20.838654746700726</v>
      </c>
      <c r="AD17" s="153">
        <f t="shared" si="0"/>
        <v>16.900808854831844</v>
      </c>
      <c r="AE17" s="153">
        <f t="shared" si="0"/>
        <v>8.2162622392507441</v>
      </c>
      <c r="AF17" s="153">
        <f t="shared" si="0"/>
        <v>9.0676883780332069</v>
      </c>
      <c r="AG17" s="153">
        <f t="shared" si="0"/>
        <v>11.409110259684972</v>
      </c>
      <c r="AH17" s="153">
        <f t="shared" si="0"/>
        <v>18.667518092805448</v>
      </c>
      <c r="AI17" s="153">
        <f t="shared" si="0"/>
        <v>8.4291187739463602</v>
      </c>
      <c r="AJ17" s="153">
        <f t="shared" si="0"/>
        <v>0.89399744572158357</v>
      </c>
      <c r="AK17" s="133"/>
      <c r="AL17" s="153">
        <f t="shared" ref="AL17:AQ17" si="1">+AL3/$L$16*100</f>
        <v>9.0464027245636451</v>
      </c>
      <c r="AM17" s="153">
        <f t="shared" si="1"/>
        <v>23.946360153256705</v>
      </c>
      <c r="AN17" s="153">
        <f t="shared" si="1"/>
        <v>25.500212856534691</v>
      </c>
      <c r="AO17" s="153">
        <f t="shared" si="1"/>
        <v>8.7696892294593454</v>
      </c>
      <c r="AP17" s="153">
        <f t="shared" si="1"/>
        <v>16.836951894423159</v>
      </c>
      <c r="AQ17" s="153">
        <f t="shared" si="1"/>
        <v>15.304384844614729</v>
      </c>
      <c r="AR17" s="133"/>
      <c r="AS17" s="153">
        <f t="shared" ref="AS17:BF17" si="2">+AS3/$L$16*100</f>
        <v>0.17028522775649213</v>
      </c>
      <c r="AT17" s="153">
        <f t="shared" si="2"/>
        <v>0.29799914857386123</v>
      </c>
      <c r="AU17" s="153">
        <f t="shared" si="2"/>
        <v>0.87271179225202211</v>
      </c>
      <c r="AV17" s="153">
        <f t="shared" si="2"/>
        <v>4.235845040442741</v>
      </c>
      <c r="AW17" s="153">
        <f t="shared" si="2"/>
        <v>55.598126862494681</v>
      </c>
      <c r="AX17" s="153">
        <f t="shared" si="2"/>
        <v>2.0221370796083442</v>
      </c>
      <c r="AY17" s="153">
        <f t="shared" si="2"/>
        <v>0.44699872286079179</v>
      </c>
      <c r="AZ17" s="153">
        <f t="shared" si="2"/>
        <v>3.6185610898254574</v>
      </c>
      <c r="BA17" s="153">
        <f t="shared" si="2"/>
        <v>2.1711366538952745</v>
      </c>
      <c r="BB17" s="153">
        <f t="shared" si="2"/>
        <v>1.277139208173691</v>
      </c>
      <c r="BC17" s="153">
        <f t="shared" si="2"/>
        <v>31.460195828011923</v>
      </c>
      <c r="BD17" s="153">
        <f t="shared" si="2"/>
        <v>1.5538527032779907</v>
      </c>
      <c r="BE17" s="153">
        <f t="shared" si="2"/>
        <v>6.3856960408684549E-2</v>
      </c>
      <c r="BF17" s="153">
        <f t="shared" si="2"/>
        <v>0.21285653469561516</v>
      </c>
      <c r="BG17" s="133"/>
      <c r="BH17" s="153">
        <f>+BH3/$L$16*100</f>
        <v>52.022137079608342</v>
      </c>
      <c r="BI17" s="153">
        <f>+BI3/$L$16*100</f>
        <v>23.15879097488293</v>
      </c>
      <c r="BJ17" s="153">
        <f>+BJ3/$L$16*100</f>
        <v>10.664112388250318</v>
      </c>
      <c r="BK17" s="153">
        <f>+BK3/$L$16*100</f>
        <v>2.4691358024691357</v>
      </c>
      <c r="BL17" s="133"/>
      <c r="BM17" s="153">
        <f>+BM3/$L$16*100</f>
        <v>14.47424435930183</v>
      </c>
      <c r="BN17" s="153">
        <f>+BN3/$L$16*100</f>
        <v>20.008514261387823</v>
      </c>
      <c r="BO17" s="153">
        <f>+BO3/$L$16*100</f>
        <v>2.1498510004257132</v>
      </c>
      <c r="BP17" s="153">
        <f>+BP3/$L$16*100</f>
        <v>42.422307364836101</v>
      </c>
      <c r="BQ17" s="153">
        <f>+BQ3/$L$16*100</f>
        <v>4.6402724563644107</v>
      </c>
      <c r="BR17" s="133"/>
      <c r="BS17" s="153">
        <f>+BS3/$L$16*100</f>
        <v>16.794380587484035</v>
      </c>
      <c r="BT17" s="153">
        <f>+BT3/$L$16*100</f>
        <v>6.0238399318859086</v>
      </c>
      <c r="BU17" s="153">
        <f>+BU3/$L$16*100</f>
        <v>9.5785440613026829</v>
      </c>
      <c r="BV17" s="153">
        <f>+BV3/$L$16*100</f>
        <v>6.7475521498510007</v>
      </c>
    </row>
    <row r="18" spans="1:74">
      <c r="A18" s="135"/>
      <c r="B18" s="135"/>
      <c r="C18" s="136" t="s">
        <v>372</v>
      </c>
      <c r="D18" s="137"/>
      <c r="E18" s="137"/>
      <c r="F18" s="137"/>
      <c r="G18" s="137"/>
      <c r="H18" s="137"/>
      <c r="I18" s="137"/>
      <c r="J18" s="137"/>
      <c r="K18" s="133"/>
      <c r="L18" s="137"/>
      <c r="M18" s="137"/>
      <c r="N18" s="137"/>
      <c r="O18" s="137"/>
      <c r="P18" s="137"/>
      <c r="Q18" s="133"/>
      <c r="R18" s="137"/>
      <c r="S18" s="137"/>
      <c r="T18" s="133"/>
      <c r="U18" s="137"/>
      <c r="V18" s="137"/>
      <c r="W18" s="137"/>
      <c r="X18" s="137"/>
      <c r="Y18" s="137"/>
      <c r="Z18" s="133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3"/>
      <c r="AL18" s="137"/>
      <c r="AM18" s="137"/>
      <c r="AN18" s="137"/>
      <c r="AO18" s="137"/>
      <c r="AP18" s="137"/>
      <c r="AQ18" s="137"/>
      <c r="AR18" s="133"/>
      <c r="AS18" s="155">
        <f t="shared" ref="AS18:BF18" si="3">+AS3/AS4*100</f>
        <v>88.888888888888886</v>
      </c>
      <c r="AT18" s="155">
        <f t="shared" si="3"/>
        <v>63.636363636363633</v>
      </c>
      <c r="AU18" s="155">
        <f t="shared" si="3"/>
        <v>95.348837209302332</v>
      </c>
      <c r="AV18" s="155">
        <f t="shared" si="3"/>
        <v>90.867579908675793</v>
      </c>
      <c r="AW18" s="155">
        <f t="shared" si="3"/>
        <v>93.620071684587813</v>
      </c>
      <c r="AX18" s="155">
        <f t="shared" si="3"/>
        <v>97.9381443298969</v>
      </c>
      <c r="AY18" s="155">
        <f t="shared" si="3"/>
        <v>100</v>
      </c>
      <c r="AZ18" s="155">
        <f t="shared" si="3"/>
        <v>94.97206703910615</v>
      </c>
      <c r="BA18" s="155">
        <f t="shared" si="3"/>
        <v>93.577981651376149</v>
      </c>
      <c r="BB18" s="155">
        <f t="shared" si="3"/>
        <v>96.774193548387103</v>
      </c>
      <c r="BC18" s="155">
        <f t="shared" si="3"/>
        <v>93.131695022054188</v>
      </c>
      <c r="BD18" s="155">
        <f t="shared" si="3"/>
        <v>94.805194805194802</v>
      </c>
      <c r="BE18" s="155">
        <f t="shared" si="3"/>
        <v>75</v>
      </c>
      <c r="BF18" s="155">
        <f t="shared" si="3"/>
        <v>83.333333333333343</v>
      </c>
      <c r="BG18" s="133"/>
      <c r="BH18" s="137"/>
      <c r="BI18" s="137"/>
      <c r="BJ18" s="137"/>
      <c r="BK18" s="137"/>
      <c r="BL18" s="133"/>
      <c r="BM18" s="137"/>
      <c r="BN18" s="137"/>
      <c r="BO18" s="137"/>
      <c r="BP18" s="137"/>
      <c r="BQ18" s="137"/>
      <c r="BR18" s="133"/>
      <c r="BS18" s="137"/>
      <c r="BT18" s="137"/>
      <c r="BU18" s="137"/>
      <c r="BV18" s="137"/>
    </row>
    <row r="19" spans="1:74">
      <c r="A19" s="138"/>
      <c r="B19" s="138"/>
      <c r="C19" s="139" t="s">
        <v>373</v>
      </c>
      <c r="D19" s="140"/>
      <c r="E19" s="140"/>
      <c r="F19" s="140"/>
      <c r="G19" s="140"/>
      <c r="H19" s="140"/>
      <c r="I19" s="140"/>
      <c r="J19" s="140"/>
      <c r="K19" s="133"/>
      <c r="L19" s="140"/>
      <c r="M19" s="140"/>
      <c r="N19" s="140"/>
      <c r="O19" s="140"/>
      <c r="P19" s="140"/>
      <c r="Q19" s="133"/>
      <c r="R19" s="140"/>
      <c r="S19" s="140"/>
      <c r="T19" s="133"/>
      <c r="U19" s="140"/>
      <c r="V19" s="140"/>
      <c r="W19" s="140"/>
      <c r="X19" s="140"/>
      <c r="Y19" s="140"/>
      <c r="Z19" s="133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33"/>
      <c r="AL19" s="140"/>
      <c r="AM19" s="140"/>
      <c r="AN19" s="140"/>
      <c r="AO19" s="140"/>
      <c r="AP19" s="140"/>
      <c r="AQ19" s="140"/>
      <c r="AR19" s="133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33"/>
      <c r="BH19" s="140"/>
      <c r="BI19" s="140"/>
      <c r="BJ19" s="140"/>
      <c r="BK19" s="140"/>
      <c r="BL19" s="133"/>
      <c r="BM19" s="199">
        <f>+SUM(BM5:BQ5)</f>
        <v>4577</v>
      </c>
      <c r="BN19" s="200"/>
      <c r="BO19" s="200"/>
      <c r="BP19" s="200"/>
      <c r="BQ19" s="201"/>
      <c r="BR19" s="133"/>
      <c r="BS19" s="140"/>
      <c r="BT19" s="140"/>
      <c r="BU19" s="140"/>
      <c r="BV19" s="140"/>
    </row>
    <row r="20" spans="1:74">
      <c r="A20" s="138"/>
      <c r="B20" s="138"/>
      <c r="C20" s="139" t="s">
        <v>374</v>
      </c>
      <c r="D20" s="140"/>
      <c r="E20" s="140"/>
      <c r="F20" s="140"/>
      <c r="G20" s="140"/>
      <c r="H20" s="140"/>
      <c r="I20" s="140"/>
      <c r="J20" s="140"/>
      <c r="K20" s="133"/>
      <c r="L20" s="140"/>
      <c r="M20" s="140"/>
      <c r="N20" s="140"/>
      <c r="O20" s="140"/>
      <c r="P20" s="140"/>
      <c r="Q20" s="133"/>
      <c r="R20" s="140"/>
      <c r="S20" s="140"/>
      <c r="T20" s="133"/>
      <c r="U20" s="140"/>
      <c r="V20" s="140"/>
      <c r="W20" s="140"/>
      <c r="X20" s="140"/>
      <c r="Y20" s="140"/>
      <c r="Z20" s="133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33"/>
      <c r="AL20" s="140"/>
      <c r="AM20" s="140"/>
      <c r="AN20" s="140"/>
      <c r="AO20" s="140"/>
      <c r="AP20" s="140"/>
      <c r="AQ20" s="140"/>
      <c r="AR20" s="133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33"/>
      <c r="BH20" s="140"/>
      <c r="BI20" s="140"/>
      <c r="BJ20" s="140"/>
      <c r="BK20" s="140"/>
      <c r="BL20" s="133"/>
      <c r="BM20" s="154">
        <f>+BM5/$BM$19*100</f>
        <v>16.692156434345641</v>
      </c>
      <c r="BN20" s="154">
        <f>+BN5/$BM$19*100</f>
        <v>26.982739785885951</v>
      </c>
      <c r="BO20" s="154">
        <f>+BO5/$BM$19*100</f>
        <v>2.8839851431068384</v>
      </c>
      <c r="BP20" s="154">
        <f>+BP5/$BM$19*100</f>
        <v>46.952152064671182</v>
      </c>
      <c r="BQ20" s="154">
        <f>+BQ5/$BM$19*100</f>
        <v>6.4889665719903871</v>
      </c>
      <c r="BR20" s="133"/>
      <c r="BS20" s="140"/>
      <c r="BT20" s="140"/>
      <c r="BU20" s="140"/>
      <c r="BV20" s="140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85" priority="43" stopIfTrue="1" operator="lessThanOrEqual">
      <formula>44.49</formula>
    </cfRule>
    <cfRule type="cellIs" dxfId="284" priority="44" stopIfTrue="1" operator="greaterThanOrEqual">
      <formula>85.5</formula>
    </cfRule>
    <cfRule type="cellIs" dxfId="283" priority="45" stopIfTrue="1" operator="between">
      <formula>44.5</formula>
      <formula>60.49</formula>
    </cfRule>
  </conditionalFormatting>
  <conditionalFormatting sqref="D7:D11">
    <cfRule type="cellIs" dxfId="282" priority="40" stopIfTrue="1" operator="lessThanOrEqual">
      <formula>44.49</formula>
    </cfRule>
    <cfRule type="cellIs" dxfId="281" priority="41" stopIfTrue="1" operator="greaterThanOrEqual">
      <formula>85.5</formula>
    </cfRule>
    <cfRule type="cellIs" dxfId="280" priority="42" stopIfTrue="1" operator="between">
      <formula>44.5</formula>
      <formula>60.49</formula>
    </cfRule>
  </conditionalFormatting>
  <conditionalFormatting sqref="E7:E11">
    <cfRule type="cellIs" dxfId="279" priority="37" stopIfTrue="1" operator="lessThanOrEqual">
      <formula>44.49</formula>
    </cfRule>
    <cfRule type="cellIs" dxfId="278" priority="38" stopIfTrue="1" operator="greaterThanOrEqual">
      <formula>85.5</formula>
    </cfRule>
    <cfRule type="cellIs" dxfId="277" priority="39" stopIfTrue="1" operator="between">
      <formula>44.5</formula>
      <formula>60.49</formula>
    </cfRule>
  </conditionalFormatting>
  <conditionalFormatting sqref="F7:F11">
    <cfRule type="cellIs" dxfId="276" priority="34" stopIfTrue="1" operator="lessThanOrEqual">
      <formula>44.49</formula>
    </cfRule>
    <cfRule type="cellIs" dxfId="275" priority="35" stopIfTrue="1" operator="greaterThanOrEqual">
      <formula>85.5</formula>
    </cfRule>
    <cfRule type="cellIs" dxfId="274" priority="36" stopIfTrue="1" operator="between">
      <formula>44.5</formula>
      <formula>60.49</formula>
    </cfRule>
  </conditionalFormatting>
  <conditionalFormatting sqref="G7:G11">
    <cfRule type="cellIs" dxfId="273" priority="31" stopIfTrue="1" operator="lessThanOrEqual">
      <formula>44.49</formula>
    </cfRule>
    <cfRule type="cellIs" dxfId="272" priority="32" stopIfTrue="1" operator="greaterThanOrEqual">
      <formula>85.5</formula>
    </cfRule>
    <cfRule type="cellIs" dxfId="271" priority="33" stopIfTrue="1" operator="between">
      <formula>44.5</formula>
      <formula>60.49</formula>
    </cfRule>
  </conditionalFormatting>
  <conditionalFormatting sqref="R7:R11">
    <cfRule type="cellIs" dxfId="270" priority="28" stopIfTrue="1" operator="lessThanOrEqual">
      <formula>44.49</formula>
    </cfRule>
    <cfRule type="cellIs" dxfId="269" priority="29" stopIfTrue="1" operator="greaterThanOrEqual">
      <formula>85.5</formula>
    </cfRule>
    <cfRule type="cellIs" dxfId="268" priority="30" stopIfTrue="1" operator="between">
      <formula>44.5</formula>
      <formula>60.49</formula>
    </cfRule>
  </conditionalFormatting>
  <conditionalFormatting sqref="S7:S11">
    <cfRule type="cellIs" dxfId="267" priority="25" stopIfTrue="1" operator="lessThanOrEqual">
      <formula>44.49</formula>
    </cfRule>
    <cfRule type="cellIs" dxfId="266" priority="26" stopIfTrue="1" operator="greaterThanOrEqual">
      <formula>85.5</formula>
    </cfRule>
    <cfRule type="cellIs" dxfId="265" priority="27" stopIfTrue="1" operator="between">
      <formula>44.5</formula>
      <formula>60.49</formula>
    </cfRule>
  </conditionalFormatting>
  <conditionalFormatting sqref="U7:U11">
    <cfRule type="cellIs" dxfId="264" priority="22" stopIfTrue="1" operator="lessThanOrEqual">
      <formula>44.49</formula>
    </cfRule>
    <cfRule type="cellIs" dxfId="263" priority="23" stopIfTrue="1" operator="greaterThanOrEqual">
      <formula>85.5</formula>
    </cfRule>
    <cfRule type="cellIs" dxfId="262" priority="24" stopIfTrue="1" operator="between">
      <formula>44.5</formula>
      <formula>60.49</formula>
    </cfRule>
  </conditionalFormatting>
  <conditionalFormatting sqref="V7:Y11">
    <cfRule type="cellIs" dxfId="261" priority="19" stopIfTrue="1" operator="lessThanOrEqual">
      <formula>44.49</formula>
    </cfRule>
    <cfRule type="cellIs" dxfId="260" priority="20" stopIfTrue="1" operator="greaterThanOrEqual">
      <formula>85.5</formula>
    </cfRule>
    <cfRule type="cellIs" dxfId="259" priority="21" stopIfTrue="1" operator="between">
      <formula>44.5</formula>
      <formula>60.49</formula>
    </cfRule>
  </conditionalFormatting>
  <conditionalFormatting sqref="AA7:AJ11">
    <cfRule type="cellIs" dxfId="258" priority="16" stopIfTrue="1" operator="lessThanOrEqual">
      <formula>44.49</formula>
    </cfRule>
    <cfRule type="cellIs" dxfId="257" priority="17" stopIfTrue="1" operator="greaterThanOrEqual">
      <formula>85.5</formula>
    </cfRule>
    <cfRule type="cellIs" dxfId="256" priority="18" stopIfTrue="1" operator="between">
      <formula>44.5</formula>
      <formula>60.49</formula>
    </cfRule>
  </conditionalFormatting>
  <conditionalFormatting sqref="AL7:AQ11">
    <cfRule type="cellIs" dxfId="255" priority="13" stopIfTrue="1" operator="lessThanOrEqual">
      <formula>44.49</formula>
    </cfRule>
    <cfRule type="cellIs" dxfId="254" priority="14" stopIfTrue="1" operator="greaterThanOrEqual">
      <formula>85.5</formula>
    </cfRule>
    <cfRule type="cellIs" dxfId="253" priority="15" stopIfTrue="1" operator="between">
      <formula>44.5</formula>
      <formula>60.49</formula>
    </cfRule>
  </conditionalFormatting>
  <conditionalFormatting sqref="AS7:BD11 BF7:BF11">
    <cfRule type="cellIs" dxfId="252" priority="10" stopIfTrue="1" operator="lessThanOrEqual">
      <formula>44.49</formula>
    </cfRule>
    <cfRule type="cellIs" dxfId="251" priority="11" stopIfTrue="1" operator="greaterThanOrEqual">
      <formula>85.5</formula>
    </cfRule>
    <cfRule type="cellIs" dxfId="250" priority="12" stopIfTrue="1" operator="between">
      <formula>44.5</formula>
      <formula>60.49</formula>
    </cfRule>
  </conditionalFormatting>
  <conditionalFormatting sqref="BH7:BK11">
    <cfRule type="cellIs" dxfId="249" priority="7" stopIfTrue="1" operator="lessThanOrEqual">
      <formula>44.49</formula>
    </cfRule>
    <cfRule type="cellIs" dxfId="248" priority="8" stopIfTrue="1" operator="greaterThanOrEqual">
      <formula>85.5</formula>
    </cfRule>
    <cfRule type="cellIs" dxfId="247" priority="9" stopIfTrue="1" operator="between">
      <formula>44.5</formula>
      <formula>60.49</formula>
    </cfRule>
  </conditionalFormatting>
  <conditionalFormatting sqref="BM7:BQ11">
    <cfRule type="cellIs" dxfId="246" priority="4" stopIfTrue="1" operator="lessThanOrEqual">
      <formula>44.49</formula>
    </cfRule>
    <cfRule type="cellIs" dxfId="245" priority="5" stopIfTrue="1" operator="greaterThanOrEqual">
      <formula>85.5</formula>
    </cfRule>
    <cfRule type="cellIs" dxfId="244" priority="6" stopIfTrue="1" operator="between">
      <formula>44.5</formula>
      <formula>60.49</formula>
    </cfRule>
  </conditionalFormatting>
  <conditionalFormatting sqref="BS7:BV11">
    <cfRule type="cellIs" dxfId="243" priority="1" stopIfTrue="1" operator="lessThanOrEqual">
      <formula>44.49</formula>
    </cfRule>
    <cfRule type="cellIs" dxfId="242" priority="2" stopIfTrue="1" operator="greaterThanOrEqual">
      <formula>85.5</formula>
    </cfRule>
    <cfRule type="cellIs" dxfId="24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6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229</v>
      </c>
      <c r="B1" s="30" t="s">
        <v>230</v>
      </c>
      <c r="C1" s="31">
        <v>2016</v>
      </c>
      <c r="D1" s="31">
        <v>2015</v>
      </c>
      <c r="E1" s="32" t="s">
        <v>336</v>
      </c>
      <c r="F1" s="32" t="s">
        <v>231</v>
      </c>
      <c r="G1" s="31" t="s">
        <v>232</v>
      </c>
      <c r="H1" s="119" t="s">
        <v>337</v>
      </c>
      <c r="I1" s="33" t="s">
        <v>233</v>
      </c>
      <c r="J1" s="34"/>
      <c r="K1" s="34" t="s">
        <v>234</v>
      </c>
      <c r="L1" s="34" t="s">
        <v>235</v>
      </c>
      <c r="M1" s="35">
        <v>2016</v>
      </c>
      <c r="N1" s="35">
        <v>2015</v>
      </c>
      <c r="O1" s="35" t="s">
        <v>336</v>
      </c>
      <c r="P1" s="35" t="s">
        <v>231</v>
      </c>
      <c r="Q1" s="36"/>
      <c r="R1" s="37"/>
      <c r="S1" s="37"/>
      <c r="T1" s="120" t="s">
        <v>338</v>
      </c>
      <c r="U1" s="38" t="s">
        <v>339</v>
      </c>
      <c r="V1" s="39" t="s">
        <v>340</v>
      </c>
      <c r="W1" s="40" t="s">
        <v>341</v>
      </c>
      <c r="X1" s="41" t="s">
        <v>342</v>
      </c>
      <c r="Y1" s="42" t="s">
        <v>343</v>
      </c>
      <c r="Z1" s="121" t="s">
        <v>11</v>
      </c>
      <c r="AA1" s="121" t="s">
        <v>344</v>
      </c>
      <c r="AB1" s="121" t="s">
        <v>345</v>
      </c>
      <c r="AC1" s="37"/>
      <c r="AD1" s="122" t="s">
        <v>346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48" t="s">
        <v>236</v>
      </c>
      <c r="B2" s="222" t="s">
        <v>12</v>
      </c>
      <c r="C2" s="264">
        <f>+ROUND(AVERAGE(M2:M5),0)</f>
        <v>87</v>
      </c>
      <c r="D2" s="264">
        <f>+ROUND(AVERAGE(N2:N5),0)</f>
        <v>84</v>
      </c>
      <c r="E2" s="264">
        <f>+ROUND(AVERAGE(O2:O5),0)</f>
        <v>89</v>
      </c>
      <c r="F2" s="264">
        <f>+ROUND(AVERAGE(P2:P5),0)</f>
        <v>78</v>
      </c>
      <c r="G2" s="260">
        <f>+C2-E2</f>
        <v>-2</v>
      </c>
      <c r="H2" s="262">
        <f>+C2-F2</f>
        <v>9</v>
      </c>
      <c r="I2" s="268" t="s">
        <v>12</v>
      </c>
      <c r="J2" s="270" t="s">
        <v>237</v>
      </c>
      <c r="K2" s="43">
        <v>1</v>
      </c>
      <c r="L2" s="44" t="s">
        <v>238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347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48"/>
      <c r="B3" s="222"/>
      <c r="C3" s="264"/>
      <c r="D3" s="264"/>
      <c r="E3" s="264"/>
      <c r="F3" s="264"/>
      <c r="G3" s="260"/>
      <c r="H3" s="262"/>
      <c r="I3" s="268"/>
      <c r="J3" s="271"/>
      <c r="K3" s="49">
        <v>2</v>
      </c>
      <c r="L3" s="50" t="s">
        <v>239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200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48"/>
      <c r="B4" s="222"/>
      <c r="C4" s="264"/>
      <c r="D4" s="264"/>
      <c r="E4" s="264"/>
      <c r="F4" s="264"/>
      <c r="G4" s="260"/>
      <c r="H4" s="262"/>
      <c r="I4" s="268"/>
      <c r="J4" s="270" t="s">
        <v>240</v>
      </c>
      <c r="K4" s="43">
        <v>3</v>
      </c>
      <c r="L4" s="44" t="s">
        <v>241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348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48"/>
      <c r="B5" s="223"/>
      <c r="C5" s="265"/>
      <c r="D5" s="265"/>
      <c r="E5" s="265"/>
      <c r="F5" s="265"/>
      <c r="G5" s="261"/>
      <c r="H5" s="263"/>
      <c r="I5" s="269"/>
      <c r="J5" s="271"/>
      <c r="K5" s="49">
        <v>4</v>
      </c>
      <c r="L5" s="50" t="s">
        <v>242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349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48"/>
      <c r="B6" s="221" t="s">
        <v>13</v>
      </c>
      <c r="C6" s="217">
        <f>+ROUND(AVERAGE(M6:M11),0)</f>
        <v>86</v>
      </c>
      <c r="D6" s="217">
        <f>+ROUND(AVERAGE(N6:N11),0)</f>
        <v>82</v>
      </c>
      <c r="E6" s="217">
        <f>+ROUND(AVERAGE(O6:O11),0)</f>
        <v>89</v>
      </c>
      <c r="F6" s="217">
        <f>+ROUND(AVERAGE(P6:P11),0)</f>
        <v>80</v>
      </c>
      <c r="G6" s="235">
        <f>+C6-E6</f>
        <v>-3</v>
      </c>
      <c r="H6" s="236">
        <f>+C6-F6</f>
        <v>6</v>
      </c>
      <c r="I6" s="268" t="s">
        <v>13</v>
      </c>
      <c r="J6" s="270" t="s">
        <v>243</v>
      </c>
      <c r="K6" s="43">
        <v>5</v>
      </c>
      <c r="L6" s="44" t="s">
        <v>244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350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48"/>
      <c r="B7" s="222"/>
      <c r="C7" s="209"/>
      <c r="D7" s="209"/>
      <c r="E7" s="209"/>
      <c r="F7" s="209"/>
      <c r="G7" s="225"/>
      <c r="H7" s="237"/>
      <c r="I7" s="268"/>
      <c r="J7" s="270"/>
      <c r="K7" s="43">
        <v>6</v>
      </c>
      <c r="L7" s="44" t="s">
        <v>245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351</v>
      </c>
      <c r="AE7" s="125" t="s">
        <v>352</v>
      </c>
      <c r="AF7" s="125" t="s">
        <v>352</v>
      </c>
      <c r="AG7" s="125" t="s">
        <v>352</v>
      </c>
      <c r="AH7" s="125" t="s">
        <v>352</v>
      </c>
      <c r="AI7" s="125" t="s">
        <v>352</v>
      </c>
      <c r="AJ7" s="125" t="s">
        <v>352</v>
      </c>
      <c r="AK7" s="125" t="s">
        <v>352</v>
      </c>
      <c r="AL7" s="125" t="s">
        <v>352</v>
      </c>
      <c r="AM7" s="125" t="s">
        <v>352</v>
      </c>
      <c r="AN7" s="125" t="s">
        <v>352</v>
      </c>
    </row>
    <row r="8" spans="1:40" ht="15.75" thickBot="1">
      <c r="A8" s="248"/>
      <c r="B8" s="222"/>
      <c r="C8" s="209"/>
      <c r="D8" s="209"/>
      <c r="E8" s="209"/>
      <c r="F8" s="209"/>
      <c r="G8" s="225"/>
      <c r="H8" s="237"/>
      <c r="I8" s="268"/>
      <c r="J8" s="271"/>
      <c r="K8" s="49">
        <v>7</v>
      </c>
      <c r="L8" s="50" t="s">
        <v>246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48"/>
      <c r="B9" s="222"/>
      <c r="C9" s="209"/>
      <c r="D9" s="209"/>
      <c r="E9" s="209"/>
      <c r="F9" s="209"/>
      <c r="G9" s="225"/>
      <c r="H9" s="237"/>
      <c r="I9" s="268"/>
      <c r="J9" s="270" t="s">
        <v>247</v>
      </c>
      <c r="K9" s="43">
        <v>8</v>
      </c>
      <c r="L9" s="44" t="s">
        <v>248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48"/>
      <c r="B10" s="222"/>
      <c r="C10" s="209"/>
      <c r="D10" s="209"/>
      <c r="E10" s="209"/>
      <c r="F10" s="209"/>
      <c r="G10" s="225"/>
      <c r="H10" s="237"/>
      <c r="I10" s="268"/>
      <c r="J10" s="271"/>
      <c r="K10" s="49">
        <v>9</v>
      </c>
      <c r="L10" s="50" t="s">
        <v>249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48"/>
      <c r="B11" s="223"/>
      <c r="C11" s="210"/>
      <c r="D11" s="210"/>
      <c r="E11" s="210"/>
      <c r="F11" s="210"/>
      <c r="G11" s="250"/>
      <c r="H11" s="238"/>
      <c r="I11" s="269"/>
      <c r="J11" s="152" t="s">
        <v>250</v>
      </c>
      <c r="K11" s="49">
        <v>10</v>
      </c>
      <c r="L11" s="50" t="s">
        <v>251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48"/>
      <c r="B12" s="221" t="s">
        <v>14</v>
      </c>
      <c r="C12" s="217">
        <f>+ROUND(AVERAGE(M12:M15),0)</f>
        <v>86</v>
      </c>
      <c r="D12" s="217">
        <f>+ROUND(AVERAGE(N12:N15),0)</f>
        <v>82</v>
      </c>
      <c r="E12" s="217">
        <f>+ROUND(AVERAGE(O12:O15),0)</f>
        <v>90</v>
      </c>
      <c r="F12" s="217">
        <f>+ROUND(AVERAGE(P12:P15),0)</f>
        <v>79</v>
      </c>
      <c r="G12" s="235">
        <f>+C12-E12</f>
        <v>-4</v>
      </c>
      <c r="H12" s="236">
        <f>+C12-F12</f>
        <v>7</v>
      </c>
      <c r="I12" s="268" t="s">
        <v>14</v>
      </c>
      <c r="J12" s="270" t="s">
        <v>252</v>
      </c>
      <c r="K12" s="43">
        <v>11</v>
      </c>
      <c r="L12" s="44" t="s">
        <v>253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48"/>
      <c r="B13" s="222"/>
      <c r="C13" s="209"/>
      <c r="D13" s="209"/>
      <c r="E13" s="209"/>
      <c r="F13" s="209"/>
      <c r="G13" s="225"/>
      <c r="H13" s="237"/>
      <c r="I13" s="268"/>
      <c r="J13" s="270"/>
      <c r="K13" s="43">
        <v>12</v>
      </c>
      <c r="L13" s="44" t="s">
        <v>254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48"/>
      <c r="B14" s="222"/>
      <c r="C14" s="209"/>
      <c r="D14" s="209"/>
      <c r="E14" s="209"/>
      <c r="F14" s="209"/>
      <c r="G14" s="225"/>
      <c r="H14" s="237"/>
      <c r="I14" s="268"/>
      <c r="J14" s="271"/>
      <c r="K14" s="49">
        <v>13</v>
      </c>
      <c r="L14" s="50" t="s">
        <v>255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49"/>
      <c r="B15" s="251"/>
      <c r="C15" s="228"/>
      <c r="D15" s="228"/>
      <c r="E15" s="228"/>
      <c r="F15" s="228"/>
      <c r="G15" s="252"/>
      <c r="H15" s="253"/>
      <c r="I15" s="269"/>
      <c r="J15" s="152" t="s">
        <v>256</v>
      </c>
      <c r="K15" s="49">
        <v>14</v>
      </c>
      <c r="L15" s="50" t="s">
        <v>257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229</v>
      </c>
      <c r="B16" s="30" t="s">
        <v>230</v>
      </c>
      <c r="C16" s="31">
        <v>2016</v>
      </c>
      <c r="D16" s="31">
        <v>2015</v>
      </c>
      <c r="E16" s="32" t="s">
        <v>336</v>
      </c>
      <c r="F16" s="32" t="s">
        <v>231</v>
      </c>
      <c r="G16" s="31" t="s">
        <v>232</v>
      </c>
      <c r="H16" s="119" t="s">
        <v>337</v>
      </c>
      <c r="I16" s="33" t="s">
        <v>233</v>
      </c>
      <c r="J16" s="34"/>
      <c r="K16" s="34" t="s">
        <v>234</v>
      </c>
      <c r="L16" s="34" t="s">
        <v>235</v>
      </c>
      <c r="M16" s="35">
        <v>2016</v>
      </c>
      <c r="N16" s="35">
        <v>2015</v>
      </c>
      <c r="O16" s="35" t="s">
        <v>336</v>
      </c>
      <c r="P16" s="35" t="s">
        <v>231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47" t="s">
        <v>258</v>
      </c>
      <c r="B17" s="221" t="s">
        <v>15</v>
      </c>
      <c r="C17" s="217">
        <f>+ROUND(AVERAGE(M17:M20),0)</f>
        <v>82</v>
      </c>
      <c r="D17" s="217">
        <f>+ROUND(AVERAGE(N17:N20),0)</f>
        <v>79</v>
      </c>
      <c r="E17" s="217">
        <f>+ROUND(AVERAGE(O17:O20),0)</f>
        <v>89</v>
      </c>
      <c r="F17" s="217">
        <f>+ROUND(AVERAGE(P17:P20),0)</f>
        <v>77</v>
      </c>
      <c r="G17" s="235">
        <f>+C17-E17</f>
        <v>-7</v>
      </c>
      <c r="H17" s="236">
        <f>+C17-F17</f>
        <v>5</v>
      </c>
      <c r="I17" s="266" t="s">
        <v>15</v>
      </c>
      <c r="J17" s="273" t="s">
        <v>259</v>
      </c>
      <c r="K17" s="54">
        <v>15</v>
      </c>
      <c r="L17" s="55" t="s">
        <v>260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47"/>
      <c r="B18" s="222"/>
      <c r="C18" s="209"/>
      <c r="D18" s="209"/>
      <c r="E18" s="209"/>
      <c r="F18" s="209"/>
      <c r="G18" s="225"/>
      <c r="H18" s="237"/>
      <c r="I18" s="272"/>
      <c r="J18" s="274"/>
      <c r="K18" s="57">
        <v>16</v>
      </c>
      <c r="L18" s="50" t="s">
        <v>261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47"/>
      <c r="B19" s="222"/>
      <c r="C19" s="209"/>
      <c r="D19" s="209"/>
      <c r="E19" s="209"/>
      <c r="F19" s="209"/>
      <c r="G19" s="225"/>
      <c r="H19" s="237"/>
      <c r="I19" s="272"/>
      <c r="J19" s="275" t="s">
        <v>262</v>
      </c>
      <c r="K19" s="59">
        <v>17</v>
      </c>
      <c r="L19" s="44" t="s">
        <v>263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47"/>
      <c r="B20" s="223"/>
      <c r="C20" s="210"/>
      <c r="D20" s="210"/>
      <c r="E20" s="210"/>
      <c r="F20" s="210"/>
      <c r="G20" s="250"/>
      <c r="H20" s="238"/>
      <c r="I20" s="267"/>
      <c r="J20" s="274"/>
      <c r="K20" s="57">
        <v>18</v>
      </c>
      <c r="L20" s="50" t="s">
        <v>264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47"/>
      <c r="B21" s="221" t="s">
        <v>16</v>
      </c>
      <c r="C21" s="217">
        <f>+ROUND(AVERAGE(M21:M22),0)</f>
        <v>81</v>
      </c>
      <c r="D21" s="217">
        <f>+ROUND(AVERAGE(N21:N22),0)</f>
        <v>77</v>
      </c>
      <c r="E21" s="217">
        <f>+ROUND(AVERAGE(O21:O22),0)</f>
        <v>87</v>
      </c>
      <c r="F21" s="217">
        <f>+ROUND(AVERAGE(P21:P22),0)</f>
        <v>73</v>
      </c>
      <c r="G21" s="235">
        <f>+C21-E21</f>
        <v>-6</v>
      </c>
      <c r="H21" s="236">
        <f>+C21-F21</f>
        <v>8</v>
      </c>
      <c r="I21" s="266" t="s">
        <v>16</v>
      </c>
      <c r="J21" s="275" t="s">
        <v>265</v>
      </c>
      <c r="K21" s="59">
        <v>19</v>
      </c>
      <c r="L21" s="44" t="s">
        <v>266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47"/>
      <c r="B22" s="223"/>
      <c r="C22" s="210"/>
      <c r="D22" s="210"/>
      <c r="E22" s="210"/>
      <c r="F22" s="210"/>
      <c r="G22" s="250"/>
      <c r="H22" s="238"/>
      <c r="I22" s="267"/>
      <c r="J22" s="274"/>
      <c r="K22" s="57">
        <v>20</v>
      </c>
      <c r="L22" s="50" t="s">
        <v>267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47"/>
      <c r="B23" s="221" t="s">
        <v>17</v>
      </c>
      <c r="C23" s="217">
        <f>+ROUND(AVERAGE(M23:M29),0)</f>
        <v>81</v>
      </c>
      <c r="D23" s="217">
        <f>+ROUND(AVERAGE(N23:N29),0)</f>
        <v>77</v>
      </c>
      <c r="E23" s="217">
        <f>+ROUND(AVERAGE(O23:O29),0)</f>
        <v>89</v>
      </c>
      <c r="F23" s="217">
        <f>+ROUND(AVERAGE(P23:P29),0)</f>
        <v>78</v>
      </c>
      <c r="G23" s="235">
        <f>+C23-E23</f>
        <v>-8</v>
      </c>
      <c r="H23" s="236">
        <f>+C23-F23</f>
        <v>3</v>
      </c>
      <c r="I23" s="266" t="s">
        <v>17</v>
      </c>
      <c r="J23" s="275" t="s">
        <v>268</v>
      </c>
      <c r="K23" s="59">
        <v>21</v>
      </c>
      <c r="L23" s="44" t="s">
        <v>269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47"/>
      <c r="B24" s="222"/>
      <c r="C24" s="209"/>
      <c r="D24" s="209"/>
      <c r="E24" s="209"/>
      <c r="F24" s="209"/>
      <c r="G24" s="225"/>
      <c r="H24" s="237"/>
      <c r="I24" s="272"/>
      <c r="J24" s="275"/>
      <c r="K24" s="59">
        <v>22</v>
      </c>
      <c r="L24" s="44" t="s">
        <v>270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47"/>
      <c r="B25" s="222"/>
      <c r="C25" s="209"/>
      <c r="D25" s="209"/>
      <c r="E25" s="209"/>
      <c r="F25" s="209"/>
      <c r="G25" s="225"/>
      <c r="H25" s="237"/>
      <c r="I25" s="272"/>
      <c r="J25" s="274"/>
      <c r="K25" s="57">
        <v>23</v>
      </c>
      <c r="L25" s="50" t="s">
        <v>271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47"/>
      <c r="B26" s="222"/>
      <c r="C26" s="209"/>
      <c r="D26" s="209"/>
      <c r="E26" s="209"/>
      <c r="F26" s="209"/>
      <c r="G26" s="225"/>
      <c r="H26" s="237"/>
      <c r="I26" s="272"/>
      <c r="J26" s="275" t="s">
        <v>272</v>
      </c>
      <c r="K26" s="59">
        <v>24</v>
      </c>
      <c r="L26" s="44" t="s">
        <v>273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47"/>
      <c r="B27" s="222"/>
      <c r="C27" s="209"/>
      <c r="D27" s="209"/>
      <c r="E27" s="209"/>
      <c r="F27" s="209"/>
      <c r="G27" s="225"/>
      <c r="H27" s="237"/>
      <c r="I27" s="272"/>
      <c r="J27" s="275"/>
      <c r="K27" s="59">
        <v>25</v>
      </c>
      <c r="L27" s="44" t="s">
        <v>274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47"/>
      <c r="B28" s="222"/>
      <c r="C28" s="209"/>
      <c r="D28" s="209"/>
      <c r="E28" s="209"/>
      <c r="F28" s="209"/>
      <c r="G28" s="225"/>
      <c r="H28" s="237"/>
      <c r="I28" s="272"/>
      <c r="J28" s="275"/>
      <c r="K28" s="59">
        <v>26</v>
      </c>
      <c r="L28" s="44" t="s">
        <v>275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47"/>
      <c r="B29" s="251"/>
      <c r="C29" s="228"/>
      <c r="D29" s="228"/>
      <c r="E29" s="228"/>
      <c r="F29" s="228"/>
      <c r="G29" s="252"/>
      <c r="H29" s="253"/>
      <c r="I29" s="267"/>
      <c r="J29" s="274"/>
      <c r="K29" s="57">
        <v>27</v>
      </c>
      <c r="L29" s="50" t="s">
        <v>276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229</v>
      </c>
      <c r="B30" s="30" t="s">
        <v>230</v>
      </c>
      <c r="C30" s="31">
        <v>2016</v>
      </c>
      <c r="D30" s="31">
        <v>2015</v>
      </c>
      <c r="E30" s="32" t="s">
        <v>336</v>
      </c>
      <c r="F30" s="32" t="s">
        <v>231</v>
      </c>
      <c r="G30" s="31" t="s">
        <v>232</v>
      </c>
      <c r="H30" s="119" t="s">
        <v>337</v>
      </c>
      <c r="I30" s="33" t="s">
        <v>233</v>
      </c>
      <c r="J30" s="34"/>
      <c r="K30" s="34" t="s">
        <v>234</v>
      </c>
      <c r="L30" s="34" t="s">
        <v>235</v>
      </c>
      <c r="M30" s="35">
        <v>2016</v>
      </c>
      <c r="N30" s="35">
        <v>2015</v>
      </c>
      <c r="O30" s="35" t="s">
        <v>336</v>
      </c>
      <c r="P30" s="35" t="s">
        <v>231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33" t="s">
        <v>277</v>
      </c>
      <c r="B31" s="221" t="s">
        <v>18</v>
      </c>
      <c r="C31" s="217">
        <f>+ROUND(AVERAGE(M31:M34),0)</f>
        <v>69</v>
      </c>
      <c r="D31" s="217">
        <f>+ROUND(AVERAGE(N31:N34),0)</f>
        <v>63</v>
      </c>
      <c r="E31" s="217">
        <f>+ROUND(AVERAGE(O31:O34),0)</f>
        <v>77</v>
      </c>
      <c r="F31" s="217">
        <f>+ROUND(AVERAGE(P31:P34),0)</f>
        <v>65</v>
      </c>
      <c r="G31" s="235">
        <f>+C31-E31</f>
        <v>-8</v>
      </c>
      <c r="H31" s="236">
        <f>+C31-F31</f>
        <v>4</v>
      </c>
      <c r="I31" s="255" t="s">
        <v>18</v>
      </c>
      <c r="J31" s="276" t="s">
        <v>278</v>
      </c>
      <c r="K31" s="62">
        <v>28</v>
      </c>
      <c r="L31" s="63" t="s">
        <v>279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33"/>
      <c r="B32" s="222"/>
      <c r="C32" s="209"/>
      <c r="D32" s="209"/>
      <c r="E32" s="209"/>
      <c r="F32" s="209"/>
      <c r="G32" s="225"/>
      <c r="H32" s="237"/>
      <c r="I32" s="255"/>
      <c r="J32" s="277"/>
      <c r="K32" s="59">
        <v>29</v>
      </c>
      <c r="L32" s="44" t="s">
        <v>280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33"/>
      <c r="B33" s="222"/>
      <c r="C33" s="209"/>
      <c r="D33" s="209"/>
      <c r="E33" s="209"/>
      <c r="F33" s="209"/>
      <c r="G33" s="225"/>
      <c r="H33" s="237"/>
      <c r="I33" s="255"/>
      <c r="J33" s="278" t="s">
        <v>281</v>
      </c>
      <c r="K33" s="54">
        <v>30</v>
      </c>
      <c r="L33" s="55" t="s">
        <v>282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33"/>
      <c r="B34" s="223"/>
      <c r="C34" s="210"/>
      <c r="D34" s="210"/>
      <c r="E34" s="210"/>
      <c r="F34" s="210"/>
      <c r="G34" s="225"/>
      <c r="H34" s="238"/>
      <c r="I34" s="256"/>
      <c r="J34" s="279"/>
      <c r="K34" s="57">
        <v>31</v>
      </c>
      <c r="L34" s="50" t="s">
        <v>283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33"/>
      <c r="B35" s="239" t="s">
        <v>19</v>
      </c>
      <c r="C35" s="217">
        <f>+ROUND(AVERAGE(M35:M37),0)</f>
        <v>68</v>
      </c>
      <c r="D35" s="217">
        <f>+ROUND(AVERAGE(N35:N37),0)</f>
        <v>62</v>
      </c>
      <c r="E35" s="217">
        <f>+ROUND(AVERAGE(O35:O37),0)</f>
        <v>78</v>
      </c>
      <c r="F35" s="217">
        <f>+ROUND(AVERAGE(P35:P37),0)</f>
        <v>64</v>
      </c>
      <c r="G35" s="242">
        <f>+C35-E35</f>
        <v>-10</v>
      </c>
      <c r="H35" s="236">
        <f>+C35-F35</f>
        <v>4</v>
      </c>
      <c r="I35" s="280" t="s">
        <v>19</v>
      </c>
      <c r="J35" s="280"/>
      <c r="K35" s="59">
        <v>32</v>
      </c>
      <c r="L35" s="44" t="s">
        <v>284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33"/>
      <c r="B36" s="240"/>
      <c r="C36" s="209"/>
      <c r="D36" s="209"/>
      <c r="E36" s="209"/>
      <c r="F36" s="209"/>
      <c r="G36" s="212"/>
      <c r="H36" s="237"/>
      <c r="I36" s="281"/>
      <c r="J36" s="281"/>
      <c r="K36" s="59">
        <v>33</v>
      </c>
      <c r="L36" s="44" t="s">
        <v>285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33"/>
      <c r="B37" s="241"/>
      <c r="C37" s="210"/>
      <c r="D37" s="210"/>
      <c r="E37" s="210"/>
      <c r="F37" s="210"/>
      <c r="G37" s="213"/>
      <c r="H37" s="238"/>
      <c r="I37" s="282"/>
      <c r="J37" s="282"/>
      <c r="K37" s="57">
        <v>34</v>
      </c>
      <c r="L37" s="50" t="s">
        <v>286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33"/>
      <c r="B38" s="221" t="s">
        <v>20</v>
      </c>
      <c r="C38" s="217">
        <f>+ROUND(AVERAGE(M38:M42),0)</f>
        <v>91</v>
      </c>
      <c r="D38" s="217">
        <f>+ROUND(AVERAGE(N38:N42),0)</f>
        <v>89</v>
      </c>
      <c r="E38" s="217">
        <f>+ROUND(AVERAGE(O38:O42),0)</f>
        <v>96</v>
      </c>
      <c r="F38" s="217">
        <f>+ROUND(AVERAGE(P38:P42),0)</f>
        <v>91</v>
      </c>
      <c r="G38" s="224">
        <f>+C38-E38</f>
        <v>-5</v>
      </c>
      <c r="H38" s="236">
        <f>+C38-F38</f>
        <v>0</v>
      </c>
      <c r="I38" s="254" t="s">
        <v>20</v>
      </c>
      <c r="J38" s="278" t="s">
        <v>287</v>
      </c>
      <c r="K38" s="54">
        <v>35</v>
      </c>
      <c r="L38" s="55" t="s">
        <v>288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33"/>
      <c r="B39" s="222"/>
      <c r="C39" s="209"/>
      <c r="D39" s="209"/>
      <c r="E39" s="209"/>
      <c r="F39" s="209"/>
      <c r="G39" s="225"/>
      <c r="H39" s="237"/>
      <c r="I39" s="255"/>
      <c r="J39" s="277"/>
      <c r="K39" s="59">
        <v>36</v>
      </c>
      <c r="L39" s="44" t="s">
        <v>289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33"/>
      <c r="B40" s="222"/>
      <c r="C40" s="209"/>
      <c r="D40" s="209"/>
      <c r="E40" s="209"/>
      <c r="F40" s="209"/>
      <c r="G40" s="225"/>
      <c r="H40" s="237"/>
      <c r="I40" s="255"/>
      <c r="J40" s="277"/>
      <c r="K40" s="59">
        <v>37</v>
      </c>
      <c r="L40" s="44" t="s">
        <v>290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33"/>
      <c r="B41" s="222"/>
      <c r="C41" s="209"/>
      <c r="D41" s="209"/>
      <c r="E41" s="209"/>
      <c r="F41" s="209"/>
      <c r="G41" s="225"/>
      <c r="H41" s="237"/>
      <c r="I41" s="255"/>
      <c r="J41" s="277"/>
      <c r="K41" s="59">
        <v>38</v>
      </c>
      <c r="L41" s="50" t="s">
        <v>291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34"/>
      <c r="B42" s="243"/>
      <c r="C42" s="244"/>
      <c r="D42" s="244"/>
      <c r="E42" s="244"/>
      <c r="F42" s="244"/>
      <c r="G42" s="245"/>
      <c r="H42" s="246"/>
      <c r="I42" s="256"/>
      <c r="J42" s="64" t="s">
        <v>292</v>
      </c>
      <c r="K42" s="65">
        <v>39</v>
      </c>
      <c r="L42" s="50" t="s">
        <v>293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229</v>
      </c>
      <c r="B43" s="30" t="s">
        <v>230</v>
      </c>
      <c r="C43" s="31">
        <v>2016</v>
      </c>
      <c r="D43" s="31">
        <v>2015</v>
      </c>
      <c r="E43" s="32" t="s">
        <v>336</v>
      </c>
      <c r="F43" s="32" t="s">
        <v>231</v>
      </c>
      <c r="G43" s="31" t="s">
        <v>232</v>
      </c>
      <c r="H43" s="119" t="s">
        <v>337</v>
      </c>
      <c r="I43" s="33" t="s">
        <v>233</v>
      </c>
      <c r="J43" s="34"/>
      <c r="K43" s="34" t="s">
        <v>234</v>
      </c>
      <c r="L43" s="34" t="s">
        <v>235</v>
      </c>
      <c r="M43" s="35">
        <v>2016</v>
      </c>
      <c r="N43" s="35">
        <v>2015</v>
      </c>
      <c r="O43" s="35" t="s">
        <v>336</v>
      </c>
      <c r="P43" s="35" t="s">
        <v>231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229" t="s">
        <v>294</v>
      </c>
      <c r="B44" s="215" t="s">
        <v>21</v>
      </c>
      <c r="C44" s="209">
        <f>+ROUND(AVERAGE(M44:M45),0)</f>
        <v>81</v>
      </c>
      <c r="D44" s="209">
        <f>+ROUND(AVERAGE(N44:N45),0)</f>
        <v>76</v>
      </c>
      <c r="E44" s="209">
        <f>+ROUND(AVERAGE(O44:O45),0)</f>
        <v>88</v>
      </c>
      <c r="F44" s="209">
        <f>+ROUND(AVERAGE(P44:P45),0)</f>
        <v>77</v>
      </c>
      <c r="G44" s="211">
        <f>+C44-E44</f>
        <v>-7</v>
      </c>
      <c r="H44" s="237">
        <f>+C44-F44</f>
        <v>4</v>
      </c>
      <c r="I44" s="283" t="s">
        <v>21</v>
      </c>
      <c r="J44" s="284"/>
      <c r="K44" s="67">
        <v>40</v>
      </c>
      <c r="L44" s="55" t="s">
        <v>295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229"/>
      <c r="B45" s="231"/>
      <c r="C45" s="210"/>
      <c r="D45" s="210"/>
      <c r="E45" s="210"/>
      <c r="F45" s="210"/>
      <c r="G45" s="232"/>
      <c r="H45" s="238"/>
      <c r="I45" s="285"/>
      <c r="J45" s="286"/>
      <c r="K45" s="49">
        <v>41</v>
      </c>
      <c r="L45" s="50" t="s">
        <v>296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229"/>
      <c r="B46" s="214" t="s">
        <v>22</v>
      </c>
      <c r="C46" s="217">
        <f>+ROUND(AVERAGE(M46:M47),0)</f>
        <v>84</v>
      </c>
      <c r="D46" s="217">
        <f>+ROUND(AVERAGE(N46:N47),0)</f>
        <v>79</v>
      </c>
      <c r="E46" s="217">
        <f>+ROUND(AVERAGE(O46:O47),0)</f>
        <v>91</v>
      </c>
      <c r="F46" s="217">
        <f>+ROUND(AVERAGE(P46:P47),0)</f>
        <v>80</v>
      </c>
      <c r="G46" s="219">
        <f>+C46-E46</f>
        <v>-7</v>
      </c>
      <c r="H46" s="236">
        <f>+C46-F46</f>
        <v>4</v>
      </c>
      <c r="I46" s="283" t="s">
        <v>22</v>
      </c>
      <c r="J46" s="284"/>
      <c r="K46" s="67">
        <v>42</v>
      </c>
      <c r="L46" s="55" t="s">
        <v>297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229"/>
      <c r="B47" s="231"/>
      <c r="C47" s="210"/>
      <c r="D47" s="210"/>
      <c r="E47" s="210"/>
      <c r="F47" s="210"/>
      <c r="G47" s="232"/>
      <c r="H47" s="238"/>
      <c r="I47" s="285"/>
      <c r="J47" s="286"/>
      <c r="K47" s="49">
        <v>43</v>
      </c>
      <c r="L47" s="50" t="s">
        <v>298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229"/>
      <c r="B48" s="214" t="s">
        <v>23</v>
      </c>
      <c r="C48" s="217">
        <f>+ROUND(AVERAGE(M48:M51),0)</f>
        <v>84</v>
      </c>
      <c r="D48" s="217">
        <f>+ROUND(AVERAGE(N48:N51),0)</f>
        <v>79</v>
      </c>
      <c r="E48" s="217">
        <f>+ROUND(AVERAGE(O48:O51),0)</f>
        <v>91</v>
      </c>
      <c r="F48" s="217">
        <f>+ROUND(AVERAGE(P48:P51),0)</f>
        <v>82</v>
      </c>
      <c r="G48" s="219">
        <f>+C48-E48</f>
        <v>-7</v>
      </c>
      <c r="H48" s="236">
        <f>+C48-F48</f>
        <v>2</v>
      </c>
      <c r="I48" s="283" t="s">
        <v>23</v>
      </c>
      <c r="J48" s="284"/>
      <c r="K48" s="67">
        <v>44</v>
      </c>
      <c r="L48" s="55" t="s">
        <v>299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229"/>
      <c r="B49" s="215"/>
      <c r="C49" s="209"/>
      <c r="D49" s="209"/>
      <c r="E49" s="209"/>
      <c r="F49" s="209"/>
      <c r="G49" s="212"/>
      <c r="H49" s="237"/>
      <c r="I49" s="288"/>
      <c r="J49" s="289"/>
      <c r="K49" s="43">
        <v>45</v>
      </c>
      <c r="L49" s="44" t="s">
        <v>300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229"/>
      <c r="B50" s="215"/>
      <c r="C50" s="209"/>
      <c r="D50" s="209"/>
      <c r="E50" s="209"/>
      <c r="F50" s="209"/>
      <c r="G50" s="212"/>
      <c r="H50" s="237"/>
      <c r="I50" s="288"/>
      <c r="J50" s="289"/>
      <c r="K50" s="43">
        <v>46</v>
      </c>
      <c r="L50" s="44" t="s">
        <v>301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230"/>
      <c r="B51" s="216"/>
      <c r="C51" s="218"/>
      <c r="D51" s="218"/>
      <c r="E51" s="218"/>
      <c r="F51" s="218"/>
      <c r="G51" s="220"/>
      <c r="H51" s="287"/>
      <c r="I51" s="285"/>
      <c r="J51" s="286"/>
      <c r="K51" s="49">
        <v>47</v>
      </c>
      <c r="L51" s="50" t="s">
        <v>302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229</v>
      </c>
      <c r="B52" s="30" t="s">
        <v>230</v>
      </c>
      <c r="C52" s="31">
        <v>2016</v>
      </c>
      <c r="D52" s="31">
        <v>2015</v>
      </c>
      <c r="E52" s="32" t="s">
        <v>336</v>
      </c>
      <c r="F52" s="32" t="s">
        <v>231</v>
      </c>
      <c r="G52" s="31" t="s">
        <v>232</v>
      </c>
      <c r="H52" s="119" t="s">
        <v>337</v>
      </c>
      <c r="I52" s="33" t="s">
        <v>233</v>
      </c>
      <c r="J52" s="34"/>
      <c r="K52" s="34" t="s">
        <v>234</v>
      </c>
      <c r="L52" s="34" t="s">
        <v>235</v>
      </c>
      <c r="M52" s="35">
        <v>2016</v>
      </c>
      <c r="N52" s="35">
        <v>2015</v>
      </c>
      <c r="O52" s="35" t="s">
        <v>336</v>
      </c>
      <c r="P52" s="35" t="s">
        <v>231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205" t="s">
        <v>303</v>
      </c>
      <c r="B53" s="207" t="s">
        <v>24</v>
      </c>
      <c r="C53" s="209">
        <f>+ROUND(AVERAGE(M53:M55),0)</f>
        <v>87</v>
      </c>
      <c r="D53" s="209">
        <f>+ROUND(AVERAGE(N53:N55),0)</f>
        <v>83</v>
      </c>
      <c r="E53" s="209">
        <f>+ROUND(AVERAGE(O53:O55),0)</f>
        <v>93</v>
      </c>
      <c r="F53" s="209">
        <f>+ROUND(AVERAGE(P53:P55),0)</f>
        <v>84</v>
      </c>
      <c r="G53" s="211">
        <f>+C53-E53</f>
        <v>-6</v>
      </c>
      <c r="H53" s="237">
        <f>+C53-F53</f>
        <v>3</v>
      </c>
      <c r="I53" s="290" t="s">
        <v>24</v>
      </c>
      <c r="J53" s="290"/>
      <c r="K53" s="68">
        <v>48</v>
      </c>
      <c r="L53" s="69" t="s">
        <v>304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205"/>
      <c r="B54" s="207"/>
      <c r="C54" s="209"/>
      <c r="D54" s="209"/>
      <c r="E54" s="209"/>
      <c r="F54" s="209"/>
      <c r="G54" s="212"/>
      <c r="H54" s="237"/>
      <c r="I54" s="290"/>
      <c r="J54" s="290"/>
      <c r="K54" s="68">
        <v>49</v>
      </c>
      <c r="L54" s="69" t="s">
        <v>305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205"/>
      <c r="B55" s="208"/>
      <c r="C55" s="210"/>
      <c r="D55" s="210"/>
      <c r="E55" s="210"/>
      <c r="F55" s="210"/>
      <c r="G55" s="213"/>
      <c r="H55" s="238"/>
      <c r="I55" s="291"/>
      <c r="J55" s="291"/>
      <c r="K55" s="70">
        <v>50</v>
      </c>
      <c r="L55" s="71" t="s">
        <v>306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205"/>
      <c r="B56" s="221" t="s">
        <v>25</v>
      </c>
      <c r="C56" s="217">
        <f>+ROUND(AVERAGE(M56:M59),0)</f>
        <v>88</v>
      </c>
      <c r="D56" s="217">
        <f>+ROUND(AVERAGE(N56:N59),0)</f>
        <v>84</v>
      </c>
      <c r="E56" s="217">
        <f>+ROUND(AVERAGE(O56:O59),0)</f>
        <v>94</v>
      </c>
      <c r="F56" s="217">
        <f>+ROUND(AVERAGE(P56:P59),0)</f>
        <v>86</v>
      </c>
      <c r="G56" s="224">
        <f>+C56-E56</f>
        <v>-6</v>
      </c>
      <c r="H56" s="236">
        <f>+C56-F56</f>
        <v>2</v>
      </c>
      <c r="I56" s="257" t="s">
        <v>25</v>
      </c>
      <c r="J56" s="295" t="s">
        <v>307</v>
      </c>
      <c r="K56" s="72">
        <v>51</v>
      </c>
      <c r="L56" s="73" t="s">
        <v>308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205"/>
      <c r="B57" s="222"/>
      <c r="C57" s="209"/>
      <c r="D57" s="209"/>
      <c r="E57" s="209"/>
      <c r="F57" s="209"/>
      <c r="G57" s="225"/>
      <c r="H57" s="237"/>
      <c r="I57" s="258"/>
      <c r="J57" s="296"/>
      <c r="K57" s="70">
        <v>52</v>
      </c>
      <c r="L57" s="71" t="s">
        <v>309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205"/>
      <c r="B58" s="222"/>
      <c r="C58" s="209"/>
      <c r="D58" s="209"/>
      <c r="E58" s="209"/>
      <c r="F58" s="209"/>
      <c r="G58" s="225"/>
      <c r="H58" s="237"/>
      <c r="I58" s="258"/>
      <c r="J58" s="295" t="s">
        <v>310</v>
      </c>
      <c r="K58" s="72">
        <v>53</v>
      </c>
      <c r="L58" s="73" t="s">
        <v>311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205"/>
      <c r="B59" s="223"/>
      <c r="C59" s="210"/>
      <c r="D59" s="210"/>
      <c r="E59" s="210"/>
      <c r="F59" s="210"/>
      <c r="G59" s="225"/>
      <c r="H59" s="238"/>
      <c r="I59" s="259"/>
      <c r="J59" s="297"/>
      <c r="K59" s="68">
        <v>54</v>
      </c>
      <c r="L59" s="69" t="s">
        <v>312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205"/>
      <c r="B60" s="226" t="s">
        <v>26</v>
      </c>
      <c r="C60" s="217">
        <f>+ROUND(AVERAGE(M60:M62),0)</f>
        <v>82</v>
      </c>
      <c r="D60" s="217">
        <f>+ROUND(AVERAGE(N60:N62),0)</f>
        <v>78</v>
      </c>
      <c r="E60" s="217">
        <f>+ROUND(AVERAGE(O60:O62),0)</f>
        <v>90</v>
      </c>
      <c r="F60" s="217">
        <f>+ROUND(AVERAGE(P60:P62),0)</f>
        <v>78</v>
      </c>
      <c r="G60" s="242">
        <f>+C60-E60</f>
        <v>-8</v>
      </c>
      <c r="H60" s="236">
        <f>+C60-F60</f>
        <v>4</v>
      </c>
      <c r="I60" s="298" t="s">
        <v>26</v>
      </c>
      <c r="J60" s="298"/>
      <c r="K60" s="72">
        <v>55</v>
      </c>
      <c r="L60" s="73" t="s">
        <v>313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205"/>
      <c r="B61" s="207"/>
      <c r="C61" s="209"/>
      <c r="D61" s="209"/>
      <c r="E61" s="209"/>
      <c r="F61" s="209"/>
      <c r="G61" s="212"/>
      <c r="H61" s="237"/>
      <c r="I61" s="290"/>
      <c r="J61" s="290"/>
      <c r="K61" s="68">
        <v>56</v>
      </c>
      <c r="L61" s="69" t="s">
        <v>314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206"/>
      <c r="B62" s="227"/>
      <c r="C62" s="228"/>
      <c r="D62" s="228"/>
      <c r="E62" s="228"/>
      <c r="F62" s="228"/>
      <c r="G62" s="213"/>
      <c r="H62" s="253"/>
      <c r="I62" s="291"/>
      <c r="J62" s="291"/>
      <c r="K62" s="70">
        <v>57</v>
      </c>
      <c r="L62" s="71" t="s">
        <v>315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229</v>
      </c>
      <c r="B63" s="30" t="s">
        <v>230</v>
      </c>
      <c r="C63" s="31">
        <v>2016</v>
      </c>
      <c r="D63" s="31">
        <v>2015</v>
      </c>
      <c r="E63" s="32" t="s">
        <v>336</v>
      </c>
      <c r="F63" s="32" t="s">
        <v>231</v>
      </c>
      <c r="G63" s="31" t="s">
        <v>232</v>
      </c>
      <c r="H63" s="119" t="s">
        <v>337</v>
      </c>
      <c r="I63" s="33" t="s">
        <v>233</v>
      </c>
      <c r="J63" s="34"/>
      <c r="K63" s="34" t="s">
        <v>234</v>
      </c>
      <c r="L63" s="34" t="s">
        <v>235</v>
      </c>
      <c r="M63" s="35">
        <v>2016</v>
      </c>
      <c r="N63" s="35">
        <v>2015</v>
      </c>
      <c r="O63" s="35" t="s">
        <v>336</v>
      </c>
      <c r="P63" s="35" t="s">
        <v>231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07"/>
      <c r="C64" s="209"/>
      <c r="D64" s="209"/>
      <c r="E64" s="209"/>
      <c r="F64" s="209"/>
      <c r="G64" s="211"/>
      <c r="H64" s="237"/>
      <c r="I64" s="75"/>
      <c r="J64" s="299" t="s">
        <v>353</v>
      </c>
      <c r="K64" s="68">
        <v>59</v>
      </c>
      <c r="L64" s="69" t="s">
        <v>354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07"/>
      <c r="C65" s="209"/>
      <c r="D65" s="209"/>
      <c r="E65" s="209"/>
      <c r="F65" s="209"/>
      <c r="G65" s="211"/>
      <c r="H65" s="237"/>
      <c r="I65" s="75"/>
      <c r="J65" s="300"/>
      <c r="K65" s="68">
        <v>60</v>
      </c>
      <c r="L65" s="69" t="s">
        <v>355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07"/>
      <c r="C66" s="209"/>
      <c r="D66" s="209"/>
      <c r="E66" s="209"/>
      <c r="F66" s="209"/>
      <c r="G66" s="211"/>
      <c r="H66" s="237"/>
      <c r="I66" s="75"/>
      <c r="J66" s="300"/>
      <c r="K66" s="68">
        <v>61</v>
      </c>
      <c r="L66" s="69" t="s">
        <v>356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07"/>
      <c r="C67" s="209"/>
      <c r="D67" s="209"/>
      <c r="E67" s="209"/>
      <c r="F67" s="209"/>
      <c r="G67" s="211"/>
      <c r="H67" s="237"/>
      <c r="I67" s="75"/>
      <c r="J67" s="300"/>
      <c r="K67" s="68">
        <v>62</v>
      </c>
      <c r="L67" s="69" t="s">
        <v>357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07"/>
      <c r="C68" s="209"/>
      <c r="D68" s="209"/>
      <c r="E68" s="209"/>
      <c r="F68" s="209"/>
      <c r="G68" s="211"/>
      <c r="H68" s="237"/>
      <c r="I68" s="75"/>
      <c r="J68" s="300"/>
      <c r="K68" s="68">
        <v>63</v>
      </c>
      <c r="L68" s="69" t="s">
        <v>358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07"/>
      <c r="C69" s="209"/>
      <c r="D69" s="209"/>
      <c r="E69" s="209"/>
      <c r="F69" s="209"/>
      <c r="G69" s="212"/>
      <c r="H69" s="237"/>
      <c r="I69" s="75"/>
      <c r="J69" s="300"/>
      <c r="K69" s="68">
        <v>64</v>
      </c>
      <c r="L69" s="69" t="s">
        <v>359</v>
      </c>
      <c r="M69" s="60">
        <v>85.46</v>
      </c>
      <c r="N69" s="60" t="s">
        <v>201</v>
      </c>
      <c r="O69" s="60"/>
      <c r="P69" s="60"/>
      <c r="Q69" s="46" t="s">
        <v>201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08"/>
      <c r="C70" s="210"/>
      <c r="D70" s="210"/>
      <c r="E70" s="210"/>
      <c r="F70" s="210"/>
      <c r="G70" s="213"/>
      <c r="H70" s="238"/>
      <c r="I70" s="75"/>
      <c r="J70" s="301"/>
      <c r="K70" s="70">
        <v>65</v>
      </c>
      <c r="L70" s="71" t="s">
        <v>360</v>
      </c>
      <c r="M70" s="58">
        <v>80.86</v>
      </c>
      <c r="N70" s="60" t="s">
        <v>201</v>
      </c>
      <c r="O70" s="58"/>
      <c r="P70" s="58"/>
      <c r="Q70" s="46" t="s">
        <v>201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92" t="s">
        <v>316</v>
      </c>
      <c r="K72" s="34" t="s">
        <v>234</v>
      </c>
      <c r="L72" s="34" t="s">
        <v>235</v>
      </c>
      <c r="M72" s="35">
        <v>2016</v>
      </c>
      <c r="N72" s="35">
        <v>2015</v>
      </c>
      <c r="O72" s="35" t="s">
        <v>336</v>
      </c>
      <c r="P72" s="35" t="s">
        <v>231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93"/>
      <c r="K73" s="78">
        <v>58</v>
      </c>
      <c r="L73" s="79" t="s">
        <v>208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93"/>
      <c r="K74" s="82"/>
      <c r="L74" s="83" t="s">
        <v>209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93"/>
      <c r="K75" s="84"/>
      <c r="L75" s="84" t="s">
        <v>317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336</v>
      </c>
      <c r="P77" s="35" t="s">
        <v>231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94" t="s">
        <v>27</v>
      </c>
      <c r="K78" s="86" t="s">
        <v>202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94"/>
      <c r="K79" s="86" t="s">
        <v>204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94"/>
      <c r="K80" s="86" t="s">
        <v>205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94"/>
      <c r="K81" s="86" t="s">
        <v>206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94"/>
      <c r="K82" s="86" t="s">
        <v>207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318</v>
      </c>
      <c r="K85" s="88" t="s">
        <v>234</v>
      </c>
      <c r="L85" s="88" t="s">
        <v>235</v>
      </c>
      <c r="M85" s="88">
        <v>2016</v>
      </c>
      <c r="N85" s="88" t="s">
        <v>319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289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290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291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257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283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269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242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249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244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251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318</v>
      </c>
      <c r="K97" s="88" t="s">
        <v>234</v>
      </c>
      <c r="L97" s="88" t="s">
        <v>235</v>
      </c>
      <c r="M97" s="88">
        <v>2016</v>
      </c>
      <c r="N97" s="88" t="s">
        <v>319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280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284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279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270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286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282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285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274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246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361</v>
      </c>
      <c r="I107" s="90"/>
      <c r="J107" s="90" t="s">
        <v>361</v>
      </c>
      <c r="K107" s="91" t="s">
        <v>361</v>
      </c>
      <c r="L107" s="91" t="s">
        <v>361</v>
      </c>
      <c r="M107" s="92" t="s">
        <v>361</v>
      </c>
      <c r="N107" s="93" t="s">
        <v>361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40" priority="102" operator="lessThanOrEqual">
      <formula>-5</formula>
    </cfRule>
    <cfRule type="cellIs" dxfId="239" priority="103" operator="greaterThanOrEqual">
      <formula>5</formula>
    </cfRule>
  </conditionalFormatting>
  <conditionalFormatting sqref="M2:M15">
    <cfRule type="expression" dxfId="238" priority="97">
      <formula>M2=""</formula>
    </cfRule>
    <cfRule type="expression" dxfId="237" priority="98">
      <formula>M2&lt;44.5</formula>
    </cfRule>
    <cfRule type="expression" dxfId="236" priority="99">
      <formula>M2&lt;60.5</formula>
    </cfRule>
    <cfRule type="expression" dxfId="235" priority="100">
      <formula>M2&lt;85.5</formula>
    </cfRule>
    <cfRule type="expression" dxfId="234" priority="101">
      <formula>M2&gt;85.5</formula>
    </cfRule>
  </conditionalFormatting>
  <conditionalFormatting sqref="O2:P15 M2:M15">
    <cfRule type="expression" dxfId="233" priority="92">
      <formula>M2=""</formula>
    </cfRule>
    <cfRule type="expression" dxfId="232" priority="93">
      <formula>M2&lt;44.5</formula>
    </cfRule>
    <cfRule type="expression" dxfId="231" priority="94">
      <formula>M2&lt;60.5</formula>
    </cfRule>
    <cfRule type="expression" dxfId="230" priority="95">
      <formula>M2&lt;85.5</formula>
    </cfRule>
    <cfRule type="expression" dxfId="229" priority="96">
      <formula>M2&gt;85.5</formula>
    </cfRule>
  </conditionalFormatting>
  <conditionalFormatting sqref="N2:N15">
    <cfRule type="expression" dxfId="228" priority="87">
      <formula>N2=""</formula>
    </cfRule>
    <cfRule type="expression" dxfId="227" priority="88">
      <formula>N2&lt;44.5</formula>
    </cfRule>
    <cfRule type="expression" dxfId="226" priority="89">
      <formula>N2&lt;60.5</formula>
    </cfRule>
    <cfRule type="expression" dxfId="225" priority="90">
      <formula>N2&lt;85.5</formula>
    </cfRule>
    <cfRule type="expression" dxfId="224" priority="91">
      <formula>N2&gt;85.5</formula>
    </cfRule>
  </conditionalFormatting>
  <conditionalFormatting sqref="N2:N15">
    <cfRule type="expression" dxfId="223" priority="82">
      <formula>N2=""</formula>
    </cfRule>
    <cfRule type="expression" dxfId="222" priority="83">
      <formula>N2&lt;44.5</formula>
    </cfRule>
    <cfRule type="expression" dxfId="221" priority="84">
      <formula>N2&lt;60.5</formula>
    </cfRule>
    <cfRule type="expression" dxfId="220" priority="85">
      <formula>N2&lt;85.5</formula>
    </cfRule>
    <cfRule type="expression" dxfId="219" priority="86">
      <formula>N2&gt;85.5</formula>
    </cfRule>
  </conditionalFormatting>
  <conditionalFormatting sqref="M17:M29">
    <cfRule type="expression" dxfId="218" priority="77">
      <formula>M17=""</formula>
    </cfRule>
    <cfRule type="expression" dxfId="217" priority="78">
      <formula>M17&lt;44.5</formula>
    </cfRule>
    <cfRule type="expression" dxfId="216" priority="79">
      <formula>M17&lt;60.5</formula>
    </cfRule>
    <cfRule type="expression" dxfId="215" priority="80">
      <formula>M17&lt;85.5</formula>
    </cfRule>
    <cfRule type="expression" dxfId="214" priority="81">
      <formula>M17&gt;85.5</formula>
    </cfRule>
  </conditionalFormatting>
  <conditionalFormatting sqref="O17:P29">
    <cfRule type="expression" dxfId="213" priority="72">
      <formula>O17=""</formula>
    </cfRule>
    <cfRule type="expression" dxfId="212" priority="73">
      <formula>O17&lt;44.5</formula>
    </cfRule>
    <cfRule type="expression" dxfId="211" priority="74">
      <formula>O17&lt;60.5</formula>
    </cfRule>
    <cfRule type="expression" dxfId="210" priority="75">
      <formula>O17&lt;85.5</formula>
    </cfRule>
    <cfRule type="expression" dxfId="209" priority="76">
      <formula>O17&gt;85.5</formula>
    </cfRule>
  </conditionalFormatting>
  <conditionalFormatting sqref="N17:N29">
    <cfRule type="expression" dxfId="208" priority="67">
      <formula>N17=""</formula>
    </cfRule>
    <cfRule type="expression" dxfId="207" priority="68">
      <formula>N17&lt;44.5</formula>
    </cfRule>
    <cfRule type="expression" dxfId="206" priority="69">
      <formula>N17&lt;60.5</formula>
    </cfRule>
    <cfRule type="expression" dxfId="205" priority="70">
      <formula>N17&lt;85.5</formula>
    </cfRule>
    <cfRule type="expression" dxfId="204" priority="71">
      <formula>N17&gt;85.5</formula>
    </cfRule>
  </conditionalFormatting>
  <conditionalFormatting sqref="M31:M42">
    <cfRule type="expression" dxfId="203" priority="62">
      <formula>M31=""</formula>
    </cfRule>
    <cfRule type="expression" dxfId="202" priority="63">
      <formula>M31&lt;44.5</formula>
    </cfRule>
    <cfRule type="expression" dxfId="201" priority="64">
      <formula>M31&lt;60.5</formula>
    </cfRule>
    <cfRule type="expression" dxfId="200" priority="65">
      <formula>M31&lt;85.5</formula>
    </cfRule>
    <cfRule type="expression" dxfId="199" priority="66">
      <formula>M31&gt;85.5</formula>
    </cfRule>
  </conditionalFormatting>
  <conditionalFormatting sqref="O31:P42">
    <cfRule type="expression" dxfId="198" priority="57">
      <formula>O31=""</formula>
    </cfRule>
    <cfRule type="expression" dxfId="197" priority="58">
      <formula>O31&lt;44.5</formula>
    </cfRule>
    <cfRule type="expression" dxfId="196" priority="59">
      <formula>O31&lt;60.5</formula>
    </cfRule>
    <cfRule type="expression" dxfId="195" priority="60">
      <formula>O31&lt;85.5</formula>
    </cfRule>
    <cfRule type="expression" dxfId="194" priority="61">
      <formula>O31&gt;85.5</formula>
    </cfRule>
  </conditionalFormatting>
  <conditionalFormatting sqref="N31:N42">
    <cfRule type="expression" dxfId="193" priority="52">
      <formula>N31=""</formula>
    </cfRule>
    <cfRule type="expression" dxfId="192" priority="53">
      <formula>N31&lt;44.5</formula>
    </cfRule>
    <cfRule type="expression" dxfId="191" priority="54">
      <formula>N31&lt;60.5</formula>
    </cfRule>
    <cfRule type="expression" dxfId="190" priority="55">
      <formula>N31&lt;85.5</formula>
    </cfRule>
    <cfRule type="expression" dxfId="189" priority="56">
      <formula>N31&gt;85.5</formula>
    </cfRule>
  </conditionalFormatting>
  <conditionalFormatting sqref="M44:M51">
    <cfRule type="expression" dxfId="188" priority="47">
      <formula>M44=""</formula>
    </cfRule>
    <cfRule type="expression" dxfId="187" priority="48">
      <formula>M44&lt;44.5</formula>
    </cfRule>
    <cfRule type="expression" dxfId="186" priority="49">
      <formula>M44&lt;60.5</formula>
    </cfRule>
    <cfRule type="expression" dxfId="185" priority="50">
      <formula>M44&lt;85.5</formula>
    </cfRule>
    <cfRule type="expression" dxfId="184" priority="51">
      <formula>M44&gt;85.5</formula>
    </cfRule>
  </conditionalFormatting>
  <conditionalFormatting sqref="O44:P51">
    <cfRule type="expression" dxfId="183" priority="42">
      <formula>O44=""</formula>
    </cfRule>
    <cfRule type="expression" dxfId="182" priority="43">
      <formula>O44&lt;44.5</formula>
    </cfRule>
    <cfRule type="expression" dxfId="181" priority="44">
      <formula>O44&lt;60.5</formula>
    </cfRule>
    <cfRule type="expression" dxfId="180" priority="45">
      <formula>O44&lt;85.5</formula>
    </cfRule>
    <cfRule type="expression" dxfId="179" priority="46">
      <formula>O44&gt;85.5</formula>
    </cfRule>
  </conditionalFormatting>
  <conditionalFormatting sqref="N44:N51">
    <cfRule type="expression" dxfId="178" priority="37">
      <formula>N44=""</formula>
    </cfRule>
    <cfRule type="expression" dxfId="177" priority="38">
      <formula>N44&lt;44.5</formula>
    </cfRule>
    <cfRule type="expression" dxfId="176" priority="39">
      <formula>N44&lt;60.5</formula>
    </cfRule>
    <cfRule type="expression" dxfId="175" priority="40">
      <formula>N44&lt;85.5</formula>
    </cfRule>
    <cfRule type="expression" dxfId="174" priority="41">
      <formula>N44&gt;85.5</formula>
    </cfRule>
  </conditionalFormatting>
  <conditionalFormatting sqref="M53:M62">
    <cfRule type="expression" dxfId="173" priority="32">
      <formula>M53=""</formula>
    </cfRule>
    <cfRule type="expression" dxfId="172" priority="33">
      <formula>M53&lt;44.5</formula>
    </cfRule>
    <cfRule type="expression" dxfId="171" priority="34">
      <formula>M53&lt;60.5</formula>
    </cfRule>
    <cfRule type="expression" dxfId="170" priority="35">
      <formula>M53&lt;85.5</formula>
    </cfRule>
    <cfRule type="expression" dxfId="169" priority="36">
      <formula>M53&gt;85.5</formula>
    </cfRule>
  </conditionalFormatting>
  <conditionalFormatting sqref="O53:P62">
    <cfRule type="expression" dxfId="168" priority="27">
      <formula>O53=""</formula>
    </cfRule>
    <cfRule type="expression" dxfId="167" priority="28">
      <formula>O53&lt;44.5</formula>
    </cfRule>
    <cfRule type="expression" dxfId="166" priority="29">
      <formula>O53&lt;60.5</formula>
    </cfRule>
    <cfRule type="expression" dxfId="165" priority="30">
      <formula>O53&lt;85.5</formula>
    </cfRule>
    <cfRule type="expression" dxfId="164" priority="31">
      <formula>O53&gt;85.5</formula>
    </cfRule>
  </conditionalFormatting>
  <conditionalFormatting sqref="N53:N62">
    <cfRule type="expression" dxfId="163" priority="22">
      <formula>N53=""</formula>
    </cfRule>
    <cfRule type="expression" dxfId="162" priority="23">
      <formula>N53&lt;44.5</formula>
    </cfRule>
    <cfRule type="expression" dxfId="161" priority="24">
      <formula>N53&lt;60.5</formula>
    </cfRule>
    <cfRule type="expression" dxfId="160" priority="25">
      <formula>N53&lt;85.5</formula>
    </cfRule>
    <cfRule type="expression" dxfId="159" priority="26">
      <formula>N53&gt;85.5</formula>
    </cfRule>
  </conditionalFormatting>
  <conditionalFormatting sqref="Q63:Q70">
    <cfRule type="cellIs" dxfId="158" priority="20" operator="lessThanOrEqual">
      <formula>-5</formula>
    </cfRule>
    <cfRule type="cellIs" dxfId="157" priority="21" operator="greaterThanOrEqual">
      <formula>5</formula>
    </cfRule>
  </conditionalFormatting>
  <conditionalFormatting sqref="M64:M70">
    <cfRule type="expression" dxfId="156" priority="15">
      <formula>M64=""</formula>
    </cfRule>
    <cfRule type="expression" dxfId="155" priority="16">
      <formula>M64&lt;44.5</formula>
    </cfRule>
    <cfRule type="expression" dxfId="154" priority="17">
      <formula>M64&lt;60.5</formula>
    </cfRule>
    <cfRule type="expression" dxfId="153" priority="18">
      <formula>M64&lt;85.5</formula>
    </cfRule>
    <cfRule type="expression" dxfId="152" priority="19">
      <formula>M64&gt;85.5</formula>
    </cfRule>
  </conditionalFormatting>
  <conditionalFormatting sqref="O64:P70">
    <cfRule type="expression" dxfId="151" priority="10">
      <formula>O64=""</formula>
    </cfRule>
    <cfRule type="expression" dxfId="150" priority="11">
      <formula>O64&lt;44.5</formula>
    </cfRule>
    <cfRule type="expression" dxfId="149" priority="12">
      <formula>O64&lt;60.5</formula>
    </cfRule>
    <cfRule type="expression" dxfId="148" priority="13">
      <formula>O64&lt;85.5</formula>
    </cfRule>
    <cfRule type="expression" dxfId="147" priority="14">
      <formula>O64&gt;85.5</formula>
    </cfRule>
  </conditionalFormatting>
  <conditionalFormatting sqref="N64:N68">
    <cfRule type="expression" dxfId="146" priority="5">
      <formula>N64=""</formula>
    </cfRule>
    <cfRule type="expression" dxfId="145" priority="6">
      <formula>N64&lt;44.5</formula>
    </cfRule>
    <cfRule type="expression" dxfId="144" priority="7">
      <formula>N64&lt;60.5</formula>
    </cfRule>
    <cfRule type="expression" dxfId="143" priority="8">
      <formula>N64&lt;85.5</formula>
    </cfRule>
    <cfRule type="expression" dxfId="142" priority="9">
      <formula>N64&gt;85.5</formula>
    </cfRule>
  </conditionalFormatting>
  <conditionalFormatting sqref="J86 H86">
    <cfRule type="expression" dxfId="141" priority="3">
      <formula>$C86="IMPARCIALIDAD"</formula>
    </cfRule>
  </conditionalFormatting>
  <conditionalFormatting sqref="J98:J107 H98:H107 J86:J96 H86:H96">
    <cfRule type="expression" dxfId="140" priority="4">
      <formula>$C86="RESPETO"</formula>
    </cfRule>
    <cfRule type="expression" dxfId="139" priority="104">
      <formula>$C86="CREDIBILIDAD"</formula>
    </cfRule>
  </conditionalFormatting>
  <conditionalFormatting sqref="I86">
    <cfRule type="expression" dxfId="138" priority="1">
      <formula>$C86="IMPARCIALIDAD"</formula>
    </cfRule>
  </conditionalFormatting>
  <conditionalFormatting sqref="I98:I107 I86:I96">
    <cfRule type="expression" dxfId="13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topLeftCell="D1" workbookViewId="0">
      <selection activeCell="C28" sqref="C28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02" t="s">
        <v>210</v>
      </c>
      <c r="C2" s="302"/>
      <c r="D2" s="302"/>
      <c r="E2" s="302"/>
      <c r="F2" s="302"/>
      <c r="G2" s="302"/>
      <c r="H2" s="302"/>
      <c r="I2" s="302"/>
      <c r="J2" s="302"/>
    </row>
    <row r="3" spans="2:10" ht="20.100000000000001" customHeight="1">
      <c r="B3" s="28" t="s">
        <v>30</v>
      </c>
      <c r="C3" s="28" t="s">
        <v>211</v>
      </c>
      <c r="D3" s="28" t="s">
        <v>212</v>
      </c>
      <c r="E3" s="28" t="s">
        <v>213</v>
      </c>
      <c r="F3" s="28" t="s">
        <v>214</v>
      </c>
      <c r="G3" s="28" t="s">
        <v>215</v>
      </c>
      <c r="H3" s="28" t="s">
        <v>216</v>
      </c>
      <c r="I3" s="28" t="s">
        <v>217</v>
      </c>
      <c r="J3" s="28" t="s">
        <v>218</v>
      </c>
    </row>
    <row r="4" spans="2:10">
      <c r="B4" s="27" t="s">
        <v>219</v>
      </c>
      <c r="C4" s="27" t="s">
        <v>199</v>
      </c>
      <c r="D4" s="27" t="s">
        <v>198</v>
      </c>
      <c r="E4" s="27" t="s">
        <v>220</v>
      </c>
      <c r="F4" s="27" t="s">
        <v>375</v>
      </c>
      <c r="G4" s="27" t="s">
        <v>221</v>
      </c>
      <c r="H4" s="27" t="s">
        <v>376</v>
      </c>
      <c r="I4" s="27">
        <v>1</v>
      </c>
      <c r="J4" s="29"/>
    </row>
    <row r="5" spans="2:10">
      <c r="B5" s="27" t="s">
        <v>222</v>
      </c>
      <c r="C5" s="27" t="s">
        <v>199</v>
      </c>
      <c r="D5" s="27" t="s">
        <v>198</v>
      </c>
      <c r="E5" s="27" t="s">
        <v>220</v>
      </c>
      <c r="F5" s="27" t="s">
        <v>375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320</v>
      </c>
      <c r="F6" s="27" t="s">
        <v>377</v>
      </c>
      <c r="G6" s="27" t="s">
        <v>321</v>
      </c>
      <c r="H6" s="27" t="s">
        <v>378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320</v>
      </c>
      <c r="F7" s="27" t="s">
        <v>377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322</v>
      </c>
      <c r="F8" s="27" t="s">
        <v>379</v>
      </c>
      <c r="G8" s="27" t="s">
        <v>323</v>
      </c>
      <c r="H8" s="27" t="s">
        <v>380</v>
      </c>
      <c r="I8" s="27">
        <v>1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322</v>
      </c>
      <c r="F9" s="27" t="s">
        <v>379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324</v>
      </c>
      <c r="F10" s="27" t="s">
        <v>381</v>
      </c>
      <c r="G10" s="27" t="s">
        <v>325</v>
      </c>
      <c r="H10" s="27" t="s">
        <v>382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324</v>
      </c>
      <c r="F11" s="27" t="s">
        <v>381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364</v>
      </c>
      <c r="D12" s="27" t="s">
        <v>198</v>
      </c>
      <c r="E12" s="27" t="s">
        <v>383</v>
      </c>
      <c r="F12" s="27" t="s">
        <v>384</v>
      </c>
      <c r="G12" s="27" t="s">
        <v>385</v>
      </c>
      <c r="H12" s="27" t="s">
        <v>386</v>
      </c>
      <c r="I12" s="27">
        <v>2</v>
      </c>
      <c r="J12" s="29"/>
    </row>
    <row r="13" spans="2:10">
      <c r="B13" s="27" t="s">
        <v>223</v>
      </c>
      <c r="C13" s="27" t="s">
        <v>364</v>
      </c>
      <c r="D13" s="27" t="s">
        <v>198</v>
      </c>
      <c r="E13" s="27" t="s">
        <v>383</v>
      </c>
      <c r="F13" s="27" t="s">
        <v>384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387</v>
      </c>
      <c r="F14" s="27" t="s">
        <v>388</v>
      </c>
      <c r="G14" s="27" t="s">
        <v>389</v>
      </c>
      <c r="H14" s="27" t="s">
        <v>390</v>
      </c>
      <c r="I14" s="27">
        <v>1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387</v>
      </c>
      <c r="F15" s="27" t="s">
        <v>388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365</v>
      </c>
      <c r="D16" s="27" t="s">
        <v>198</v>
      </c>
      <c r="E16" s="27" t="s">
        <v>224</v>
      </c>
      <c r="F16" s="27" t="s">
        <v>326</v>
      </c>
      <c r="G16" s="27" t="s">
        <v>225</v>
      </c>
      <c r="H16" s="27" t="s">
        <v>327</v>
      </c>
      <c r="I16" s="27">
        <v>3</v>
      </c>
      <c r="J16" s="29"/>
    </row>
    <row r="17" spans="2:10">
      <c r="B17" s="27" t="s">
        <v>226</v>
      </c>
      <c r="C17" s="27" t="s">
        <v>365</v>
      </c>
      <c r="D17" s="27" t="s">
        <v>198</v>
      </c>
      <c r="E17" s="27" t="s">
        <v>224</v>
      </c>
      <c r="F17" s="27" t="s">
        <v>326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391</v>
      </c>
      <c r="F18" s="27" t="s">
        <v>227</v>
      </c>
      <c r="G18" s="27" t="s">
        <v>392</v>
      </c>
      <c r="H18" s="27" t="s">
        <v>228</v>
      </c>
      <c r="I18" s="27">
        <v>1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391</v>
      </c>
      <c r="F19" s="27" t="s">
        <v>227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328</v>
      </c>
      <c r="F20" s="27" t="s">
        <v>393</v>
      </c>
      <c r="G20" s="27" t="s">
        <v>329</v>
      </c>
      <c r="H20" s="27" t="s">
        <v>394</v>
      </c>
      <c r="I20" s="27">
        <v>4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328</v>
      </c>
      <c r="F21" s="27" t="s">
        <v>393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395</v>
      </c>
      <c r="F22" s="27" t="s">
        <v>396</v>
      </c>
      <c r="G22" s="27" t="s">
        <v>397</v>
      </c>
      <c r="H22" s="27" t="s">
        <v>398</v>
      </c>
      <c r="I22" s="27">
        <v>1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395</v>
      </c>
      <c r="F23" s="27" t="s">
        <v>396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5" workbookViewId="0">
      <selection activeCell="G76" sqref="G76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03" t="s">
        <v>183</v>
      </c>
      <c r="D5" s="304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09" t="s">
        <v>75</v>
      </c>
      <c r="D7" s="310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09" t="s">
        <v>27</v>
      </c>
      <c r="D12" s="310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05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06"/>
      <c r="C14" s="313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06"/>
      <c r="C15" s="313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07"/>
      <c r="C16" s="313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05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06"/>
      <c r="C18" s="308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06"/>
      <c r="C19" s="314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07"/>
      <c r="C20" s="314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05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06"/>
      <c r="C22" s="308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06"/>
      <c r="C23" s="314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07"/>
      <c r="C24" s="314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05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06"/>
      <c r="C26" s="313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06"/>
      <c r="C27" s="313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07"/>
      <c r="C28" s="313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05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06"/>
      <c r="C30" s="313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06"/>
      <c r="C31" s="313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07"/>
      <c r="C32" s="313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09" t="s">
        <v>77</v>
      </c>
      <c r="D33" s="310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09" t="s">
        <v>189</v>
      </c>
      <c r="D39" s="310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05" t="s">
        <v>126</v>
      </c>
      <c r="C40" s="308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06"/>
      <c r="C41" s="306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06"/>
      <c r="C42" s="306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06"/>
      <c r="C43" s="306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06"/>
      <c r="C44" s="306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06"/>
      <c r="C45" s="306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06"/>
      <c r="C46" s="306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06"/>
      <c r="C47" s="306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06"/>
      <c r="C48" s="306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06"/>
      <c r="C49" s="306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06"/>
      <c r="C50" s="306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06"/>
      <c r="C51" s="306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06"/>
      <c r="C52" s="306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06"/>
      <c r="C53" s="306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07"/>
      <c r="C54" s="307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05" t="s">
        <v>100</v>
      </c>
      <c r="C55" s="308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06"/>
      <c r="C56" s="306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06"/>
      <c r="C57" s="306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06"/>
      <c r="C58" s="306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06"/>
      <c r="C59" s="306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06"/>
      <c r="C60" s="306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06"/>
      <c r="C61" s="306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06"/>
      <c r="C62" s="306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06"/>
      <c r="C63" s="306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06"/>
      <c r="C64" s="306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06"/>
      <c r="C65" s="306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06"/>
      <c r="C66" s="306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06"/>
      <c r="C67" s="306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06"/>
      <c r="C68" s="306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06"/>
      <c r="C69" s="306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07"/>
      <c r="C70" s="307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09" t="s">
        <v>70</v>
      </c>
      <c r="D71" s="311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03" t="s">
        <v>11</v>
      </c>
      <c r="D73" s="312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opLeftCell="E82" workbookViewId="0">
      <selection activeCell="B29" sqref="B29:J112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18.42578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15" t="s">
        <v>399</v>
      </c>
      <c r="C2" s="316"/>
      <c r="D2" s="316"/>
      <c r="E2" s="317"/>
      <c r="F2" s="317"/>
    </row>
    <row r="3" spans="2:10" ht="20.100000000000001" customHeight="1">
      <c r="B3" s="150" t="s">
        <v>418</v>
      </c>
      <c r="C3" s="150" t="s">
        <v>406</v>
      </c>
      <c r="D3" s="150" t="s">
        <v>400</v>
      </c>
      <c r="E3" s="150" t="s">
        <v>401</v>
      </c>
      <c r="F3" s="150" t="s">
        <v>402</v>
      </c>
    </row>
    <row r="4" spans="2:10">
      <c r="B4" s="115">
        <v>1</v>
      </c>
      <c r="C4" s="115" t="s">
        <v>407</v>
      </c>
      <c r="D4" s="115" t="s">
        <v>417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403</v>
      </c>
      <c r="E5" s="115">
        <v>18</v>
      </c>
      <c r="F5" s="115"/>
    </row>
    <row r="6" spans="2:10" s="118" customFormat="1">
      <c r="B6" s="149">
        <v>3</v>
      </c>
      <c r="C6" s="149" t="s">
        <v>0</v>
      </c>
      <c r="D6" s="149" t="s">
        <v>411</v>
      </c>
      <c r="E6" s="149">
        <v>19</v>
      </c>
      <c r="F6" s="149"/>
      <c r="G6" s="117"/>
      <c r="H6" s="117"/>
      <c r="I6" s="117"/>
      <c r="J6" s="117"/>
    </row>
    <row r="7" spans="2:10" s="118" customFormat="1">
      <c r="B7" s="149">
        <v>4</v>
      </c>
      <c r="C7" s="149" t="s">
        <v>0</v>
      </c>
      <c r="D7" s="149" t="s">
        <v>419</v>
      </c>
      <c r="E7" s="149">
        <v>19</v>
      </c>
      <c r="F7" s="149"/>
      <c r="G7" s="117"/>
      <c r="H7" s="117"/>
      <c r="I7" s="117"/>
      <c r="J7" s="117"/>
    </row>
    <row r="8" spans="2:10" s="118" customFormat="1">
      <c r="B8" s="149">
        <v>5</v>
      </c>
      <c r="C8" s="149" t="s">
        <v>407</v>
      </c>
      <c r="D8" s="149" t="s">
        <v>404</v>
      </c>
      <c r="E8" s="149">
        <v>20</v>
      </c>
      <c r="F8" s="149"/>
      <c r="G8" s="117"/>
      <c r="H8" s="117"/>
      <c r="I8" s="117"/>
      <c r="J8" s="117"/>
    </row>
    <row r="9" spans="2:10" s="118" customFormat="1">
      <c r="B9" s="149">
        <v>6</v>
      </c>
      <c r="C9" s="149" t="s">
        <v>1</v>
      </c>
      <c r="D9" s="149" t="s">
        <v>408</v>
      </c>
      <c r="E9" s="149">
        <v>21</v>
      </c>
      <c r="F9" s="149">
        <v>24</v>
      </c>
      <c r="G9" s="117"/>
      <c r="H9" s="117"/>
      <c r="I9" s="117"/>
      <c r="J9" s="117"/>
    </row>
    <row r="10" spans="2:10" s="118" customFormat="1">
      <c r="B10" s="149">
        <v>7</v>
      </c>
      <c r="C10" s="149" t="s">
        <v>407</v>
      </c>
      <c r="D10" s="149" t="s">
        <v>405</v>
      </c>
      <c r="E10" s="149">
        <v>25</v>
      </c>
      <c r="F10" s="149">
        <v>27</v>
      </c>
      <c r="G10" s="117"/>
      <c r="H10" s="117"/>
      <c r="I10" s="117"/>
      <c r="J10" s="117"/>
    </row>
    <row r="11" spans="2:10" s="118" customFormat="1">
      <c r="B11" s="149">
        <v>8</v>
      </c>
      <c r="C11" s="149" t="s">
        <v>1</v>
      </c>
      <c r="D11" s="149" t="s">
        <v>412</v>
      </c>
      <c r="E11" s="149">
        <v>28</v>
      </c>
      <c r="F11" s="149">
        <v>37</v>
      </c>
      <c r="G11" s="117"/>
      <c r="H11" s="117"/>
      <c r="I11" s="117"/>
      <c r="J11" s="117"/>
    </row>
    <row r="12" spans="2:10" s="118" customFormat="1">
      <c r="B12" s="149">
        <v>9</v>
      </c>
      <c r="C12" s="149" t="s">
        <v>1</v>
      </c>
      <c r="D12" s="149" t="s">
        <v>413</v>
      </c>
      <c r="E12" s="149">
        <v>38</v>
      </c>
      <c r="F12" s="149">
        <v>39</v>
      </c>
      <c r="G12" s="117"/>
      <c r="H12" s="117"/>
      <c r="I12" s="117"/>
      <c r="J12" s="117"/>
    </row>
    <row r="13" spans="2:10" s="118" customFormat="1">
      <c r="B13" s="149">
        <v>10</v>
      </c>
      <c r="C13" s="149" t="s">
        <v>1</v>
      </c>
      <c r="D13" s="149" t="s">
        <v>424</v>
      </c>
      <c r="E13" s="149"/>
      <c r="F13" s="149"/>
      <c r="G13" s="117"/>
      <c r="H13" s="117"/>
      <c r="I13" s="117"/>
      <c r="J13" s="117"/>
    </row>
    <row r="14" spans="2:10" s="118" customFormat="1">
      <c r="B14" s="149">
        <v>11</v>
      </c>
      <c r="C14" s="149" t="s">
        <v>407</v>
      </c>
      <c r="D14" s="149" t="s">
        <v>317</v>
      </c>
      <c r="E14" s="149">
        <v>40</v>
      </c>
      <c r="F14" s="149"/>
      <c r="G14" s="117"/>
      <c r="H14" s="117"/>
      <c r="I14" s="117"/>
      <c r="J14" s="117"/>
    </row>
    <row r="15" spans="2:10" s="118" customFormat="1">
      <c r="B15" s="149">
        <v>12</v>
      </c>
      <c r="C15" s="149" t="s">
        <v>1</v>
      </c>
      <c r="D15" s="149" t="s">
        <v>409</v>
      </c>
      <c r="E15" s="149">
        <v>41</v>
      </c>
      <c r="F15" s="149">
        <v>42</v>
      </c>
      <c r="G15" s="117"/>
      <c r="H15" s="117"/>
      <c r="I15" s="117"/>
      <c r="J15" s="117"/>
    </row>
    <row r="16" spans="2:10" s="118" customFormat="1">
      <c r="B16" s="149">
        <v>13</v>
      </c>
      <c r="C16" s="149" t="s">
        <v>407</v>
      </c>
      <c r="D16" s="149" t="s">
        <v>414</v>
      </c>
      <c r="E16" s="149">
        <v>43</v>
      </c>
      <c r="F16" s="149"/>
      <c r="G16" s="117"/>
      <c r="H16" s="117"/>
      <c r="I16" s="117"/>
      <c r="J16" s="117"/>
    </row>
    <row r="17" spans="2:10" s="118" customFormat="1">
      <c r="B17" s="149">
        <v>14</v>
      </c>
      <c r="C17" s="149" t="s">
        <v>0</v>
      </c>
      <c r="D17" s="149" t="s">
        <v>415</v>
      </c>
      <c r="E17" s="149">
        <v>44</v>
      </c>
      <c r="F17" s="149"/>
      <c r="G17" s="117"/>
      <c r="H17" s="117"/>
      <c r="I17" s="117"/>
      <c r="J17" s="117"/>
    </row>
    <row r="18" spans="2:10" s="118" customFormat="1">
      <c r="B18" s="149">
        <v>15</v>
      </c>
      <c r="C18" s="149" t="s">
        <v>407</v>
      </c>
      <c r="D18" s="149" t="s">
        <v>416</v>
      </c>
      <c r="E18" s="149">
        <v>50</v>
      </c>
      <c r="F18" s="149">
        <v>56</v>
      </c>
      <c r="G18" s="117"/>
      <c r="H18" s="117"/>
      <c r="I18" s="117"/>
      <c r="J18" s="117"/>
    </row>
    <row r="19" spans="2:10" s="118" customFormat="1">
      <c r="B19" s="149">
        <v>16</v>
      </c>
      <c r="C19" s="149" t="s">
        <v>407</v>
      </c>
      <c r="D19" s="149" t="s">
        <v>410</v>
      </c>
      <c r="E19" s="149">
        <v>57</v>
      </c>
      <c r="F19" s="149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18" t="s">
        <v>425</v>
      </c>
      <c r="C27" s="319"/>
      <c r="D27" s="319"/>
      <c r="E27" s="319"/>
      <c r="F27" s="319"/>
      <c r="G27" s="319"/>
      <c r="H27" s="319"/>
      <c r="I27" s="319"/>
      <c r="J27" s="319"/>
    </row>
    <row r="28" spans="2:10" ht="18.75">
      <c r="B28" s="151" t="s">
        <v>426</v>
      </c>
      <c r="C28" s="151" t="s">
        <v>427</v>
      </c>
      <c r="D28" s="151" t="s">
        <v>428</v>
      </c>
      <c r="E28" s="151" t="s">
        <v>429</v>
      </c>
      <c r="F28" s="151" t="s">
        <v>430</v>
      </c>
      <c r="G28" s="151" t="s">
        <v>431</v>
      </c>
      <c r="H28" s="151" t="s">
        <v>432</v>
      </c>
      <c r="I28" s="151" t="s">
        <v>433</v>
      </c>
      <c r="J28" s="151" t="s">
        <v>434</v>
      </c>
    </row>
    <row r="29" spans="2:10">
      <c r="B29" s="115">
        <v>1</v>
      </c>
      <c r="C29" s="115">
        <v>1</v>
      </c>
      <c r="D29" s="115"/>
      <c r="E29" s="115" t="s">
        <v>407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407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407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407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407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407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407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407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407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407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407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407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407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407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407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407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407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28</v>
      </c>
      <c r="E47" s="115" t="s">
        <v>0</v>
      </c>
      <c r="F47" s="115" t="s">
        <v>143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29</v>
      </c>
      <c r="E48" s="115" t="s">
        <v>0</v>
      </c>
      <c r="F48" s="115" t="s">
        <v>145</v>
      </c>
      <c r="G48" s="115">
        <v>95</v>
      </c>
      <c r="H48" s="115"/>
      <c r="I48" s="115"/>
      <c r="J48" s="115"/>
    </row>
    <row r="49" spans="2:10">
      <c r="B49" s="115">
        <v>21</v>
      </c>
      <c r="C49" s="115">
        <v>19</v>
      </c>
      <c r="D49" s="115" t="s">
        <v>159</v>
      </c>
      <c r="E49" s="115" t="s">
        <v>0</v>
      </c>
      <c r="F49" s="115" t="s">
        <v>147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364</v>
      </c>
      <c r="E50" s="115" t="s">
        <v>0</v>
      </c>
      <c r="F50" s="115" t="s">
        <v>149</v>
      </c>
      <c r="G50" s="115">
        <v>95</v>
      </c>
      <c r="H50" s="115"/>
      <c r="I50" s="115"/>
      <c r="J50" s="115"/>
    </row>
    <row r="51" spans="2:10">
      <c r="B51" s="115">
        <v>23</v>
      </c>
      <c r="C51" s="115">
        <v>19</v>
      </c>
      <c r="D51" s="115" t="s">
        <v>160</v>
      </c>
      <c r="E51" s="115" t="s">
        <v>0</v>
      </c>
      <c r="F51" s="115" t="s">
        <v>150</v>
      </c>
      <c r="G51" s="115">
        <v>95</v>
      </c>
      <c r="H51" s="115"/>
      <c r="I51" s="115"/>
      <c r="J51" s="115"/>
    </row>
    <row r="52" spans="2:10">
      <c r="B52" s="115">
        <v>24</v>
      </c>
      <c r="C52" s="115">
        <v>19</v>
      </c>
      <c r="D52" s="115" t="s">
        <v>365</v>
      </c>
      <c r="E52" s="115" t="s">
        <v>0</v>
      </c>
      <c r="F52" s="115" t="s">
        <v>152</v>
      </c>
      <c r="G52" s="115">
        <v>95</v>
      </c>
      <c r="H52" s="115">
        <v>250</v>
      </c>
      <c r="I52" s="115"/>
      <c r="J52" s="115"/>
    </row>
    <row r="53" spans="2:10">
      <c r="B53" s="115">
        <v>25</v>
      </c>
      <c r="C53" s="115">
        <v>19</v>
      </c>
      <c r="D53" s="115" t="s">
        <v>161</v>
      </c>
      <c r="E53" s="115" t="s">
        <v>0</v>
      </c>
      <c r="F53" s="115" t="s">
        <v>153</v>
      </c>
      <c r="G53" s="115">
        <v>95</v>
      </c>
      <c r="H53" s="115"/>
      <c r="I53" s="115"/>
      <c r="J53" s="115"/>
    </row>
    <row r="54" spans="2:10">
      <c r="B54" s="115">
        <v>26</v>
      </c>
      <c r="C54" s="115">
        <v>19</v>
      </c>
      <c r="D54" s="115" t="s">
        <v>142</v>
      </c>
      <c r="E54" s="115" t="s">
        <v>0</v>
      </c>
      <c r="F54" s="115" t="s">
        <v>155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162</v>
      </c>
      <c r="E55" s="115" t="s">
        <v>0</v>
      </c>
      <c r="F55" s="115" t="s">
        <v>157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20</v>
      </c>
      <c r="D56" s="115"/>
      <c r="E56" s="115" t="s">
        <v>407</v>
      </c>
      <c r="F56" s="115"/>
      <c r="G56" s="115"/>
      <c r="H56" s="115"/>
      <c r="I56" s="115"/>
      <c r="J56" s="115"/>
    </row>
    <row r="57" spans="2:10">
      <c r="B57" s="115">
        <v>29</v>
      </c>
      <c r="C57" s="115">
        <v>21</v>
      </c>
      <c r="D57" s="115"/>
      <c r="E57" s="115" t="s">
        <v>1</v>
      </c>
      <c r="F57" s="115" t="s">
        <v>84</v>
      </c>
      <c r="G57" s="115">
        <v>95</v>
      </c>
      <c r="H57" s="115">
        <v>114</v>
      </c>
      <c r="I57" s="115"/>
      <c r="J57" s="115"/>
    </row>
    <row r="58" spans="2:10">
      <c r="B58" s="115">
        <v>30</v>
      </c>
      <c r="C58" s="115">
        <v>22</v>
      </c>
      <c r="D58" s="115"/>
      <c r="E58" s="115" t="s">
        <v>1</v>
      </c>
      <c r="F58" s="115" t="s">
        <v>98</v>
      </c>
      <c r="G58" s="115">
        <v>220</v>
      </c>
      <c r="H58" s="115"/>
      <c r="I58" s="115"/>
      <c r="J58" s="115"/>
    </row>
    <row r="59" spans="2:10">
      <c r="B59" s="115">
        <v>31</v>
      </c>
      <c r="C59" s="115">
        <v>23</v>
      </c>
      <c r="D59" s="115"/>
      <c r="E59" s="115" t="s">
        <v>1</v>
      </c>
      <c r="F59" s="115" t="s">
        <v>85</v>
      </c>
      <c r="G59" s="115">
        <v>125</v>
      </c>
      <c r="H59" s="115">
        <v>144</v>
      </c>
      <c r="I59" s="115">
        <v>360</v>
      </c>
      <c r="J59" s="115">
        <v>614</v>
      </c>
    </row>
    <row r="60" spans="2:10">
      <c r="B60" s="115">
        <v>32</v>
      </c>
      <c r="C60" s="115">
        <v>24</v>
      </c>
      <c r="D60" s="115"/>
      <c r="E60" s="115" t="s">
        <v>1</v>
      </c>
      <c r="F60" s="115" t="s">
        <v>99</v>
      </c>
      <c r="G60" s="115">
        <v>180</v>
      </c>
      <c r="H60" s="115"/>
      <c r="I60" s="115"/>
      <c r="J60" s="115"/>
    </row>
    <row r="61" spans="2:10">
      <c r="B61" s="115">
        <v>33</v>
      </c>
      <c r="C61" s="115">
        <v>25</v>
      </c>
      <c r="D61" s="115"/>
      <c r="E61" s="115" t="s">
        <v>407</v>
      </c>
      <c r="F61" s="115"/>
      <c r="G61" s="115"/>
      <c r="H61" s="115"/>
      <c r="I61" s="115"/>
      <c r="J61" s="115"/>
    </row>
    <row r="62" spans="2:10">
      <c r="B62" s="115">
        <v>34</v>
      </c>
      <c r="C62" s="115">
        <v>26</v>
      </c>
      <c r="D62" s="115"/>
      <c r="E62" s="115" t="s">
        <v>407</v>
      </c>
      <c r="F62" s="115"/>
      <c r="G62" s="115"/>
      <c r="H62" s="115"/>
      <c r="I62" s="115"/>
      <c r="J62" s="115"/>
    </row>
    <row r="63" spans="2:10">
      <c r="B63" s="115">
        <v>35</v>
      </c>
      <c r="C63" s="115">
        <v>27</v>
      </c>
      <c r="D63" s="115"/>
      <c r="E63" s="115" t="s">
        <v>407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28</v>
      </c>
      <c r="D64" s="115"/>
      <c r="E64" s="115" t="s">
        <v>1</v>
      </c>
      <c r="F64" s="115" t="s">
        <v>86</v>
      </c>
      <c r="G64" s="115">
        <v>210</v>
      </c>
      <c r="H64" s="115">
        <v>75</v>
      </c>
      <c r="I64" s="115"/>
      <c r="J64" s="115"/>
    </row>
    <row r="65" spans="2:10">
      <c r="B65" s="115">
        <v>37</v>
      </c>
      <c r="C65" s="115">
        <v>29</v>
      </c>
      <c r="D65" s="115"/>
      <c r="E65" s="115" t="s">
        <v>1</v>
      </c>
      <c r="F65" s="115" t="s">
        <v>91</v>
      </c>
      <c r="G65" s="115"/>
      <c r="H65" s="115">
        <v>1</v>
      </c>
      <c r="I65" s="115"/>
      <c r="J65" s="115">
        <v>955</v>
      </c>
    </row>
    <row r="66" spans="2:10">
      <c r="B66" s="115">
        <v>38</v>
      </c>
      <c r="C66" s="115">
        <v>30</v>
      </c>
      <c r="D66" s="115"/>
      <c r="E66" s="115" t="s">
        <v>1</v>
      </c>
      <c r="F66" s="115" t="s">
        <v>87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31</v>
      </c>
      <c r="D67" s="115"/>
      <c r="E67" s="115" t="s">
        <v>1</v>
      </c>
      <c r="F67" s="115" t="s">
        <v>92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32</v>
      </c>
      <c r="D68" s="115"/>
      <c r="E68" s="115" t="s">
        <v>1</v>
      </c>
      <c r="F68" s="115" t="s">
        <v>88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33</v>
      </c>
      <c r="D69" s="115"/>
      <c r="E69" s="115" t="s">
        <v>1</v>
      </c>
      <c r="F69" s="115" t="s">
        <v>95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34</v>
      </c>
      <c r="D70" s="115"/>
      <c r="E70" s="115" t="s">
        <v>1</v>
      </c>
      <c r="F70" s="115" t="s">
        <v>89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35</v>
      </c>
      <c r="D71" s="115"/>
      <c r="E71" s="115" t="s">
        <v>1</v>
      </c>
      <c r="F71" s="115" t="s">
        <v>93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36</v>
      </c>
      <c r="D72" s="115"/>
      <c r="E72" s="115" t="s">
        <v>1</v>
      </c>
      <c r="F72" s="115" t="s">
        <v>90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37</v>
      </c>
      <c r="D73" s="115"/>
      <c r="E73" s="115" t="s">
        <v>1</v>
      </c>
      <c r="F73" s="115" t="s">
        <v>94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38</v>
      </c>
      <c r="D74" s="115"/>
      <c r="E74" s="115" t="s">
        <v>1</v>
      </c>
      <c r="F74" s="115" t="s">
        <v>126</v>
      </c>
      <c r="G74" s="115">
        <v>95</v>
      </c>
      <c r="H74" s="115"/>
      <c r="I74" s="115"/>
      <c r="J74" s="115"/>
    </row>
    <row r="75" spans="2:10">
      <c r="B75" s="115">
        <v>47</v>
      </c>
      <c r="C75" s="115">
        <v>39</v>
      </c>
      <c r="D75" s="115"/>
      <c r="E75" s="115" t="s">
        <v>1</v>
      </c>
      <c r="F75" s="115" t="s">
        <v>100</v>
      </c>
      <c r="G75" s="115">
        <v>118</v>
      </c>
      <c r="H75" s="115">
        <v>1</v>
      </c>
      <c r="I75" s="115">
        <v>368</v>
      </c>
      <c r="J75" s="115">
        <v>847</v>
      </c>
    </row>
    <row r="76" spans="2:10">
      <c r="B76" s="115">
        <v>48</v>
      </c>
      <c r="C76" s="115">
        <v>40</v>
      </c>
      <c r="D76" s="115"/>
      <c r="E76" s="115" t="s">
        <v>407</v>
      </c>
      <c r="F76" s="115"/>
      <c r="G76" s="115"/>
      <c r="H76" s="115"/>
      <c r="I76" s="115"/>
      <c r="J76" s="115"/>
    </row>
    <row r="77" spans="2:10">
      <c r="B77" s="115">
        <v>49</v>
      </c>
      <c r="C77" s="115">
        <v>41</v>
      </c>
      <c r="D77" s="115"/>
      <c r="E77" s="115" t="s">
        <v>1</v>
      </c>
      <c r="F77" s="115" t="s">
        <v>96</v>
      </c>
      <c r="G77" s="115">
        <v>168</v>
      </c>
      <c r="H77" s="115">
        <v>25</v>
      </c>
      <c r="I77" s="115">
        <v>310</v>
      </c>
      <c r="J77" s="115">
        <v>770</v>
      </c>
    </row>
    <row r="78" spans="2:10">
      <c r="B78" s="115">
        <v>50</v>
      </c>
      <c r="C78" s="115">
        <v>42</v>
      </c>
      <c r="D78" s="115"/>
      <c r="E78" s="115" t="s">
        <v>1</v>
      </c>
      <c r="F78" s="115" t="s">
        <v>97</v>
      </c>
      <c r="G78" s="115">
        <v>168</v>
      </c>
      <c r="H78" s="115">
        <v>25</v>
      </c>
      <c r="I78" s="115">
        <v>310</v>
      </c>
      <c r="J78" s="115">
        <v>770</v>
      </c>
    </row>
    <row r="79" spans="2:10">
      <c r="B79" s="115">
        <v>51</v>
      </c>
      <c r="C79" s="115">
        <v>43</v>
      </c>
      <c r="D79" s="115"/>
      <c r="E79" s="115" t="s">
        <v>407</v>
      </c>
      <c r="F79" s="115"/>
      <c r="G79" s="115"/>
      <c r="H79" s="115"/>
      <c r="I79" s="115"/>
      <c r="J79" s="115"/>
    </row>
    <row r="80" spans="2:10">
      <c r="B80" s="115">
        <v>52</v>
      </c>
      <c r="C80" s="115">
        <v>44</v>
      </c>
      <c r="D80" s="115" t="s">
        <v>495</v>
      </c>
      <c r="E80" s="115" t="s">
        <v>0</v>
      </c>
      <c r="F80" s="115" t="s">
        <v>144</v>
      </c>
      <c r="G80" s="115">
        <v>145</v>
      </c>
      <c r="H80" s="115">
        <v>220</v>
      </c>
      <c r="I80" s="115"/>
      <c r="J80" s="115"/>
    </row>
    <row r="81" spans="2:10">
      <c r="B81" s="115">
        <v>52</v>
      </c>
      <c r="C81" s="115">
        <v>44</v>
      </c>
      <c r="D81" s="115" t="s">
        <v>495</v>
      </c>
      <c r="E81" s="115" t="s">
        <v>0</v>
      </c>
      <c r="F81" s="115" t="s">
        <v>170</v>
      </c>
      <c r="G81" s="115">
        <v>360</v>
      </c>
      <c r="H81" s="115">
        <v>33</v>
      </c>
      <c r="I81" s="115"/>
      <c r="J81" s="115"/>
    </row>
    <row r="82" spans="2:10">
      <c r="B82" s="115">
        <v>53</v>
      </c>
      <c r="C82" s="115">
        <v>44</v>
      </c>
      <c r="D82" s="115" t="s">
        <v>496</v>
      </c>
      <c r="E82" s="115" t="s">
        <v>0</v>
      </c>
      <c r="F82" s="115" t="s">
        <v>146</v>
      </c>
      <c r="G82" s="115">
        <v>145</v>
      </c>
      <c r="H82" s="115">
        <v>220</v>
      </c>
      <c r="I82" s="115"/>
      <c r="J82" s="115"/>
    </row>
    <row r="83" spans="2:10">
      <c r="B83" s="115">
        <v>53</v>
      </c>
      <c r="C83" s="115">
        <v>44</v>
      </c>
      <c r="D83" s="115" t="s">
        <v>496</v>
      </c>
      <c r="E83" s="115" t="s">
        <v>0</v>
      </c>
      <c r="F83" s="115" t="s">
        <v>169</v>
      </c>
      <c r="G83" s="115">
        <v>360</v>
      </c>
      <c r="H83" s="115">
        <v>33</v>
      </c>
      <c r="I83" s="115"/>
      <c r="J83" s="115"/>
    </row>
    <row r="84" spans="2:10">
      <c r="B84" s="115">
        <v>54</v>
      </c>
      <c r="C84" s="115">
        <v>44</v>
      </c>
      <c r="D84" s="115" t="s">
        <v>497</v>
      </c>
      <c r="E84" s="115" t="s">
        <v>0</v>
      </c>
      <c r="F84" s="115" t="s">
        <v>148</v>
      </c>
      <c r="G84" s="115">
        <v>145</v>
      </c>
      <c r="H84" s="115">
        <v>220</v>
      </c>
      <c r="I84" s="115"/>
      <c r="J84" s="115"/>
    </row>
    <row r="85" spans="2:10">
      <c r="B85" s="115">
        <v>54</v>
      </c>
      <c r="C85" s="115">
        <v>44</v>
      </c>
      <c r="D85" s="115" t="s">
        <v>497</v>
      </c>
      <c r="E85" s="115" t="s">
        <v>0</v>
      </c>
      <c r="F85" s="115" t="s">
        <v>168</v>
      </c>
      <c r="G85" s="115">
        <v>360</v>
      </c>
      <c r="H85" s="115">
        <v>33</v>
      </c>
      <c r="I85" s="115"/>
      <c r="J85" s="115"/>
    </row>
    <row r="86" spans="2:10">
      <c r="B86" s="115">
        <v>55</v>
      </c>
      <c r="C86" s="115">
        <v>44</v>
      </c>
      <c r="D86" s="115" t="s">
        <v>498</v>
      </c>
      <c r="E86" s="115" t="s">
        <v>0</v>
      </c>
      <c r="F86" s="115" t="s">
        <v>175</v>
      </c>
      <c r="G86" s="115">
        <v>145</v>
      </c>
      <c r="H86" s="115">
        <v>220</v>
      </c>
      <c r="I86" s="115"/>
      <c r="J86" s="115"/>
    </row>
    <row r="87" spans="2:10">
      <c r="B87" s="115">
        <v>55</v>
      </c>
      <c r="C87" s="115">
        <v>44</v>
      </c>
      <c r="D87" s="115" t="s">
        <v>498</v>
      </c>
      <c r="E87" s="115" t="s">
        <v>0</v>
      </c>
      <c r="F87" s="115" t="s">
        <v>420</v>
      </c>
      <c r="G87" s="115">
        <v>360</v>
      </c>
      <c r="H87" s="115">
        <v>33</v>
      </c>
      <c r="I87" s="115"/>
      <c r="J87" s="115"/>
    </row>
    <row r="88" spans="2:10">
      <c r="B88" s="115">
        <v>56</v>
      </c>
      <c r="C88" s="115">
        <v>44</v>
      </c>
      <c r="D88" s="115" t="s">
        <v>498</v>
      </c>
      <c r="E88" s="115" t="s">
        <v>0</v>
      </c>
      <c r="F88" s="115" t="s">
        <v>176</v>
      </c>
      <c r="G88" s="115">
        <v>145</v>
      </c>
      <c r="H88" s="115">
        <v>220</v>
      </c>
      <c r="I88" s="115"/>
      <c r="J88" s="115"/>
    </row>
    <row r="89" spans="2:10">
      <c r="B89" s="115">
        <v>56</v>
      </c>
      <c r="C89" s="115">
        <v>44</v>
      </c>
      <c r="D89" s="115" t="s">
        <v>498</v>
      </c>
      <c r="E89" s="115" t="s">
        <v>0</v>
      </c>
      <c r="F89" s="115" t="s">
        <v>421</v>
      </c>
      <c r="G89" s="115">
        <v>360</v>
      </c>
      <c r="H89" s="115">
        <v>33</v>
      </c>
      <c r="I89" s="115"/>
      <c r="J89" s="115"/>
    </row>
    <row r="90" spans="2:10">
      <c r="B90" s="115">
        <v>57</v>
      </c>
      <c r="C90" s="115">
        <v>44</v>
      </c>
      <c r="D90" s="115" t="s">
        <v>499</v>
      </c>
      <c r="E90" s="115" t="s">
        <v>0</v>
      </c>
      <c r="F90" s="115" t="s">
        <v>151</v>
      </c>
      <c r="G90" s="115">
        <v>145</v>
      </c>
      <c r="H90" s="115">
        <v>220</v>
      </c>
      <c r="I90" s="115"/>
      <c r="J90" s="115"/>
    </row>
    <row r="91" spans="2:10">
      <c r="B91" s="115">
        <v>57</v>
      </c>
      <c r="C91" s="115">
        <v>44</v>
      </c>
      <c r="D91" s="115" t="s">
        <v>499</v>
      </c>
      <c r="E91" s="115" t="s">
        <v>0</v>
      </c>
      <c r="F91" s="115" t="s">
        <v>171</v>
      </c>
      <c r="G91" s="115">
        <v>360</v>
      </c>
      <c r="H91" s="115">
        <v>33</v>
      </c>
      <c r="I91" s="115"/>
      <c r="J91" s="115"/>
    </row>
    <row r="92" spans="2:10">
      <c r="B92" s="115">
        <v>58</v>
      </c>
      <c r="C92" s="115">
        <v>44</v>
      </c>
      <c r="D92" s="115" t="s">
        <v>500</v>
      </c>
      <c r="E92" s="115" t="s">
        <v>0</v>
      </c>
      <c r="F92" s="115" t="s">
        <v>177</v>
      </c>
      <c r="G92" s="115">
        <v>145</v>
      </c>
      <c r="H92" s="115">
        <v>220</v>
      </c>
      <c r="I92" s="115"/>
      <c r="J92" s="115"/>
    </row>
    <row r="93" spans="2:10">
      <c r="B93" s="115">
        <v>58</v>
      </c>
      <c r="C93" s="115">
        <v>44</v>
      </c>
      <c r="D93" s="115" t="s">
        <v>500</v>
      </c>
      <c r="E93" s="115" t="s">
        <v>0</v>
      </c>
      <c r="F93" s="115" t="s">
        <v>422</v>
      </c>
      <c r="G93" s="115">
        <v>360</v>
      </c>
      <c r="H93" s="115">
        <v>33</v>
      </c>
      <c r="I93" s="115"/>
      <c r="J93" s="115"/>
    </row>
    <row r="94" spans="2:10">
      <c r="B94" s="115">
        <v>59</v>
      </c>
      <c r="C94" s="115">
        <v>44</v>
      </c>
      <c r="D94" s="115" t="s">
        <v>500</v>
      </c>
      <c r="E94" s="115" t="s">
        <v>0</v>
      </c>
      <c r="F94" s="115" t="s">
        <v>178</v>
      </c>
      <c r="G94" s="115">
        <v>145</v>
      </c>
      <c r="H94" s="115">
        <v>220</v>
      </c>
      <c r="I94" s="115"/>
      <c r="J94" s="115"/>
    </row>
    <row r="95" spans="2:10">
      <c r="B95" s="115">
        <v>59</v>
      </c>
      <c r="C95" s="115">
        <v>44</v>
      </c>
      <c r="D95" s="115" t="s">
        <v>500</v>
      </c>
      <c r="E95" s="115" t="s">
        <v>0</v>
      </c>
      <c r="F95" s="115" t="s">
        <v>423</v>
      </c>
      <c r="G95" s="115">
        <v>360</v>
      </c>
      <c r="H95" s="115">
        <v>33</v>
      </c>
      <c r="I95" s="115"/>
      <c r="J95" s="115"/>
    </row>
    <row r="96" spans="2:10">
      <c r="B96" s="115">
        <v>60</v>
      </c>
      <c r="C96" s="115">
        <v>44</v>
      </c>
      <c r="D96" s="115" t="s">
        <v>501</v>
      </c>
      <c r="E96" s="115" t="s">
        <v>0</v>
      </c>
      <c r="F96" s="115" t="s">
        <v>154</v>
      </c>
      <c r="G96" s="115">
        <v>145</v>
      </c>
      <c r="H96" s="115">
        <v>220</v>
      </c>
      <c r="I96" s="115"/>
      <c r="J96" s="115"/>
    </row>
    <row r="97" spans="2:10">
      <c r="B97" s="115">
        <v>60</v>
      </c>
      <c r="C97" s="115">
        <v>44</v>
      </c>
      <c r="D97" s="115" t="s">
        <v>501</v>
      </c>
      <c r="E97" s="115" t="s">
        <v>0</v>
      </c>
      <c r="F97" s="115" t="s">
        <v>172</v>
      </c>
      <c r="G97" s="115">
        <v>360</v>
      </c>
      <c r="H97" s="115">
        <v>33</v>
      </c>
      <c r="I97" s="115"/>
      <c r="J97" s="115"/>
    </row>
    <row r="98" spans="2:10">
      <c r="B98" s="115">
        <v>61</v>
      </c>
      <c r="C98" s="115">
        <v>44</v>
      </c>
      <c r="D98" s="115" t="s">
        <v>502</v>
      </c>
      <c r="E98" s="115" t="s">
        <v>0</v>
      </c>
      <c r="F98" s="115" t="s">
        <v>156</v>
      </c>
      <c r="G98" s="115">
        <v>145</v>
      </c>
      <c r="H98" s="115">
        <v>220</v>
      </c>
      <c r="I98" s="115"/>
      <c r="J98" s="115"/>
    </row>
    <row r="99" spans="2:10">
      <c r="B99" s="115">
        <v>61</v>
      </c>
      <c r="C99" s="115">
        <v>44</v>
      </c>
      <c r="D99" s="115" t="s">
        <v>502</v>
      </c>
      <c r="E99" s="115" t="s">
        <v>0</v>
      </c>
      <c r="F99" s="115" t="s">
        <v>173</v>
      </c>
      <c r="G99" s="115">
        <v>360</v>
      </c>
      <c r="H99" s="115">
        <v>33</v>
      </c>
      <c r="I99" s="115"/>
      <c r="J99" s="115"/>
    </row>
    <row r="100" spans="2:10">
      <c r="B100" s="115">
        <v>62</v>
      </c>
      <c r="C100" s="115">
        <v>44</v>
      </c>
      <c r="D100" s="115" t="s">
        <v>503</v>
      </c>
      <c r="E100" s="115" t="s">
        <v>0</v>
      </c>
      <c r="F100" s="115" t="s">
        <v>158</v>
      </c>
      <c r="G100" s="115">
        <v>145</v>
      </c>
      <c r="H100" s="115">
        <v>220</v>
      </c>
      <c r="I100" s="115"/>
      <c r="J100" s="115"/>
    </row>
    <row r="101" spans="2:10">
      <c r="B101" s="115">
        <v>62</v>
      </c>
      <c r="C101" s="115">
        <v>44</v>
      </c>
      <c r="D101" s="115" t="s">
        <v>503</v>
      </c>
      <c r="E101" s="115" t="s">
        <v>0</v>
      </c>
      <c r="F101" s="115" t="s">
        <v>174</v>
      </c>
      <c r="G101" s="115">
        <v>360</v>
      </c>
      <c r="H101" s="115">
        <v>33</v>
      </c>
      <c r="I101" s="115"/>
      <c r="J101" s="115"/>
    </row>
    <row r="102" spans="2:10">
      <c r="B102" s="115">
        <v>63</v>
      </c>
      <c r="C102" s="115">
        <v>50</v>
      </c>
      <c r="D102" s="115"/>
      <c r="E102" s="115" t="s">
        <v>407</v>
      </c>
      <c r="F102" s="115"/>
      <c r="G102" s="115"/>
      <c r="H102" s="115"/>
      <c r="I102" s="115"/>
      <c r="J102" s="115"/>
    </row>
    <row r="103" spans="2:10">
      <c r="B103" s="115">
        <v>64</v>
      </c>
      <c r="C103" s="115">
        <v>51</v>
      </c>
      <c r="D103" s="115"/>
      <c r="E103" s="115" t="s">
        <v>407</v>
      </c>
      <c r="F103" s="115"/>
      <c r="G103" s="115"/>
      <c r="H103" s="115"/>
      <c r="I103" s="115"/>
      <c r="J103" s="115"/>
    </row>
    <row r="104" spans="2:10">
      <c r="B104" s="115">
        <v>65</v>
      </c>
      <c r="C104" s="115">
        <v>52</v>
      </c>
      <c r="D104" s="115"/>
      <c r="E104" s="115" t="s">
        <v>407</v>
      </c>
      <c r="F104" s="115"/>
      <c r="G104" s="115"/>
      <c r="H104" s="115"/>
      <c r="I104" s="115"/>
      <c r="J104" s="115"/>
    </row>
    <row r="105" spans="2:10">
      <c r="B105" s="115">
        <v>66</v>
      </c>
      <c r="C105" s="115">
        <v>53</v>
      </c>
      <c r="D105" s="115"/>
      <c r="E105" s="115" t="s">
        <v>407</v>
      </c>
      <c r="F105" s="115"/>
      <c r="G105" s="115"/>
      <c r="H105" s="115"/>
      <c r="I105" s="115"/>
      <c r="J105" s="115"/>
    </row>
    <row r="106" spans="2:10">
      <c r="B106" s="115">
        <v>67</v>
      </c>
      <c r="C106" s="115">
        <v>54</v>
      </c>
      <c r="D106" s="115"/>
      <c r="E106" s="115" t="s">
        <v>407</v>
      </c>
      <c r="F106" s="115"/>
      <c r="G106" s="115"/>
      <c r="H106" s="115"/>
      <c r="I106" s="115"/>
      <c r="J106" s="115"/>
    </row>
    <row r="107" spans="2:10">
      <c r="B107" s="115">
        <v>68</v>
      </c>
      <c r="C107" s="115">
        <v>55</v>
      </c>
      <c r="D107" s="115"/>
      <c r="E107" s="115" t="s">
        <v>407</v>
      </c>
      <c r="F107" s="115"/>
      <c r="G107" s="115"/>
      <c r="H107" s="115"/>
      <c r="I107" s="115"/>
      <c r="J107" s="115"/>
    </row>
    <row r="108" spans="2:10">
      <c r="B108" s="115">
        <v>69</v>
      </c>
      <c r="C108" s="115">
        <v>56</v>
      </c>
      <c r="D108" s="115"/>
      <c r="E108" s="115" t="s">
        <v>407</v>
      </c>
      <c r="F108" s="115"/>
      <c r="G108" s="115"/>
      <c r="H108" s="115"/>
      <c r="I108" s="115"/>
      <c r="J108" s="115"/>
    </row>
    <row r="109" spans="2:10">
      <c r="B109" s="115">
        <v>70</v>
      </c>
      <c r="C109" s="115">
        <v>57</v>
      </c>
      <c r="D109" s="115"/>
      <c r="E109" s="115" t="s">
        <v>407</v>
      </c>
      <c r="F109" s="115"/>
      <c r="G109" s="115"/>
      <c r="H109" s="115"/>
      <c r="I109" s="115"/>
      <c r="J109" s="115"/>
    </row>
    <row r="110" spans="2:10">
      <c r="B110" s="115">
        <v>71</v>
      </c>
      <c r="C110" s="115">
        <v>58</v>
      </c>
      <c r="D110" s="115"/>
      <c r="E110" s="115" t="s">
        <v>407</v>
      </c>
      <c r="F110" s="115"/>
      <c r="G110" s="115"/>
      <c r="H110" s="115"/>
      <c r="I110" s="115"/>
      <c r="J110" s="115"/>
    </row>
    <row r="111" spans="2:10">
      <c r="B111" s="115">
        <v>72</v>
      </c>
      <c r="C111" s="115">
        <v>59</v>
      </c>
      <c r="D111" s="115"/>
      <c r="E111" s="115" t="s">
        <v>407</v>
      </c>
      <c r="F111" s="115"/>
      <c r="G111" s="115"/>
      <c r="H111" s="115"/>
      <c r="I111" s="115"/>
      <c r="J111" s="115"/>
    </row>
    <row r="112" spans="2:10">
      <c r="B112" s="115">
        <v>73</v>
      </c>
      <c r="C112" s="115">
        <v>60</v>
      </c>
      <c r="D112" s="115"/>
      <c r="E112" s="115" t="s">
        <v>407</v>
      </c>
      <c r="F112" s="115"/>
      <c r="G112" s="115"/>
      <c r="H112" s="115"/>
      <c r="I112" s="115"/>
      <c r="J112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6" r:id="rId5" name="Button 52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J817"/>
  <sheetViews>
    <sheetView topLeftCell="A58" workbookViewId="0">
      <selection activeCell="C805" sqref="C805:G810"/>
    </sheetView>
  </sheetViews>
  <sheetFormatPr baseColWidth="10" defaultRowHeight="15"/>
  <cols>
    <col min="1" max="1" width="22.7109375" bestFit="1" customWidth="1"/>
    <col min="3" max="3" width="35.7109375" customWidth="1"/>
    <col min="4" max="10" width="18.28515625" customWidth="1"/>
  </cols>
  <sheetData>
    <row r="1" spans="1:1">
      <c r="A1" t="s">
        <v>143</v>
      </c>
    </row>
    <row r="61" spans="1:1">
      <c r="A61" t="s">
        <v>144</v>
      </c>
    </row>
    <row r="75" spans="1:8" ht="36">
      <c r="A75" t="s">
        <v>170</v>
      </c>
      <c r="D75" s="170" t="s">
        <v>436</v>
      </c>
      <c r="E75" s="170" t="s">
        <v>437</v>
      </c>
      <c r="F75" s="170" t="s">
        <v>438</v>
      </c>
      <c r="G75" s="170" t="s">
        <v>439</v>
      </c>
      <c r="H75" s="170" t="s">
        <v>440</v>
      </c>
    </row>
    <row r="76" spans="1:8" ht="18">
      <c r="C76" s="156" t="s">
        <v>181</v>
      </c>
      <c r="D76" s="157">
        <v>90.45</v>
      </c>
      <c r="E76" s="157">
        <v>86.08</v>
      </c>
      <c r="F76" s="157">
        <v>84.35</v>
      </c>
      <c r="G76" s="157">
        <v>87.74</v>
      </c>
      <c r="H76" s="157">
        <v>90.43</v>
      </c>
    </row>
    <row r="77" spans="1:8" ht="18">
      <c r="C77" s="166" t="s">
        <v>182</v>
      </c>
      <c r="D77" s="157">
        <v>84.9</v>
      </c>
      <c r="E77" s="157">
        <v>80.59</v>
      </c>
      <c r="F77" s="157">
        <v>81</v>
      </c>
      <c r="G77" s="157">
        <v>84.36</v>
      </c>
      <c r="H77" s="157">
        <v>87.34</v>
      </c>
    </row>
    <row r="78" spans="1:8" ht="18">
      <c r="C78" s="167" t="s">
        <v>180</v>
      </c>
      <c r="D78" s="157">
        <v>85.2</v>
      </c>
      <c r="E78" s="157">
        <v>77.400000000000006</v>
      </c>
      <c r="F78" s="157">
        <v>75.959999999999994</v>
      </c>
      <c r="G78" s="157">
        <v>79.81</v>
      </c>
      <c r="H78" s="157">
        <v>83.12</v>
      </c>
    </row>
    <row r="79" spans="1:8" ht="18">
      <c r="C79" s="168" t="s">
        <v>196</v>
      </c>
      <c r="D79" s="157">
        <v>83.54</v>
      </c>
      <c r="E79" s="157">
        <v>81.03</v>
      </c>
      <c r="F79" s="157">
        <v>83.26</v>
      </c>
      <c r="G79" s="157">
        <v>88.56</v>
      </c>
      <c r="H79" s="157">
        <v>91.07</v>
      </c>
    </row>
    <row r="80" spans="1:8" ht="18">
      <c r="C80" s="169" t="s">
        <v>488</v>
      </c>
      <c r="D80" s="158">
        <v>90.58</v>
      </c>
      <c r="E80" s="158">
        <v>85.89</v>
      </c>
      <c r="F80" s="158">
        <v>85.08</v>
      </c>
      <c r="G80" s="158">
        <v>88.42</v>
      </c>
      <c r="H80" s="158">
        <v>90.24</v>
      </c>
    </row>
    <row r="81" spans="1:8">
      <c r="C81" t="s">
        <v>489</v>
      </c>
      <c r="D81" s="159">
        <v>87.13</v>
      </c>
      <c r="E81" s="159">
        <v>82.26</v>
      </c>
      <c r="F81" s="159">
        <v>81.83</v>
      </c>
      <c r="G81" s="159">
        <v>85.57</v>
      </c>
      <c r="H81" s="159">
        <v>88.33</v>
      </c>
    </row>
    <row r="82" spans="1:8">
      <c r="C82" t="s">
        <v>490</v>
      </c>
      <c r="D82" s="160">
        <v>292</v>
      </c>
      <c r="E82" s="160">
        <v>1996</v>
      </c>
      <c r="F82" s="160">
        <v>1426</v>
      </c>
      <c r="G82" s="160">
        <v>736</v>
      </c>
      <c r="H82" s="160">
        <v>248</v>
      </c>
    </row>
    <row r="83" spans="1:8">
      <c r="C83" t="s">
        <v>491</v>
      </c>
      <c r="D83" s="161">
        <v>82.41</v>
      </c>
      <c r="E83" s="161">
        <v>77.44</v>
      </c>
      <c r="F83" s="161">
        <v>78.069999999999993</v>
      </c>
      <c r="G83" s="161">
        <v>82.57</v>
      </c>
      <c r="H83" s="161">
        <v>86.36</v>
      </c>
    </row>
    <row r="84" spans="1:8">
      <c r="C84" t="s">
        <v>492</v>
      </c>
      <c r="D84" s="162">
        <v>249</v>
      </c>
      <c r="E84" s="162">
        <v>1965</v>
      </c>
      <c r="F84" s="162">
        <v>1426</v>
      </c>
      <c r="G84" s="162">
        <v>733</v>
      </c>
      <c r="H84" s="162">
        <v>256</v>
      </c>
    </row>
    <row r="85" spans="1:8">
      <c r="C85" t="s">
        <v>179</v>
      </c>
      <c r="D85" s="163" t="s">
        <v>436</v>
      </c>
      <c r="E85" s="163" t="s">
        <v>437</v>
      </c>
      <c r="F85" s="163" t="s">
        <v>438</v>
      </c>
      <c r="G85" s="163" t="s">
        <v>439</v>
      </c>
      <c r="H85" s="163" t="s">
        <v>440</v>
      </c>
    </row>
    <row r="86" spans="1:8">
      <c r="C86" t="s">
        <v>493</v>
      </c>
      <c r="D86" s="159">
        <v>82.91</v>
      </c>
      <c r="E86" s="159">
        <v>82.91</v>
      </c>
      <c r="F86" s="159">
        <v>82.91</v>
      </c>
      <c r="G86" s="159">
        <v>82.91</v>
      </c>
      <c r="H86" s="159">
        <v>82.91</v>
      </c>
    </row>
    <row r="87" spans="1:8">
      <c r="C87" t="s">
        <v>494</v>
      </c>
      <c r="D87" s="164">
        <v>87.33</v>
      </c>
      <c r="E87" s="164">
        <v>82.4</v>
      </c>
      <c r="F87" s="164">
        <v>83.7</v>
      </c>
      <c r="G87" s="164">
        <v>87.89</v>
      </c>
      <c r="H87" s="164">
        <v>93.55</v>
      </c>
    </row>
    <row r="92" spans="1:8">
      <c r="A92" t="s">
        <v>145</v>
      </c>
    </row>
    <row r="152" spans="1:1">
      <c r="A152" t="s">
        <v>146</v>
      </c>
    </row>
    <row r="166" spans="1:5" ht="18">
      <c r="A166" t="s">
        <v>169</v>
      </c>
      <c r="D166" s="170" t="s">
        <v>441</v>
      </c>
      <c r="E166" s="170" t="s">
        <v>442</v>
      </c>
    </row>
    <row r="167" spans="1:5" ht="18">
      <c r="C167" s="156" t="s">
        <v>181</v>
      </c>
      <c r="D167" s="157">
        <v>86.53</v>
      </c>
      <c r="E167" s="157">
        <v>86.24</v>
      </c>
    </row>
    <row r="168" spans="1:5" ht="18">
      <c r="C168" s="166" t="s">
        <v>182</v>
      </c>
      <c r="D168" s="157">
        <v>82.52</v>
      </c>
      <c r="E168" s="157">
        <v>81.34</v>
      </c>
    </row>
    <row r="169" spans="1:5" ht="18">
      <c r="C169" s="167" t="s">
        <v>180</v>
      </c>
      <c r="D169" s="157">
        <v>78.27</v>
      </c>
      <c r="E169" s="157">
        <v>78.02</v>
      </c>
    </row>
    <row r="170" spans="1:5" ht="18">
      <c r="C170" s="168" t="s">
        <v>196</v>
      </c>
      <c r="D170" s="157">
        <v>83.68</v>
      </c>
      <c r="E170" s="157">
        <v>83.52</v>
      </c>
    </row>
    <row r="171" spans="1:5" ht="18">
      <c r="C171" s="169" t="s">
        <v>488</v>
      </c>
      <c r="D171" s="158">
        <v>86.39</v>
      </c>
      <c r="E171" s="158">
        <v>86.83</v>
      </c>
    </row>
    <row r="172" spans="1:5">
      <c r="C172" t="s">
        <v>489</v>
      </c>
      <c r="D172" s="159">
        <v>83.48</v>
      </c>
      <c r="E172" s="159">
        <v>83.12</v>
      </c>
    </row>
    <row r="173" spans="1:5">
      <c r="C173" t="s">
        <v>490</v>
      </c>
      <c r="D173" s="160">
        <v>2476</v>
      </c>
      <c r="E173" s="160">
        <v>2191</v>
      </c>
    </row>
    <row r="174" spans="1:5">
      <c r="C174" t="s">
        <v>491</v>
      </c>
      <c r="D174" s="161">
        <v>79.62</v>
      </c>
      <c r="E174" s="161">
        <v>78.790000000000006</v>
      </c>
    </row>
    <row r="175" spans="1:5">
      <c r="C175" t="s">
        <v>492</v>
      </c>
      <c r="D175" s="162">
        <v>2382</v>
      </c>
      <c r="E175" s="162">
        <v>2218</v>
      </c>
    </row>
    <row r="176" spans="1:5">
      <c r="C176" t="s">
        <v>179</v>
      </c>
      <c r="D176" s="163" t="s">
        <v>441</v>
      </c>
      <c r="E176" s="163" t="s">
        <v>442</v>
      </c>
    </row>
    <row r="177" spans="1:5">
      <c r="C177" t="s">
        <v>493</v>
      </c>
      <c r="D177" s="159">
        <v>82.91</v>
      </c>
      <c r="E177" s="159">
        <v>82.91</v>
      </c>
    </row>
    <row r="178" spans="1:5">
      <c r="C178" t="s">
        <v>494</v>
      </c>
      <c r="D178" s="164">
        <v>85.32</v>
      </c>
      <c r="E178" s="164">
        <v>83.78</v>
      </c>
    </row>
    <row r="183" spans="1:5">
      <c r="A183" t="s">
        <v>147</v>
      </c>
    </row>
    <row r="243" spans="1:1">
      <c r="A243" t="s">
        <v>148</v>
      </c>
    </row>
    <row r="257" spans="1:8" ht="72">
      <c r="A257" t="s">
        <v>168</v>
      </c>
      <c r="D257" s="170" t="s">
        <v>443</v>
      </c>
      <c r="E257" s="170" t="s">
        <v>444</v>
      </c>
      <c r="F257" s="170" t="s">
        <v>445</v>
      </c>
      <c r="G257" s="170" t="s">
        <v>446</v>
      </c>
      <c r="H257" s="170" t="s">
        <v>447</v>
      </c>
    </row>
    <row r="258" spans="1:8" ht="18">
      <c r="C258" s="156" t="s">
        <v>181</v>
      </c>
      <c r="D258" s="157">
        <v>76.19</v>
      </c>
      <c r="E258" s="157">
        <v>87.14</v>
      </c>
      <c r="F258" s="157">
        <v>86.86</v>
      </c>
      <c r="G258" s="157">
        <v>85.18</v>
      </c>
      <c r="H258" s="157">
        <v>87.05</v>
      </c>
    </row>
    <row r="259" spans="1:8" ht="18">
      <c r="C259" s="166" t="s">
        <v>182</v>
      </c>
      <c r="D259" s="157">
        <v>78.209999999999994</v>
      </c>
      <c r="E259" s="157">
        <v>80.63</v>
      </c>
      <c r="F259" s="157">
        <v>81.92</v>
      </c>
      <c r="G259" s="157">
        <v>81.260000000000005</v>
      </c>
      <c r="H259" s="157">
        <v>85.26</v>
      </c>
    </row>
    <row r="260" spans="1:8" ht="18">
      <c r="C260" s="167" t="s">
        <v>180</v>
      </c>
      <c r="D260" s="157">
        <v>80.489999999999995</v>
      </c>
      <c r="E260" s="157">
        <v>78.47</v>
      </c>
      <c r="F260" s="157">
        <v>78.739999999999995</v>
      </c>
      <c r="G260" s="157">
        <v>76.790000000000006</v>
      </c>
      <c r="H260" s="157">
        <v>79.03</v>
      </c>
    </row>
    <row r="261" spans="1:8" ht="18">
      <c r="C261" s="168" t="s">
        <v>196</v>
      </c>
      <c r="D261" s="157">
        <v>84.38</v>
      </c>
      <c r="E261" s="157">
        <v>84.66</v>
      </c>
      <c r="F261" s="157">
        <v>83.78</v>
      </c>
      <c r="G261" s="157">
        <v>82.02</v>
      </c>
      <c r="H261" s="157">
        <v>86.82</v>
      </c>
    </row>
    <row r="262" spans="1:8" ht="18">
      <c r="C262" s="169" t="s">
        <v>488</v>
      </c>
      <c r="D262" s="158">
        <v>78.33</v>
      </c>
      <c r="E262" s="158">
        <v>85.6</v>
      </c>
      <c r="F262" s="158">
        <v>86.75</v>
      </c>
      <c r="G262" s="158">
        <v>85.69</v>
      </c>
      <c r="H262" s="158">
        <v>89.35</v>
      </c>
    </row>
    <row r="263" spans="1:8">
      <c r="C263" t="s">
        <v>489</v>
      </c>
      <c r="D263" s="159">
        <v>79.010000000000005</v>
      </c>
      <c r="E263" s="159">
        <v>83.26</v>
      </c>
      <c r="F263" s="159">
        <v>83.59</v>
      </c>
      <c r="G263" s="159">
        <v>82.17</v>
      </c>
      <c r="H263" s="159">
        <v>85.4</v>
      </c>
    </row>
    <row r="264" spans="1:8">
      <c r="C264" t="s">
        <v>490</v>
      </c>
      <c r="D264" s="160">
        <v>12</v>
      </c>
      <c r="E264" s="160">
        <v>360</v>
      </c>
      <c r="F264" s="160">
        <v>2276</v>
      </c>
      <c r="G264" s="160">
        <v>1542</v>
      </c>
      <c r="H264" s="160">
        <v>500</v>
      </c>
    </row>
    <row r="265" spans="1:8">
      <c r="C265" t="s">
        <v>491</v>
      </c>
      <c r="D265" s="161">
        <v>68.069999999999993</v>
      </c>
      <c r="E265" s="161">
        <v>79.69</v>
      </c>
      <c r="F265" s="161">
        <v>79.13</v>
      </c>
      <c r="G265" s="161">
        <v>78.17</v>
      </c>
      <c r="H265" s="161">
        <v>82.9</v>
      </c>
    </row>
    <row r="266" spans="1:8">
      <c r="C266" t="s">
        <v>492</v>
      </c>
      <c r="D266" s="162">
        <v>14</v>
      </c>
      <c r="E266" s="162">
        <v>413</v>
      </c>
      <c r="F266" s="162">
        <v>2318</v>
      </c>
      <c r="G266" s="162">
        <v>1467</v>
      </c>
      <c r="H266" s="162">
        <v>425</v>
      </c>
    </row>
    <row r="267" spans="1:8" ht="22.5">
      <c r="C267" t="s">
        <v>179</v>
      </c>
      <c r="D267" s="163" t="s">
        <v>443</v>
      </c>
      <c r="E267" s="163" t="s">
        <v>444</v>
      </c>
      <c r="F267" s="163" t="s">
        <v>445</v>
      </c>
      <c r="G267" s="163" t="s">
        <v>446</v>
      </c>
      <c r="H267" s="163" t="s">
        <v>447</v>
      </c>
    </row>
    <row r="268" spans="1:8">
      <c r="C268" t="s">
        <v>493</v>
      </c>
      <c r="D268" s="159">
        <v>82.91</v>
      </c>
      <c r="E268" s="159">
        <v>82.91</v>
      </c>
      <c r="F268" s="159">
        <v>82.91</v>
      </c>
      <c r="G268" s="159">
        <v>82.91</v>
      </c>
      <c r="H268" s="159">
        <v>82.91</v>
      </c>
    </row>
    <row r="269" spans="1:8">
      <c r="C269" t="s">
        <v>494</v>
      </c>
      <c r="D269" s="164">
        <v>75</v>
      </c>
      <c r="E269" s="164">
        <v>86.11</v>
      </c>
      <c r="F269" s="164">
        <v>84.66</v>
      </c>
      <c r="G269" s="164">
        <v>82.38</v>
      </c>
      <c r="H269" s="164">
        <v>89.58</v>
      </c>
    </row>
    <row r="274" spans="1:1">
      <c r="A274" t="s">
        <v>149</v>
      </c>
    </row>
    <row r="304" spans="1:1">
      <c r="A304" t="s">
        <v>175</v>
      </c>
    </row>
    <row r="318" spans="1:8" ht="198">
      <c r="A318" t="s">
        <v>420</v>
      </c>
      <c r="D318" s="171" t="s">
        <v>448</v>
      </c>
      <c r="E318" s="171" t="s">
        <v>449</v>
      </c>
      <c r="F318" s="171" t="s">
        <v>450</v>
      </c>
      <c r="G318" s="171" t="s">
        <v>451</v>
      </c>
      <c r="H318" s="171" t="s">
        <v>452</v>
      </c>
    </row>
    <row r="319" spans="1:8" ht="18">
      <c r="C319" s="156" t="s">
        <v>181</v>
      </c>
      <c r="D319" s="157">
        <v>93.53</v>
      </c>
      <c r="E319" s="157">
        <v>91.83</v>
      </c>
      <c r="F319" s="157">
        <v>88.97</v>
      </c>
      <c r="G319" s="157">
        <v>83.86</v>
      </c>
      <c r="H319" s="157">
        <v>84.1</v>
      </c>
    </row>
    <row r="320" spans="1:8" ht="18">
      <c r="C320" s="166" t="s">
        <v>182</v>
      </c>
      <c r="D320" s="157">
        <v>93.66</v>
      </c>
      <c r="E320" s="157">
        <v>89.43</v>
      </c>
      <c r="F320" s="157">
        <v>85.92</v>
      </c>
      <c r="G320" s="157">
        <v>81.99</v>
      </c>
      <c r="H320" s="157">
        <v>79.41</v>
      </c>
    </row>
    <row r="321" spans="1:8" ht="18">
      <c r="C321" s="167" t="s">
        <v>180</v>
      </c>
      <c r="D321" s="157">
        <v>87.16</v>
      </c>
      <c r="E321" s="157">
        <v>83.33</v>
      </c>
      <c r="F321" s="157">
        <v>81.790000000000006</v>
      </c>
      <c r="G321" s="157">
        <v>75.37</v>
      </c>
      <c r="H321" s="157">
        <v>74.319999999999993</v>
      </c>
    </row>
    <row r="322" spans="1:8" ht="18">
      <c r="C322" s="168" t="s">
        <v>196</v>
      </c>
      <c r="D322" s="157">
        <v>94.93</v>
      </c>
      <c r="E322" s="157">
        <v>92.27</v>
      </c>
      <c r="F322" s="157">
        <v>89.09</v>
      </c>
      <c r="G322" s="157">
        <v>82.97</v>
      </c>
      <c r="H322" s="157">
        <v>81.58</v>
      </c>
    </row>
    <row r="323" spans="1:8" ht="18">
      <c r="C323" s="169" t="s">
        <v>488</v>
      </c>
      <c r="D323" s="158">
        <v>94.86</v>
      </c>
      <c r="E323" s="158">
        <v>92.88</v>
      </c>
      <c r="F323" s="158">
        <v>90.23</v>
      </c>
      <c r="G323" s="158">
        <v>86.42</v>
      </c>
      <c r="H323" s="158">
        <v>83.34</v>
      </c>
    </row>
    <row r="324" spans="1:8">
      <c r="C324" t="s">
        <v>489</v>
      </c>
      <c r="D324" s="159">
        <v>92.75</v>
      </c>
      <c r="E324" s="159">
        <v>89.82</v>
      </c>
      <c r="F324" s="159">
        <v>87.04</v>
      </c>
      <c r="G324" s="159">
        <v>82.03</v>
      </c>
      <c r="H324" s="159">
        <v>80.510000000000005</v>
      </c>
    </row>
    <row r="325" spans="1:8">
      <c r="C325" t="s">
        <v>490</v>
      </c>
      <c r="D325" s="160">
        <v>74</v>
      </c>
      <c r="E325" s="160">
        <v>139</v>
      </c>
      <c r="F325" s="160">
        <v>979</v>
      </c>
      <c r="G325" s="160">
        <v>794</v>
      </c>
      <c r="H325" s="160">
        <v>386</v>
      </c>
    </row>
    <row r="326" spans="1:8">
      <c r="C326" t="s">
        <v>491</v>
      </c>
      <c r="D326" s="161">
        <v>91.91</v>
      </c>
      <c r="E326" s="161">
        <v>88.05</v>
      </c>
      <c r="F326" s="161">
        <v>86.33</v>
      </c>
      <c r="G326" s="161">
        <v>77.510000000000005</v>
      </c>
      <c r="H326" s="161">
        <v>73.2</v>
      </c>
    </row>
    <row r="327" spans="1:8">
      <c r="C327" t="s">
        <v>492</v>
      </c>
      <c r="D327" s="162">
        <v>65</v>
      </c>
      <c r="E327" s="162">
        <v>121</v>
      </c>
      <c r="F327" s="162">
        <v>895</v>
      </c>
      <c r="G327" s="162">
        <v>768</v>
      </c>
      <c r="H327" s="162">
        <v>265</v>
      </c>
    </row>
    <row r="328" spans="1:8" ht="67.5">
      <c r="C328" t="s">
        <v>179</v>
      </c>
      <c r="D328" s="165" t="s">
        <v>448</v>
      </c>
      <c r="E328" s="165" t="s">
        <v>449</v>
      </c>
      <c r="F328" s="165" t="s">
        <v>450</v>
      </c>
      <c r="G328" s="165" t="s">
        <v>451</v>
      </c>
      <c r="H328" s="165" t="s">
        <v>452</v>
      </c>
    </row>
    <row r="329" spans="1:8">
      <c r="C329" t="s">
        <v>493</v>
      </c>
      <c r="D329" s="159">
        <v>82.91</v>
      </c>
      <c r="E329" s="159">
        <v>82.91</v>
      </c>
      <c r="F329" s="159">
        <v>82.91</v>
      </c>
      <c r="G329" s="159">
        <v>82.91</v>
      </c>
      <c r="H329" s="159">
        <v>82.91</v>
      </c>
    </row>
    <row r="330" spans="1:8">
      <c r="C330" t="s">
        <v>494</v>
      </c>
      <c r="D330" s="164">
        <v>98.65</v>
      </c>
      <c r="E330" s="164">
        <v>94.24</v>
      </c>
      <c r="F330" s="164">
        <v>89.27</v>
      </c>
      <c r="G330" s="164">
        <v>85.34</v>
      </c>
      <c r="H330" s="164">
        <v>81.61</v>
      </c>
    </row>
    <row r="335" spans="1:8">
      <c r="A335" t="s">
        <v>176</v>
      </c>
    </row>
    <row r="349" spans="1:8" ht="144">
      <c r="A349" t="s">
        <v>421</v>
      </c>
      <c r="D349" s="171" t="s">
        <v>453</v>
      </c>
      <c r="E349" s="171" t="s">
        <v>454</v>
      </c>
      <c r="F349" s="171" t="s">
        <v>455</v>
      </c>
      <c r="G349" s="171" t="s">
        <v>456</v>
      </c>
      <c r="H349" s="171" t="s">
        <v>457</v>
      </c>
    </row>
    <row r="350" spans="1:8" ht="18">
      <c r="C350" s="156" t="s">
        <v>181</v>
      </c>
      <c r="D350" s="157">
        <v>78.73</v>
      </c>
      <c r="E350" s="157">
        <v>86.35</v>
      </c>
      <c r="F350" s="157">
        <v>87.52</v>
      </c>
      <c r="G350" s="157">
        <v>90.4</v>
      </c>
      <c r="H350" s="157">
        <v>79.88</v>
      </c>
    </row>
    <row r="351" spans="1:8" ht="18">
      <c r="C351" s="166" t="s">
        <v>182</v>
      </c>
      <c r="D351" s="157">
        <v>74.709999999999994</v>
      </c>
      <c r="E351" s="157">
        <v>79.209999999999994</v>
      </c>
      <c r="F351" s="157">
        <v>81.94</v>
      </c>
      <c r="G351" s="157">
        <v>82.09</v>
      </c>
      <c r="H351" s="157">
        <v>80.540000000000006</v>
      </c>
    </row>
    <row r="352" spans="1:8" ht="18">
      <c r="C352" s="167" t="s">
        <v>180</v>
      </c>
      <c r="D352" s="157">
        <v>69.97</v>
      </c>
      <c r="E352" s="157">
        <v>77.64</v>
      </c>
      <c r="F352" s="157">
        <v>79.180000000000007</v>
      </c>
      <c r="G352" s="157">
        <v>83.27</v>
      </c>
      <c r="H352" s="157">
        <v>72.260000000000005</v>
      </c>
    </row>
    <row r="353" spans="1:8" ht="18">
      <c r="C353" s="168" t="s">
        <v>196</v>
      </c>
      <c r="D353" s="157">
        <v>76.73</v>
      </c>
      <c r="E353" s="157">
        <v>80.61</v>
      </c>
      <c r="F353" s="157">
        <v>83.49</v>
      </c>
      <c r="G353" s="157">
        <v>80.66</v>
      </c>
      <c r="H353" s="157">
        <v>76.23</v>
      </c>
    </row>
    <row r="354" spans="1:8" ht="18">
      <c r="C354" s="169" t="s">
        <v>488</v>
      </c>
      <c r="D354" s="158">
        <v>79.400000000000006</v>
      </c>
      <c r="E354" s="158">
        <v>84.13</v>
      </c>
      <c r="F354" s="158">
        <v>86.8</v>
      </c>
      <c r="G354" s="158">
        <v>89.26</v>
      </c>
      <c r="H354" s="158">
        <v>80.28</v>
      </c>
    </row>
    <row r="355" spans="1:8">
      <c r="C355" t="s">
        <v>489</v>
      </c>
      <c r="D355" s="159">
        <v>75.88</v>
      </c>
      <c r="E355" s="159">
        <v>81.69</v>
      </c>
      <c r="F355" s="159">
        <v>83.78</v>
      </c>
      <c r="G355" s="159">
        <v>85.39</v>
      </c>
      <c r="H355" s="159">
        <v>77.95</v>
      </c>
    </row>
    <row r="356" spans="1:8">
      <c r="C356" t="s">
        <v>490</v>
      </c>
      <c r="D356" s="160">
        <v>426</v>
      </c>
      <c r="E356" s="160">
        <v>536</v>
      </c>
      <c r="F356" s="160">
        <v>877</v>
      </c>
      <c r="G356" s="160">
        <v>396</v>
      </c>
      <c r="H356" s="160">
        <v>42</v>
      </c>
    </row>
    <row r="357" spans="1:8">
      <c r="C357" t="s">
        <v>491</v>
      </c>
      <c r="D357" s="161">
        <v>71.02</v>
      </c>
      <c r="E357" s="161">
        <v>74.760000000000005</v>
      </c>
      <c r="F357" s="161">
        <v>80.2</v>
      </c>
      <c r="G357" s="161">
        <v>80.39</v>
      </c>
      <c r="H357" s="161" t="s">
        <v>203</v>
      </c>
    </row>
    <row r="358" spans="1:8">
      <c r="C358" t="s">
        <v>492</v>
      </c>
      <c r="D358" s="162">
        <v>519</v>
      </c>
      <c r="E358" s="162">
        <v>572</v>
      </c>
      <c r="F358" s="162">
        <v>937</v>
      </c>
      <c r="G358" s="162">
        <v>444</v>
      </c>
      <c r="H358" s="162" t="s">
        <v>201</v>
      </c>
    </row>
    <row r="359" spans="1:8" ht="56.25">
      <c r="C359" t="s">
        <v>179</v>
      </c>
      <c r="D359" s="165" t="s">
        <v>453</v>
      </c>
      <c r="E359" s="165" t="s">
        <v>454</v>
      </c>
      <c r="F359" s="165" t="s">
        <v>455</v>
      </c>
      <c r="G359" s="165" t="s">
        <v>456</v>
      </c>
      <c r="H359" s="165" t="s">
        <v>457</v>
      </c>
    </row>
    <row r="360" spans="1:8">
      <c r="C360" t="s">
        <v>493</v>
      </c>
      <c r="D360" s="159">
        <v>82.91</v>
      </c>
      <c r="E360" s="159">
        <v>82.91</v>
      </c>
      <c r="F360" s="159">
        <v>82.91</v>
      </c>
      <c r="G360" s="159">
        <v>82.91</v>
      </c>
      <c r="H360" s="159">
        <v>82.91</v>
      </c>
    </row>
    <row r="361" spans="1:8">
      <c r="C361" t="s">
        <v>494</v>
      </c>
      <c r="D361" s="164">
        <v>80</v>
      </c>
      <c r="E361" s="164">
        <v>81.459999999999994</v>
      </c>
      <c r="F361" s="164">
        <v>82.78</v>
      </c>
      <c r="G361" s="164">
        <v>82.83</v>
      </c>
      <c r="H361" s="164">
        <v>76.19</v>
      </c>
    </row>
    <row r="366" spans="1:8">
      <c r="A366" t="s">
        <v>150</v>
      </c>
    </row>
    <row r="426" spans="1:1">
      <c r="A426" t="s">
        <v>151</v>
      </c>
    </row>
    <row r="440" spans="1:9" ht="36">
      <c r="A440" t="s">
        <v>171</v>
      </c>
      <c r="D440" s="170" t="s">
        <v>458</v>
      </c>
      <c r="E440" s="170" t="s">
        <v>459</v>
      </c>
      <c r="F440" s="170" t="s">
        <v>460</v>
      </c>
      <c r="G440" s="170" t="s">
        <v>461</v>
      </c>
      <c r="H440" s="170" t="s">
        <v>462</v>
      </c>
      <c r="I440" s="170" t="s">
        <v>463</v>
      </c>
    </row>
    <row r="441" spans="1:9" ht="18">
      <c r="C441" s="156" t="s">
        <v>181</v>
      </c>
      <c r="D441" s="157">
        <v>91.75</v>
      </c>
      <c r="E441" s="157">
        <v>87.14</v>
      </c>
      <c r="F441" s="157">
        <v>84.41</v>
      </c>
      <c r="G441" s="157">
        <v>79.94</v>
      </c>
      <c r="H441" s="157">
        <v>87.42</v>
      </c>
      <c r="I441" s="157">
        <v>88.24</v>
      </c>
    </row>
    <row r="442" spans="1:9" ht="18">
      <c r="C442" s="166" t="s">
        <v>182</v>
      </c>
      <c r="D442" s="157">
        <v>87.01</v>
      </c>
      <c r="E442" s="157">
        <v>82.15</v>
      </c>
      <c r="F442" s="157">
        <v>78.97</v>
      </c>
      <c r="G442" s="157">
        <v>76.930000000000007</v>
      </c>
      <c r="H442" s="157">
        <v>83.93</v>
      </c>
      <c r="I442" s="157">
        <v>84.79</v>
      </c>
    </row>
    <row r="443" spans="1:9" ht="18">
      <c r="C443" s="167" t="s">
        <v>180</v>
      </c>
      <c r="D443" s="157">
        <v>87.17</v>
      </c>
      <c r="E443" s="157">
        <v>79.760000000000005</v>
      </c>
      <c r="F443" s="157">
        <v>74.66</v>
      </c>
      <c r="G443" s="157">
        <v>72.42</v>
      </c>
      <c r="H443" s="157">
        <v>77.63</v>
      </c>
      <c r="I443" s="157">
        <v>80.38</v>
      </c>
    </row>
    <row r="444" spans="1:9" ht="18">
      <c r="C444" s="168" t="s">
        <v>196</v>
      </c>
      <c r="D444" s="157">
        <v>86.67</v>
      </c>
      <c r="E444" s="157">
        <v>82.73</v>
      </c>
      <c r="F444" s="157">
        <v>79.88</v>
      </c>
      <c r="G444" s="157">
        <v>80.069999999999993</v>
      </c>
      <c r="H444" s="157">
        <v>86.61</v>
      </c>
      <c r="I444" s="157">
        <v>88.62</v>
      </c>
    </row>
    <row r="445" spans="1:9" ht="18">
      <c r="C445" s="169" t="s">
        <v>488</v>
      </c>
      <c r="D445" s="158">
        <v>91.77</v>
      </c>
      <c r="E445" s="158">
        <v>87.67</v>
      </c>
      <c r="F445" s="158">
        <v>83.75</v>
      </c>
      <c r="G445" s="158">
        <v>81.36</v>
      </c>
      <c r="H445" s="158">
        <v>88.32</v>
      </c>
      <c r="I445" s="158">
        <v>88.26</v>
      </c>
    </row>
    <row r="446" spans="1:9">
      <c r="C446" t="s">
        <v>489</v>
      </c>
      <c r="D446" s="159">
        <v>89.02</v>
      </c>
      <c r="E446" s="159">
        <v>83.93</v>
      </c>
      <c r="F446" s="159">
        <v>80.37</v>
      </c>
      <c r="G446" s="159">
        <v>77.959999999999994</v>
      </c>
      <c r="H446" s="159">
        <v>84.65</v>
      </c>
      <c r="I446" s="159">
        <v>85.91</v>
      </c>
    </row>
    <row r="447" spans="1:9">
      <c r="C447" t="s">
        <v>490</v>
      </c>
      <c r="D447" s="160">
        <v>425</v>
      </c>
      <c r="E447" s="160">
        <v>1125</v>
      </c>
      <c r="F447" s="160">
        <v>1198</v>
      </c>
      <c r="G447" s="160">
        <v>412</v>
      </c>
      <c r="H447" s="160">
        <v>791</v>
      </c>
      <c r="I447" s="160">
        <v>719</v>
      </c>
    </row>
    <row r="448" spans="1:9">
      <c r="C448" t="s">
        <v>491</v>
      </c>
      <c r="D448" s="161">
        <v>83.99</v>
      </c>
      <c r="E448" s="161">
        <v>78.19</v>
      </c>
      <c r="F448" s="161">
        <v>76.42</v>
      </c>
      <c r="G448" s="161">
        <v>76.36</v>
      </c>
      <c r="H448" s="161">
        <v>80.75</v>
      </c>
      <c r="I448" s="161">
        <v>84.02</v>
      </c>
    </row>
    <row r="449" spans="1:9">
      <c r="C449" t="s">
        <v>492</v>
      </c>
      <c r="D449" s="162">
        <v>305</v>
      </c>
      <c r="E449" s="162">
        <v>1135</v>
      </c>
      <c r="F449" s="162">
        <v>1202</v>
      </c>
      <c r="G449" s="162">
        <v>481</v>
      </c>
      <c r="H449" s="162">
        <v>715</v>
      </c>
      <c r="I449" s="162">
        <v>773</v>
      </c>
    </row>
    <row r="450" spans="1:9">
      <c r="C450" t="s">
        <v>179</v>
      </c>
      <c r="D450" s="163" t="s">
        <v>458</v>
      </c>
      <c r="E450" s="163" t="s">
        <v>459</v>
      </c>
      <c r="F450" s="163" t="s">
        <v>460</v>
      </c>
      <c r="G450" s="163" t="s">
        <v>461</v>
      </c>
      <c r="H450" s="163" t="s">
        <v>462</v>
      </c>
      <c r="I450" s="163" t="s">
        <v>463</v>
      </c>
    </row>
    <row r="451" spans="1:9">
      <c r="C451" t="s">
        <v>493</v>
      </c>
      <c r="D451" s="159">
        <v>82.91</v>
      </c>
      <c r="E451" s="159">
        <v>82.91</v>
      </c>
      <c r="F451" s="159">
        <v>82.91</v>
      </c>
      <c r="G451" s="159">
        <v>82.91</v>
      </c>
      <c r="H451" s="159">
        <v>82.91</v>
      </c>
      <c r="I451" s="159">
        <v>82.91</v>
      </c>
    </row>
    <row r="452" spans="1:9">
      <c r="C452" t="s">
        <v>494</v>
      </c>
      <c r="D452" s="164">
        <v>90.59</v>
      </c>
      <c r="E452" s="164">
        <v>84.53</v>
      </c>
      <c r="F452" s="164">
        <v>80.75</v>
      </c>
      <c r="G452" s="164">
        <v>79.08</v>
      </c>
      <c r="H452" s="164">
        <v>86.71</v>
      </c>
      <c r="I452" s="164">
        <v>89.28</v>
      </c>
    </row>
    <row r="457" spans="1:9">
      <c r="A457" t="s">
        <v>152</v>
      </c>
    </row>
    <row r="487" spans="1:1">
      <c r="A487" t="s">
        <v>177</v>
      </c>
    </row>
    <row r="501" spans="1:10" ht="54">
      <c r="A501" t="s">
        <v>422</v>
      </c>
      <c r="D501" s="170" t="s">
        <v>464</v>
      </c>
      <c r="E501" s="170" t="s">
        <v>465</v>
      </c>
      <c r="F501" s="170" t="s">
        <v>466</v>
      </c>
      <c r="G501" s="170" t="s">
        <v>467</v>
      </c>
      <c r="H501" s="170" t="s">
        <v>468</v>
      </c>
      <c r="I501" s="170" t="s">
        <v>469</v>
      </c>
      <c r="J501" s="170" t="s">
        <v>470</v>
      </c>
    </row>
    <row r="502" spans="1:10" ht="18">
      <c r="C502" s="156" t="s">
        <v>181</v>
      </c>
      <c r="D502" s="157">
        <v>70.28</v>
      </c>
      <c r="E502" s="157">
        <v>93.52</v>
      </c>
      <c r="F502" s="157">
        <v>81.7</v>
      </c>
      <c r="G502" s="157">
        <v>85.8</v>
      </c>
      <c r="H502" s="157">
        <v>86.78</v>
      </c>
      <c r="I502" s="157">
        <v>83.81</v>
      </c>
      <c r="J502" s="157">
        <v>96.24</v>
      </c>
    </row>
    <row r="503" spans="1:10" ht="18">
      <c r="C503" s="166" t="s">
        <v>182</v>
      </c>
      <c r="D503" s="157">
        <v>62.23</v>
      </c>
      <c r="E503" s="157">
        <v>94.29</v>
      </c>
      <c r="F503" s="157">
        <v>80.44</v>
      </c>
      <c r="G503" s="157">
        <v>83.68</v>
      </c>
      <c r="H503" s="157">
        <v>81.459999999999994</v>
      </c>
      <c r="I503" s="157">
        <v>84.28</v>
      </c>
      <c r="J503" s="157">
        <v>91.48</v>
      </c>
    </row>
    <row r="504" spans="1:10" ht="18">
      <c r="C504" s="167" t="s">
        <v>180</v>
      </c>
      <c r="D504" s="157">
        <v>67.959999999999994</v>
      </c>
      <c r="E504" s="157">
        <v>91.07</v>
      </c>
      <c r="F504" s="157">
        <v>74.040000000000006</v>
      </c>
      <c r="G504" s="157">
        <v>74.45</v>
      </c>
      <c r="H504" s="157">
        <v>78.72</v>
      </c>
      <c r="I504" s="157">
        <v>76.58</v>
      </c>
      <c r="J504" s="157">
        <v>81.349999999999994</v>
      </c>
    </row>
    <row r="505" spans="1:10" ht="18">
      <c r="C505" s="168" t="s">
        <v>196</v>
      </c>
      <c r="D505" s="157">
        <v>72.989999999999995</v>
      </c>
      <c r="E505" s="157">
        <v>99.04</v>
      </c>
      <c r="F505" s="157">
        <v>80</v>
      </c>
      <c r="G505" s="157">
        <v>84.75</v>
      </c>
      <c r="H505" s="157">
        <v>83.95</v>
      </c>
      <c r="I505" s="157">
        <v>89.61</v>
      </c>
      <c r="J505" s="157">
        <v>93.45</v>
      </c>
    </row>
    <row r="506" spans="1:10" ht="18">
      <c r="C506" s="169" t="s">
        <v>488</v>
      </c>
      <c r="D506" s="158">
        <v>60.71</v>
      </c>
      <c r="E506" s="158">
        <v>98.57</v>
      </c>
      <c r="F506" s="158">
        <v>79.77</v>
      </c>
      <c r="G506" s="158">
        <v>87.66</v>
      </c>
      <c r="H506" s="158">
        <v>86.3</v>
      </c>
      <c r="I506" s="158">
        <v>90.11</v>
      </c>
      <c r="J506" s="158">
        <v>93.76</v>
      </c>
    </row>
    <row r="507" spans="1:10">
      <c r="C507" t="s">
        <v>489</v>
      </c>
      <c r="D507" s="159">
        <v>66.8</v>
      </c>
      <c r="E507" s="159">
        <v>94.93</v>
      </c>
      <c r="F507" s="159">
        <v>79.16</v>
      </c>
      <c r="G507" s="159">
        <v>83.16</v>
      </c>
      <c r="H507" s="159">
        <v>83.39</v>
      </c>
      <c r="I507" s="159">
        <v>84.44</v>
      </c>
      <c r="J507" s="159">
        <v>91.35</v>
      </c>
    </row>
    <row r="508" spans="1:10">
      <c r="C508" t="s">
        <v>490</v>
      </c>
      <c r="D508" s="160">
        <v>8</v>
      </c>
      <c r="E508" s="160">
        <v>14</v>
      </c>
      <c r="F508" s="160">
        <v>41</v>
      </c>
      <c r="G508" s="160">
        <v>199</v>
      </c>
      <c r="H508" s="160">
        <v>2612</v>
      </c>
      <c r="I508" s="160">
        <v>95</v>
      </c>
      <c r="J508" s="160">
        <v>21</v>
      </c>
    </row>
    <row r="509" spans="1:10">
      <c r="C509" t="s">
        <v>491</v>
      </c>
      <c r="D509" s="161">
        <v>71.709999999999994</v>
      </c>
      <c r="E509" s="161">
        <v>94.66</v>
      </c>
      <c r="F509" s="161">
        <v>78.58</v>
      </c>
      <c r="G509" s="161">
        <v>74.38</v>
      </c>
      <c r="H509" s="161">
        <v>80.41</v>
      </c>
      <c r="I509" s="161">
        <v>84.16</v>
      </c>
      <c r="J509" s="161" t="s">
        <v>203</v>
      </c>
    </row>
    <row r="510" spans="1:10">
      <c r="C510" t="s">
        <v>492</v>
      </c>
      <c r="D510" s="162">
        <v>22</v>
      </c>
      <c r="E510" s="162">
        <v>10</v>
      </c>
      <c r="F510" s="162">
        <v>47</v>
      </c>
      <c r="G510" s="162">
        <v>187</v>
      </c>
      <c r="H510" s="162">
        <v>2535</v>
      </c>
      <c r="I510" s="162">
        <v>89</v>
      </c>
      <c r="J510" s="162" t="s">
        <v>201</v>
      </c>
    </row>
    <row r="511" spans="1:10" ht="22.5">
      <c r="C511" t="s">
        <v>179</v>
      </c>
      <c r="D511" s="163" t="s">
        <v>464</v>
      </c>
      <c r="E511" s="163" t="s">
        <v>465</v>
      </c>
      <c r="F511" s="163" t="s">
        <v>466</v>
      </c>
      <c r="G511" s="163" t="s">
        <v>467</v>
      </c>
      <c r="H511" s="163" t="s">
        <v>468</v>
      </c>
      <c r="I511" s="163" t="s">
        <v>469</v>
      </c>
      <c r="J511" s="163" t="s">
        <v>470</v>
      </c>
    </row>
    <row r="512" spans="1:10">
      <c r="C512" t="s">
        <v>493</v>
      </c>
      <c r="D512" s="159">
        <v>82.91</v>
      </c>
      <c r="E512" s="159">
        <v>82.91</v>
      </c>
      <c r="F512" s="159">
        <v>82.91</v>
      </c>
      <c r="G512" s="159">
        <v>82.91</v>
      </c>
      <c r="H512" s="159">
        <v>82.91</v>
      </c>
      <c r="I512" s="159">
        <v>82.91</v>
      </c>
      <c r="J512" s="159">
        <v>82.91</v>
      </c>
    </row>
    <row r="513" spans="1:10">
      <c r="C513" t="s">
        <v>494</v>
      </c>
      <c r="D513" s="164">
        <v>75</v>
      </c>
      <c r="E513" s="164">
        <v>100</v>
      </c>
      <c r="F513" s="164">
        <v>75.61</v>
      </c>
      <c r="G513" s="164">
        <v>86.36</v>
      </c>
      <c r="H513" s="164">
        <v>83.41</v>
      </c>
      <c r="I513" s="164">
        <v>91.58</v>
      </c>
      <c r="J513" s="164">
        <v>100</v>
      </c>
    </row>
    <row r="518" spans="1:10">
      <c r="A518" t="s">
        <v>178</v>
      </c>
    </row>
    <row r="532" spans="1:10" ht="54">
      <c r="A532" t="s">
        <v>423</v>
      </c>
      <c r="D532" s="170" t="s">
        <v>471</v>
      </c>
      <c r="E532" s="170" t="s">
        <v>472</v>
      </c>
      <c r="F532" s="170" t="s">
        <v>473</v>
      </c>
      <c r="G532" s="170" t="s">
        <v>474</v>
      </c>
      <c r="H532" s="170" t="s">
        <v>475</v>
      </c>
      <c r="I532" s="170" t="s">
        <v>476</v>
      </c>
      <c r="J532" s="170" t="s">
        <v>477</v>
      </c>
    </row>
    <row r="533" spans="1:10" ht="18">
      <c r="C533" s="156" t="s">
        <v>181</v>
      </c>
      <c r="D533" s="157">
        <v>90.49</v>
      </c>
      <c r="E533" s="157">
        <v>78.42</v>
      </c>
      <c r="F533" s="157">
        <v>89.17</v>
      </c>
      <c r="G533" s="157">
        <v>84.63</v>
      </c>
      <c r="H533" s="157">
        <v>81.78</v>
      </c>
      <c r="I533" s="157" t="s">
        <v>203</v>
      </c>
      <c r="J533" s="157">
        <v>97.14</v>
      </c>
    </row>
    <row r="534" spans="1:10" ht="18">
      <c r="C534" s="166" t="s">
        <v>182</v>
      </c>
      <c r="D534" s="157">
        <v>90.16</v>
      </c>
      <c r="E534" s="157">
        <v>79.81</v>
      </c>
      <c r="F534" s="157">
        <v>87.3</v>
      </c>
      <c r="G534" s="157">
        <v>79.87</v>
      </c>
      <c r="H534" s="157">
        <v>83.85</v>
      </c>
      <c r="I534" s="157" t="s">
        <v>203</v>
      </c>
      <c r="J534" s="157">
        <v>95.38</v>
      </c>
    </row>
    <row r="535" spans="1:10" ht="18">
      <c r="C535" s="167" t="s">
        <v>180</v>
      </c>
      <c r="D535" s="157">
        <v>80.63</v>
      </c>
      <c r="E535" s="157">
        <v>70.56</v>
      </c>
      <c r="F535" s="157">
        <v>81.760000000000005</v>
      </c>
      <c r="G535" s="157">
        <v>76.849999999999994</v>
      </c>
      <c r="H535" s="157">
        <v>73.540000000000006</v>
      </c>
      <c r="I535" s="157" t="s">
        <v>203</v>
      </c>
      <c r="J535" s="157">
        <v>85</v>
      </c>
    </row>
    <row r="536" spans="1:10" ht="18">
      <c r="C536" s="168" t="s">
        <v>196</v>
      </c>
      <c r="D536" s="157">
        <v>88.73</v>
      </c>
      <c r="E536" s="157">
        <v>76.319999999999993</v>
      </c>
      <c r="F536" s="157">
        <v>90.11</v>
      </c>
      <c r="G536" s="157">
        <v>80.97</v>
      </c>
      <c r="H536" s="157">
        <v>81.84</v>
      </c>
      <c r="I536" s="157" t="s">
        <v>203</v>
      </c>
      <c r="J536" s="157">
        <v>96.25</v>
      </c>
    </row>
    <row r="537" spans="1:10" ht="18">
      <c r="C537" s="169" t="s">
        <v>488</v>
      </c>
      <c r="D537" s="158">
        <v>92.57</v>
      </c>
      <c r="E537" s="158">
        <v>79.37</v>
      </c>
      <c r="F537" s="158">
        <v>91.39</v>
      </c>
      <c r="G537" s="158">
        <v>85.14</v>
      </c>
      <c r="H537" s="158">
        <v>86.85</v>
      </c>
      <c r="I537" s="158" t="s">
        <v>203</v>
      </c>
      <c r="J537" s="158">
        <v>91</v>
      </c>
    </row>
    <row r="538" spans="1:10">
      <c r="C538" t="s">
        <v>489</v>
      </c>
      <c r="D538" s="159">
        <v>88.51</v>
      </c>
      <c r="E538" s="159">
        <v>77.03</v>
      </c>
      <c r="F538" s="159">
        <v>87.77</v>
      </c>
      <c r="G538" s="159">
        <v>81.510000000000005</v>
      </c>
      <c r="H538" s="159">
        <v>81.52</v>
      </c>
      <c r="I538" s="159" t="s">
        <v>203</v>
      </c>
      <c r="J538" s="159">
        <v>93.1</v>
      </c>
    </row>
    <row r="539" spans="1:10">
      <c r="C539" t="s">
        <v>490</v>
      </c>
      <c r="D539" s="160">
        <v>170</v>
      </c>
      <c r="E539" s="160">
        <v>102</v>
      </c>
      <c r="F539" s="160">
        <v>60</v>
      </c>
      <c r="G539" s="160">
        <v>1478</v>
      </c>
      <c r="H539" s="160">
        <v>73</v>
      </c>
      <c r="I539" s="160">
        <v>3</v>
      </c>
      <c r="J539" s="160">
        <v>10</v>
      </c>
    </row>
    <row r="540" spans="1:10">
      <c r="C540" t="s">
        <v>491</v>
      </c>
      <c r="D540" s="161">
        <v>87.49</v>
      </c>
      <c r="E540" s="161">
        <v>80.099999999999994</v>
      </c>
      <c r="F540" s="161">
        <v>77.22</v>
      </c>
      <c r="G540" s="161">
        <v>75.45</v>
      </c>
      <c r="H540" s="161">
        <v>82.2</v>
      </c>
      <c r="I540" s="161" t="s">
        <v>203</v>
      </c>
      <c r="J540" s="161">
        <v>91.82</v>
      </c>
    </row>
    <row r="541" spans="1:10">
      <c r="C541" t="s">
        <v>492</v>
      </c>
      <c r="D541" s="162">
        <v>159</v>
      </c>
      <c r="E541" s="162">
        <v>99</v>
      </c>
      <c r="F541" s="162">
        <v>55</v>
      </c>
      <c r="G541" s="162">
        <v>1432</v>
      </c>
      <c r="H541" s="162">
        <v>77</v>
      </c>
      <c r="I541" s="162">
        <v>5</v>
      </c>
      <c r="J541" s="162">
        <v>11</v>
      </c>
    </row>
    <row r="542" spans="1:10" ht="22.5">
      <c r="C542" t="s">
        <v>179</v>
      </c>
      <c r="D542" s="163" t="s">
        <v>471</v>
      </c>
      <c r="E542" s="163" t="s">
        <v>472</v>
      </c>
      <c r="F542" s="163" t="s">
        <v>473</v>
      </c>
      <c r="G542" s="163" t="s">
        <v>474</v>
      </c>
      <c r="H542" s="163" t="s">
        <v>475</v>
      </c>
      <c r="I542" s="163" t="s">
        <v>476</v>
      </c>
      <c r="J542" s="163" t="s">
        <v>477</v>
      </c>
    </row>
    <row r="543" spans="1:10">
      <c r="C543" t="s">
        <v>493</v>
      </c>
      <c r="D543" s="159">
        <v>82.91</v>
      </c>
      <c r="E543" s="159">
        <v>82.91</v>
      </c>
      <c r="F543" s="159">
        <v>82.91</v>
      </c>
      <c r="G543" s="159">
        <v>82.91</v>
      </c>
      <c r="H543" s="159">
        <v>82.91</v>
      </c>
      <c r="I543" s="159">
        <v>82.91</v>
      </c>
      <c r="J543" s="159">
        <v>82.91</v>
      </c>
    </row>
    <row r="544" spans="1:10">
      <c r="C544" t="s">
        <v>494</v>
      </c>
      <c r="D544" s="164">
        <v>91.12</v>
      </c>
      <c r="E544" s="164">
        <v>81.37</v>
      </c>
      <c r="F544" s="164">
        <v>91.53</v>
      </c>
      <c r="G544" s="164">
        <v>83.23</v>
      </c>
      <c r="H544" s="164">
        <v>87.67</v>
      </c>
      <c r="I544" s="164" t="s">
        <v>203</v>
      </c>
      <c r="J544" s="164">
        <v>100</v>
      </c>
    </row>
    <row r="549" spans="1:1">
      <c r="A549" t="s">
        <v>153</v>
      </c>
    </row>
    <row r="609" spans="1:7">
      <c r="A609" t="s">
        <v>154</v>
      </c>
    </row>
    <row r="623" spans="1:7" ht="18">
      <c r="A623" t="s">
        <v>172</v>
      </c>
      <c r="D623" s="170" t="s">
        <v>478</v>
      </c>
      <c r="E623" s="170" t="s">
        <v>479</v>
      </c>
      <c r="F623" s="170" t="s">
        <v>480</v>
      </c>
      <c r="G623" s="170" t="s">
        <v>481</v>
      </c>
    </row>
    <row r="624" spans="1:7" ht="18">
      <c r="C624" s="156" t="s">
        <v>181</v>
      </c>
      <c r="D624" s="157">
        <v>92.06</v>
      </c>
      <c r="E624" s="157">
        <v>82.99</v>
      </c>
      <c r="F624" s="157">
        <v>73.010000000000005</v>
      </c>
      <c r="G624" s="157">
        <v>58.22</v>
      </c>
    </row>
    <row r="625" spans="1:7" ht="18">
      <c r="C625" s="166" t="s">
        <v>182</v>
      </c>
      <c r="D625" s="157">
        <v>87.65</v>
      </c>
      <c r="E625" s="157">
        <v>78.34</v>
      </c>
      <c r="F625" s="157">
        <v>69.09</v>
      </c>
      <c r="G625" s="157">
        <v>54.71</v>
      </c>
    </row>
    <row r="626" spans="1:7" ht="18">
      <c r="C626" s="167" t="s">
        <v>180</v>
      </c>
      <c r="D626" s="157">
        <v>83.2</v>
      </c>
      <c r="E626" s="157">
        <v>74.31</v>
      </c>
      <c r="F626" s="157">
        <v>66.7</v>
      </c>
      <c r="G626" s="157">
        <v>56.94</v>
      </c>
    </row>
    <row r="627" spans="1:7" ht="18">
      <c r="C627" s="168" t="s">
        <v>196</v>
      </c>
      <c r="D627" s="157">
        <v>87.6</v>
      </c>
      <c r="E627" s="157">
        <v>81.8</v>
      </c>
      <c r="F627" s="157">
        <v>71.7</v>
      </c>
      <c r="G627" s="157">
        <v>66.19</v>
      </c>
    </row>
    <row r="628" spans="1:7" ht="18">
      <c r="C628" s="169" t="s">
        <v>488</v>
      </c>
      <c r="D628" s="158">
        <v>90.98</v>
      </c>
      <c r="E628" s="158">
        <v>84.03</v>
      </c>
      <c r="F628" s="158">
        <v>75.88</v>
      </c>
      <c r="G628" s="158">
        <v>65.92</v>
      </c>
    </row>
    <row r="629" spans="1:7">
      <c r="C629" t="s">
        <v>489</v>
      </c>
      <c r="D629" s="159">
        <v>88.39</v>
      </c>
      <c r="E629" s="159">
        <v>80.150000000000006</v>
      </c>
      <c r="F629" s="159">
        <v>71.099999999999994</v>
      </c>
      <c r="G629" s="159">
        <v>59.77</v>
      </c>
    </row>
    <row r="630" spans="1:7">
      <c r="C630" t="s">
        <v>490</v>
      </c>
      <c r="D630" s="160">
        <v>2444</v>
      </c>
      <c r="E630" s="160">
        <v>1088</v>
      </c>
      <c r="F630" s="160">
        <v>501</v>
      </c>
      <c r="G630" s="160">
        <v>116</v>
      </c>
    </row>
    <row r="631" spans="1:7">
      <c r="C631" t="s">
        <v>491</v>
      </c>
      <c r="D631" s="161">
        <v>84.86</v>
      </c>
      <c r="E631" s="161">
        <v>74.510000000000005</v>
      </c>
      <c r="F631" s="161">
        <v>66.599999999999994</v>
      </c>
      <c r="G631" s="161">
        <v>55.18</v>
      </c>
    </row>
    <row r="632" spans="1:7">
      <c r="C632" t="s">
        <v>492</v>
      </c>
      <c r="D632" s="162">
        <v>2773</v>
      </c>
      <c r="E632" s="162">
        <v>1087</v>
      </c>
      <c r="F632" s="162">
        <v>595</v>
      </c>
      <c r="G632" s="162">
        <v>110</v>
      </c>
    </row>
    <row r="633" spans="1:7">
      <c r="C633" t="s">
        <v>179</v>
      </c>
      <c r="D633" s="163" t="s">
        <v>478</v>
      </c>
      <c r="E633" s="163" t="s">
        <v>479</v>
      </c>
      <c r="F633" s="163" t="s">
        <v>480</v>
      </c>
      <c r="G633" s="163" t="s">
        <v>481</v>
      </c>
    </row>
    <row r="634" spans="1:7">
      <c r="C634" t="s">
        <v>493</v>
      </c>
      <c r="D634" s="159">
        <v>82.91</v>
      </c>
      <c r="E634" s="159">
        <v>82.91</v>
      </c>
      <c r="F634" s="159">
        <v>82.91</v>
      </c>
      <c r="G634" s="159">
        <v>82.91</v>
      </c>
    </row>
    <row r="635" spans="1:7">
      <c r="C635" t="s">
        <v>494</v>
      </c>
      <c r="D635" s="164">
        <v>89.51</v>
      </c>
      <c r="E635" s="164">
        <v>82.26</v>
      </c>
      <c r="F635" s="164">
        <v>70.599999999999994</v>
      </c>
      <c r="G635" s="164">
        <v>68.099999999999994</v>
      </c>
    </row>
    <row r="640" spans="1:7">
      <c r="A640" t="s">
        <v>155</v>
      </c>
    </row>
    <row r="700" spans="1:1">
      <c r="A700" t="s">
        <v>156</v>
      </c>
    </row>
    <row r="714" spans="1:8" ht="126">
      <c r="A714" t="s">
        <v>173</v>
      </c>
      <c r="D714" s="170" t="s">
        <v>482</v>
      </c>
      <c r="E714" s="170" t="s">
        <v>483</v>
      </c>
      <c r="F714" s="170" t="s">
        <v>484</v>
      </c>
      <c r="G714" s="170" t="s">
        <v>485</v>
      </c>
      <c r="H714" s="170" t="s">
        <v>486</v>
      </c>
    </row>
    <row r="715" spans="1:8" ht="18">
      <c r="C715" s="156" t="s">
        <v>181</v>
      </c>
      <c r="D715" s="157">
        <v>88.46</v>
      </c>
      <c r="E715" s="157">
        <v>81.81</v>
      </c>
      <c r="F715" s="157">
        <v>69.47</v>
      </c>
      <c r="G715" s="157">
        <v>90.75</v>
      </c>
      <c r="H715" s="157">
        <v>71.900000000000006</v>
      </c>
    </row>
    <row r="716" spans="1:8" ht="18">
      <c r="C716" s="166" t="s">
        <v>182</v>
      </c>
      <c r="D716" s="157">
        <v>84.45</v>
      </c>
      <c r="E716" s="157">
        <v>75.67</v>
      </c>
      <c r="F716" s="157">
        <v>62.34</v>
      </c>
      <c r="G716" s="157">
        <v>87.24</v>
      </c>
      <c r="H716" s="157">
        <v>66.099999999999994</v>
      </c>
    </row>
    <row r="717" spans="1:8" ht="18">
      <c r="C717" s="167" t="s">
        <v>180</v>
      </c>
      <c r="D717" s="157">
        <v>79.25</v>
      </c>
      <c r="E717" s="157">
        <v>73.47</v>
      </c>
      <c r="F717" s="157">
        <v>59.43</v>
      </c>
      <c r="G717" s="157">
        <v>82.97</v>
      </c>
      <c r="H717" s="157">
        <v>62.41</v>
      </c>
    </row>
    <row r="718" spans="1:8" ht="18">
      <c r="C718" s="168" t="s">
        <v>196</v>
      </c>
      <c r="D718" s="157">
        <v>84.85</v>
      </c>
      <c r="E718" s="157">
        <v>75.930000000000007</v>
      </c>
      <c r="F718" s="157">
        <v>67.13</v>
      </c>
      <c r="G718" s="157">
        <v>89.76</v>
      </c>
      <c r="H718" s="157">
        <v>66.989999999999995</v>
      </c>
    </row>
    <row r="719" spans="1:8" ht="18">
      <c r="C719" s="169" t="s">
        <v>488</v>
      </c>
      <c r="D719" s="158">
        <v>88.44</v>
      </c>
      <c r="E719" s="158">
        <v>81.05</v>
      </c>
      <c r="F719" s="158">
        <v>68.94</v>
      </c>
      <c r="G719" s="158">
        <v>91.63</v>
      </c>
      <c r="H719" s="158">
        <v>70.739999999999995</v>
      </c>
    </row>
    <row r="720" spans="1:8">
      <c r="C720" t="s">
        <v>489</v>
      </c>
      <c r="D720" s="159">
        <v>85.13</v>
      </c>
      <c r="E720" s="159">
        <v>77.69</v>
      </c>
      <c r="F720" s="159">
        <v>65.31</v>
      </c>
      <c r="G720" s="159">
        <v>88.38</v>
      </c>
      <c r="H720" s="159">
        <v>67.58</v>
      </c>
    </row>
    <row r="721" spans="1:8">
      <c r="C721" t="s">
        <v>490</v>
      </c>
      <c r="D721" s="160">
        <v>680</v>
      </c>
      <c r="E721" s="160">
        <v>940</v>
      </c>
      <c r="F721" s="160">
        <v>101</v>
      </c>
      <c r="G721" s="160">
        <v>1993</v>
      </c>
      <c r="H721" s="160">
        <v>218</v>
      </c>
    </row>
    <row r="722" spans="1:8">
      <c r="C722" t="s">
        <v>491</v>
      </c>
      <c r="D722" s="161">
        <v>80.739999999999995</v>
      </c>
      <c r="E722" s="161">
        <v>74.11</v>
      </c>
      <c r="F722" s="161">
        <v>60.51</v>
      </c>
      <c r="G722" s="161">
        <v>85.59</v>
      </c>
      <c r="H722" s="161">
        <v>59.82</v>
      </c>
    </row>
    <row r="723" spans="1:8">
      <c r="C723" t="s">
        <v>492</v>
      </c>
      <c r="D723" s="162">
        <v>764</v>
      </c>
      <c r="E723" s="162">
        <v>1235</v>
      </c>
      <c r="F723" s="162">
        <v>132</v>
      </c>
      <c r="G723" s="162">
        <v>2149</v>
      </c>
      <c r="H723" s="162">
        <v>297</v>
      </c>
    </row>
    <row r="724" spans="1:8" ht="33.75">
      <c r="C724" t="s">
        <v>179</v>
      </c>
      <c r="D724" s="163" t="s">
        <v>482</v>
      </c>
      <c r="E724" s="163" t="s">
        <v>483</v>
      </c>
      <c r="F724" s="163" t="s">
        <v>484</v>
      </c>
      <c r="G724" s="163" t="s">
        <v>485</v>
      </c>
      <c r="H724" s="163" t="s">
        <v>486</v>
      </c>
    </row>
    <row r="725" spans="1:8">
      <c r="C725" t="s">
        <v>493</v>
      </c>
      <c r="D725" s="159">
        <v>82.91</v>
      </c>
      <c r="E725" s="159">
        <v>82.91</v>
      </c>
      <c r="F725" s="159">
        <v>82.91</v>
      </c>
      <c r="G725" s="159">
        <v>82.91</v>
      </c>
      <c r="H725" s="159">
        <v>82.91</v>
      </c>
    </row>
    <row r="726" spans="1:8">
      <c r="C726" t="s">
        <v>494</v>
      </c>
      <c r="D726" s="164">
        <v>87.3</v>
      </c>
      <c r="E726" s="164">
        <v>77.290000000000006</v>
      </c>
      <c r="F726" s="164">
        <v>65.349999999999994</v>
      </c>
      <c r="G726" s="164">
        <v>91.62</v>
      </c>
      <c r="H726" s="164">
        <v>61.47</v>
      </c>
    </row>
    <row r="731" spans="1:8">
      <c r="A731" t="s">
        <v>157</v>
      </c>
    </row>
    <row r="791" spans="1:1">
      <c r="A791" t="s">
        <v>158</v>
      </c>
    </row>
    <row r="805" spans="1:7" ht="18">
      <c r="A805" t="s">
        <v>174</v>
      </c>
      <c r="D805" s="170" t="s">
        <v>487</v>
      </c>
      <c r="E805" s="170" t="s">
        <v>479</v>
      </c>
      <c r="F805" s="170" t="s">
        <v>480</v>
      </c>
      <c r="G805" s="170" t="s">
        <v>481</v>
      </c>
    </row>
    <row r="806" spans="1:7" ht="18">
      <c r="C806" s="156" t="s">
        <v>181</v>
      </c>
      <c r="D806" s="157">
        <v>93.66</v>
      </c>
      <c r="E806" s="157">
        <v>88.03</v>
      </c>
      <c r="F806" s="157">
        <v>82.62</v>
      </c>
      <c r="G806" s="157">
        <v>65.010000000000005</v>
      </c>
    </row>
    <row r="807" spans="1:7" ht="18">
      <c r="C807" s="166" t="s">
        <v>182</v>
      </c>
      <c r="D807" s="157">
        <v>89.83</v>
      </c>
      <c r="E807" s="157">
        <v>83.54</v>
      </c>
      <c r="F807" s="157">
        <v>77.73</v>
      </c>
      <c r="G807" s="157">
        <v>61.02</v>
      </c>
    </row>
    <row r="808" spans="1:7" ht="18">
      <c r="C808" s="167" t="s">
        <v>180</v>
      </c>
      <c r="D808" s="157">
        <v>85.29</v>
      </c>
      <c r="E808" s="157">
        <v>79.36</v>
      </c>
      <c r="F808" s="157">
        <v>73.209999999999994</v>
      </c>
      <c r="G808" s="157">
        <v>61.49</v>
      </c>
    </row>
    <row r="809" spans="1:7" ht="18">
      <c r="C809" s="168" t="s">
        <v>196</v>
      </c>
      <c r="D809" s="157">
        <v>89.45</v>
      </c>
      <c r="E809" s="157">
        <v>84.49</v>
      </c>
      <c r="F809" s="157">
        <v>80.319999999999993</v>
      </c>
      <c r="G809" s="157">
        <v>67.36</v>
      </c>
    </row>
    <row r="810" spans="1:7" ht="18">
      <c r="C810" s="169" t="s">
        <v>488</v>
      </c>
      <c r="D810" s="158">
        <v>93.27</v>
      </c>
      <c r="E810" s="158">
        <v>88.22</v>
      </c>
      <c r="F810" s="158">
        <v>84</v>
      </c>
      <c r="G810" s="158">
        <v>70.72</v>
      </c>
    </row>
    <row r="811" spans="1:7">
      <c r="C811" t="s">
        <v>489</v>
      </c>
      <c r="D811" s="159">
        <v>90.42</v>
      </c>
      <c r="E811" s="159">
        <v>84.77</v>
      </c>
      <c r="F811" s="159">
        <v>79.48</v>
      </c>
      <c r="G811" s="159">
        <v>64.67</v>
      </c>
    </row>
    <row r="812" spans="1:7">
      <c r="C812" t="s">
        <v>490</v>
      </c>
      <c r="D812" s="160">
        <v>789</v>
      </c>
      <c r="E812" s="160">
        <v>283</v>
      </c>
      <c r="F812" s="160">
        <v>450</v>
      </c>
      <c r="G812" s="160">
        <v>317</v>
      </c>
    </row>
    <row r="813" spans="1:7">
      <c r="C813" t="s">
        <v>491</v>
      </c>
      <c r="D813" s="161" t="s">
        <v>203</v>
      </c>
      <c r="E813" s="161" t="s">
        <v>203</v>
      </c>
      <c r="F813" s="161" t="s">
        <v>203</v>
      </c>
      <c r="G813" s="161" t="s">
        <v>203</v>
      </c>
    </row>
    <row r="814" spans="1:7">
      <c r="C814" t="s">
        <v>492</v>
      </c>
      <c r="D814" s="162" t="s">
        <v>201</v>
      </c>
      <c r="E814" s="162" t="s">
        <v>201</v>
      </c>
      <c r="F814" s="162" t="s">
        <v>201</v>
      </c>
      <c r="G814" s="162" t="s">
        <v>201</v>
      </c>
    </row>
    <row r="815" spans="1:7">
      <c r="C815" t="s">
        <v>179</v>
      </c>
      <c r="D815" s="163" t="s">
        <v>487</v>
      </c>
      <c r="E815" s="163" t="s">
        <v>479</v>
      </c>
      <c r="F815" s="163" t="s">
        <v>480</v>
      </c>
      <c r="G815" s="163" t="s">
        <v>481</v>
      </c>
    </row>
    <row r="816" spans="1:7">
      <c r="C816" t="s">
        <v>493</v>
      </c>
      <c r="D816" s="159">
        <v>82.91</v>
      </c>
      <c r="E816" s="159">
        <v>82.91</v>
      </c>
      <c r="F816" s="159">
        <v>82.91</v>
      </c>
      <c r="G816" s="159">
        <v>82.91</v>
      </c>
    </row>
    <row r="817" spans="3:7">
      <c r="C817" t="s">
        <v>494</v>
      </c>
      <c r="D817" s="164">
        <v>93.54</v>
      </c>
      <c r="E817" s="164">
        <v>87.99</v>
      </c>
      <c r="F817" s="164">
        <v>81.739999999999995</v>
      </c>
      <c r="G817" s="164">
        <v>63.29</v>
      </c>
    </row>
  </sheetData>
  <conditionalFormatting sqref="D76:H80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7:D171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7:E171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58:D262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58:H262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19:H323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50:H354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41:I445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02:J506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33:H537 J533:J537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24:G628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15:H71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06:G810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abSelected="1" topLeftCell="A145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320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346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347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200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348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349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350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351</v>
      </c>
      <c r="AA21" s="125" t="s">
        <v>352</v>
      </c>
      <c r="AB21" s="125" t="s">
        <v>352</v>
      </c>
      <c r="AC21" s="125" t="s">
        <v>352</v>
      </c>
      <c r="AD21" s="125" t="s">
        <v>352</v>
      </c>
      <c r="AE21" s="125" t="s">
        <v>352</v>
      </c>
      <c r="AF21" s="125" t="s">
        <v>352</v>
      </c>
      <c r="AG21" s="125" t="s">
        <v>352</v>
      </c>
      <c r="AH21" s="125" t="s">
        <v>352</v>
      </c>
      <c r="AI21" s="125" t="s">
        <v>352</v>
      </c>
      <c r="AJ21" s="125" t="s">
        <v>352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435</v>
      </c>
    </row>
    <row r="160" spans="1:1">
      <c r="A160" t="s">
        <v>504</v>
      </c>
    </row>
    <row r="187" spans="1:1">
      <c r="A187" t="s">
        <v>505</v>
      </c>
    </row>
    <row r="213" spans="1:1">
      <c r="A213" t="s">
        <v>506</v>
      </c>
    </row>
    <row r="240" spans="1:1">
      <c r="A240" t="s">
        <v>507</v>
      </c>
    </row>
    <row r="266" spans="1:11" ht="15.75" thickBot="1"/>
    <row r="267" spans="1:11" ht="29.25" thickBot="1">
      <c r="A267" t="s">
        <v>91</v>
      </c>
      <c r="D267" s="33" t="s">
        <v>233</v>
      </c>
      <c r="E267" s="34"/>
      <c r="F267" s="34" t="s">
        <v>234</v>
      </c>
      <c r="G267" s="34" t="s">
        <v>235</v>
      </c>
      <c r="H267" s="35">
        <v>2016</v>
      </c>
      <c r="I267" s="35">
        <v>2015</v>
      </c>
      <c r="J267" s="35" t="s">
        <v>336</v>
      </c>
      <c r="K267" s="35" t="s">
        <v>231</v>
      </c>
    </row>
    <row r="268" spans="1:11">
      <c r="D268" s="268" t="s">
        <v>12</v>
      </c>
      <c r="E268" s="270" t="s">
        <v>237</v>
      </c>
      <c r="F268" s="43">
        <v>1</v>
      </c>
      <c r="G268" s="44" t="s">
        <v>238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68"/>
      <c r="E269" s="271"/>
      <c r="F269" s="49">
        <v>2</v>
      </c>
      <c r="G269" s="50" t="s">
        <v>239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68"/>
      <c r="E270" s="270" t="s">
        <v>240</v>
      </c>
      <c r="F270" s="43">
        <v>3</v>
      </c>
      <c r="G270" s="44" t="s">
        <v>241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69"/>
      <c r="E271" s="271"/>
      <c r="F271" s="49">
        <v>4</v>
      </c>
      <c r="G271" s="50" t="s">
        <v>242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68" t="s">
        <v>13</v>
      </c>
      <c r="E272" s="270" t="s">
        <v>243</v>
      </c>
      <c r="F272" s="43">
        <v>5</v>
      </c>
      <c r="G272" s="44" t="s">
        <v>244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68"/>
      <c r="E273" s="270"/>
      <c r="F273" s="43">
        <v>6</v>
      </c>
      <c r="G273" s="44" t="s">
        <v>245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68"/>
      <c r="E274" s="271"/>
      <c r="F274" s="49">
        <v>7</v>
      </c>
      <c r="G274" s="50" t="s">
        <v>246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68"/>
      <c r="E275" s="270" t="s">
        <v>247</v>
      </c>
      <c r="F275" s="43">
        <v>8</v>
      </c>
      <c r="G275" s="44" t="s">
        <v>248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68"/>
      <c r="E276" s="271"/>
      <c r="F276" s="49">
        <v>9</v>
      </c>
      <c r="G276" s="50" t="s">
        <v>249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69"/>
      <c r="E277" s="173" t="s">
        <v>250</v>
      </c>
      <c r="F277" s="49">
        <v>10</v>
      </c>
      <c r="G277" s="50" t="s">
        <v>251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68" t="s">
        <v>14</v>
      </c>
      <c r="E278" s="270" t="s">
        <v>252</v>
      </c>
      <c r="F278" s="43">
        <v>11</v>
      </c>
      <c r="G278" s="44" t="s">
        <v>253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68"/>
      <c r="E279" s="270"/>
      <c r="F279" s="43">
        <v>12</v>
      </c>
      <c r="G279" s="44" t="s">
        <v>254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68"/>
      <c r="E280" s="271"/>
      <c r="F280" s="49">
        <v>13</v>
      </c>
      <c r="G280" s="50" t="s">
        <v>255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69"/>
      <c r="E281" s="173" t="s">
        <v>256</v>
      </c>
      <c r="F281" s="49">
        <v>14</v>
      </c>
      <c r="G281" s="50" t="s">
        <v>257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233</v>
      </c>
      <c r="E293" s="34"/>
      <c r="F293" s="34" t="s">
        <v>234</v>
      </c>
      <c r="G293" s="34" t="s">
        <v>235</v>
      </c>
      <c r="H293" s="35">
        <v>2016</v>
      </c>
      <c r="I293" s="35">
        <v>2015</v>
      </c>
      <c r="J293" s="35" t="s">
        <v>336</v>
      </c>
      <c r="K293" s="35" t="s">
        <v>231</v>
      </c>
    </row>
    <row r="294" spans="1:11">
      <c r="D294" s="266" t="s">
        <v>15</v>
      </c>
      <c r="E294" s="273" t="s">
        <v>259</v>
      </c>
      <c r="F294" s="54">
        <v>15</v>
      </c>
      <c r="G294" s="55" t="s">
        <v>260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72"/>
      <c r="E295" s="274"/>
      <c r="F295" s="57">
        <v>16</v>
      </c>
      <c r="G295" s="50" t="s">
        <v>261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72"/>
      <c r="E296" s="275" t="s">
        <v>262</v>
      </c>
      <c r="F296" s="59">
        <v>17</v>
      </c>
      <c r="G296" s="44" t="s">
        <v>263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67"/>
      <c r="E297" s="274"/>
      <c r="F297" s="57">
        <v>18</v>
      </c>
      <c r="G297" s="50" t="s">
        <v>264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66" t="s">
        <v>16</v>
      </c>
      <c r="E298" s="275" t="s">
        <v>265</v>
      </c>
      <c r="F298" s="59">
        <v>19</v>
      </c>
      <c r="G298" s="44" t="s">
        <v>266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67"/>
      <c r="E299" s="274"/>
      <c r="F299" s="57">
        <v>20</v>
      </c>
      <c r="G299" s="50" t="s">
        <v>267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66" t="s">
        <v>17</v>
      </c>
      <c r="E300" s="275" t="s">
        <v>268</v>
      </c>
      <c r="F300" s="59">
        <v>21</v>
      </c>
      <c r="G300" s="44" t="s">
        <v>269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72"/>
      <c r="E301" s="275"/>
      <c r="F301" s="59">
        <v>22</v>
      </c>
      <c r="G301" s="44" t="s">
        <v>270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72"/>
      <c r="E302" s="274"/>
      <c r="F302" s="57">
        <v>23</v>
      </c>
      <c r="G302" s="50" t="s">
        <v>271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72"/>
      <c r="E303" s="275" t="s">
        <v>272</v>
      </c>
      <c r="F303" s="59">
        <v>24</v>
      </c>
      <c r="G303" s="44" t="s">
        <v>273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72"/>
      <c r="E304" s="275"/>
      <c r="F304" s="59">
        <v>25</v>
      </c>
      <c r="G304" s="44" t="s">
        <v>274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72"/>
      <c r="E305" s="275"/>
      <c r="F305" s="59">
        <v>26</v>
      </c>
      <c r="G305" s="44" t="s">
        <v>275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67"/>
      <c r="E306" s="274"/>
      <c r="F306" s="57">
        <v>27</v>
      </c>
      <c r="G306" s="50" t="s">
        <v>276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233</v>
      </c>
      <c r="E320" s="34"/>
      <c r="F320" s="34" t="s">
        <v>234</v>
      </c>
      <c r="G320" s="34" t="s">
        <v>235</v>
      </c>
      <c r="H320" s="35">
        <v>2016</v>
      </c>
      <c r="I320" s="35">
        <v>2015</v>
      </c>
      <c r="J320" s="35" t="s">
        <v>336</v>
      </c>
      <c r="K320" s="35" t="s">
        <v>231</v>
      </c>
    </row>
    <row r="321" spans="4:11">
      <c r="D321" s="255" t="s">
        <v>18</v>
      </c>
      <c r="E321" s="276" t="s">
        <v>278</v>
      </c>
      <c r="F321" s="62">
        <v>28</v>
      </c>
      <c r="G321" s="63" t="s">
        <v>279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55"/>
      <c r="E322" s="277"/>
      <c r="F322" s="59">
        <v>29</v>
      </c>
      <c r="G322" s="44" t="s">
        <v>280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55"/>
      <c r="E323" s="278" t="s">
        <v>281</v>
      </c>
      <c r="F323" s="54">
        <v>30</v>
      </c>
      <c r="G323" s="55" t="s">
        <v>282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56"/>
      <c r="E324" s="279"/>
      <c r="F324" s="57">
        <v>31</v>
      </c>
      <c r="G324" s="50" t="s">
        <v>283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80" t="s">
        <v>19</v>
      </c>
      <c r="E325" s="280"/>
      <c r="F325" s="59">
        <v>32</v>
      </c>
      <c r="G325" s="44" t="s">
        <v>284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81"/>
      <c r="E326" s="281"/>
      <c r="F326" s="59">
        <v>33</v>
      </c>
      <c r="G326" s="44" t="s">
        <v>285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82"/>
      <c r="E327" s="282"/>
      <c r="F327" s="57">
        <v>34</v>
      </c>
      <c r="G327" s="50" t="s">
        <v>286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54" t="s">
        <v>20</v>
      </c>
      <c r="E328" s="278" t="s">
        <v>287</v>
      </c>
      <c r="F328" s="54">
        <v>35</v>
      </c>
      <c r="G328" s="55" t="s">
        <v>288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55"/>
      <c r="E329" s="277"/>
      <c r="F329" s="59">
        <v>36</v>
      </c>
      <c r="G329" s="44" t="s">
        <v>289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55"/>
      <c r="E330" s="277"/>
      <c r="F330" s="59">
        <v>37</v>
      </c>
      <c r="G330" s="44" t="s">
        <v>290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55"/>
      <c r="E331" s="277"/>
      <c r="F331" s="59">
        <v>38</v>
      </c>
      <c r="G331" s="50" t="s">
        <v>291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56"/>
      <c r="E332" s="64" t="s">
        <v>292</v>
      </c>
      <c r="F332" s="65">
        <v>39</v>
      </c>
      <c r="G332" s="50" t="s">
        <v>293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233</v>
      </c>
      <c r="E347" s="34"/>
      <c r="F347" s="34" t="s">
        <v>234</v>
      </c>
      <c r="G347" s="34" t="s">
        <v>235</v>
      </c>
      <c r="H347" s="35">
        <v>2016</v>
      </c>
      <c r="I347" s="35">
        <v>2015</v>
      </c>
      <c r="J347" s="35" t="s">
        <v>336</v>
      </c>
      <c r="K347" s="35" t="s">
        <v>231</v>
      </c>
    </row>
    <row r="348" spans="1:11">
      <c r="D348" s="283" t="s">
        <v>21</v>
      </c>
      <c r="E348" s="284"/>
      <c r="F348" s="67">
        <v>40</v>
      </c>
      <c r="G348" s="55" t="s">
        <v>295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85"/>
      <c r="E349" s="286"/>
      <c r="F349" s="49">
        <v>41</v>
      </c>
      <c r="G349" s="50" t="s">
        <v>296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83" t="s">
        <v>22</v>
      </c>
      <c r="E350" s="284"/>
      <c r="F350" s="67">
        <v>42</v>
      </c>
      <c r="G350" s="55" t="s">
        <v>297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85"/>
      <c r="E351" s="286"/>
      <c r="F351" s="49">
        <v>43</v>
      </c>
      <c r="G351" s="50" t="s">
        <v>298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83" t="s">
        <v>23</v>
      </c>
      <c r="E352" s="284"/>
      <c r="F352" s="67">
        <v>44</v>
      </c>
      <c r="G352" s="55" t="s">
        <v>299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88"/>
      <c r="E353" s="289"/>
      <c r="F353" s="43">
        <v>45</v>
      </c>
      <c r="G353" s="44" t="s">
        <v>300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88"/>
      <c r="E354" s="289"/>
      <c r="F354" s="43">
        <v>46</v>
      </c>
      <c r="G354" s="44" t="s">
        <v>301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85"/>
      <c r="E355" s="286"/>
      <c r="F355" s="49">
        <v>47</v>
      </c>
      <c r="G355" s="50" t="s">
        <v>302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233</v>
      </c>
      <c r="E373" s="34"/>
      <c r="F373" s="34" t="s">
        <v>234</v>
      </c>
      <c r="G373" s="34" t="s">
        <v>235</v>
      </c>
      <c r="H373" s="35">
        <v>2016</v>
      </c>
      <c r="I373" s="35">
        <v>2015</v>
      </c>
      <c r="J373" s="35" t="s">
        <v>336</v>
      </c>
      <c r="K373" s="35" t="s">
        <v>231</v>
      </c>
    </row>
    <row r="374" spans="1:11">
      <c r="D374" s="290" t="s">
        <v>24</v>
      </c>
      <c r="E374" s="290"/>
      <c r="F374" s="68">
        <v>48</v>
      </c>
      <c r="G374" s="69" t="s">
        <v>304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90"/>
      <c r="E375" s="290"/>
      <c r="F375" s="68">
        <v>49</v>
      </c>
      <c r="G375" s="69" t="s">
        <v>305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91"/>
      <c r="E376" s="291"/>
      <c r="F376" s="70">
        <v>50</v>
      </c>
      <c r="G376" s="71" t="s">
        <v>306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57" t="s">
        <v>25</v>
      </c>
      <c r="E377" s="295" t="s">
        <v>307</v>
      </c>
      <c r="F377" s="72">
        <v>51</v>
      </c>
      <c r="G377" s="73" t="s">
        <v>308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58"/>
      <c r="E378" s="296"/>
      <c r="F378" s="70">
        <v>52</v>
      </c>
      <c r="G378" s="71" t="s">
        <v>309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58"/>
      <c r="E379" s="295" t="s">
        <v>310</v>
      </c>
      <c r="F379" s="72">
        <v>53</v>
      </c>
      <c r="G379" s="73" t="s">
        <v>311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59"/>
      <c r="E380" s="297"/>
      <c r="F380" s="68">
        <v>54</v>
      </c>
      <c r="G380" s="69" t="s">
        <v>312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298" t="s">
        <v>26</v>
      </c>
      <c r="E381" s="298"/>
      <c r="F381" s="72">
        <v>55</v>
      </c>
      <c r="G381" s="73" t="s">
        <v>313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90"/>
      <c r="E382" s="290"/>
      <c r="F382" s="68">
        <v>56</v>
      </c>
      <c r="G382" s="69" t="s">
        <v>314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91"/>
      <c r="E383" s="291"/>
      <c r="F383" s="70">
        <v>57</v>
      </c>
      <c r="G383" s="71" t="s">
        <v>315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29" t="s">
        <v>179</v>
      </c>
      <c r="N400" s="329"/>
      <c r="O400" s="330" t="s">
        <v>230</v>
      </c>
      <c r="P400" s="331">
        <v>2016</v>
      </c>
      <c r="Q400" s="331">
        <v>2015</v>
      </c>
      <c r="R400" s="331" t="s">
        <v>336</v>
      </c>
      <c r="S400" s="331" t="s">
        <v>231</v>
      </c>
      <c r="T400" s="331" t="s">
        <v>232</v>
      </c>
      <c r="U400" s="331" t="s">
        <v>337</v>
      </c>
    </row>
    <row r="401" spans="1:21" ht="20.100000000000001" customHeight="1">
      <c r="A401" t="s">
        <v>100</v>
      </c>
      <c r="M401" s="342" t="s">
        <v>34</v>
      </c>
      <c r="N401" s="339">
        <v>86</v>
      </c>
      <c r="O401" s="336" t="s">
        <v>12</v>
      </c>
      <c r="P401" s="321">
        <v>87</v>
      </c>
      <c r="Q401" s="321">
        <v>84</v>
      </c>
      <c r="R401" s="321">
        <v>89</v>
      </c>
      <c r="S401" s="321">
        <v>78</v>
      </c>
      <c r="T401" s="321">
        <v>-2</v>
      </c>
      <c r="U401" s="321">
        <v>9</v>
      </c>
    </row>
    <row r="402" spans="1:21" ht="20.100000000000001" customHeight="1">
      <c r="M402" s="343"/>
      <c r="N402" s="340"/>
      <c r="O402" s="337" t="s">
        <v>13</v>
      </c>
      <c r="P402" s="322">
        <v>86</v>
      </c>
      <c r="Q402" s="322">
        <v>82</v>
      </c>
      <c r="R402" s="322">
        <v>89</v>
      </c>
      <c r="S402" s="322">
        <v>80</v>
      </c>
      <c r="T402" s="322">
        <v>-3</v>
      </c>
      <c r="U402" s="322">
        <v>6</v>
      </c>
    </row>
    <row r="403" spans="1:21" ht="20.100000000000001" customHeight="1" thickBot="1">
      <c r="M403" s="344"/>
      <c r="N403" s="341"/>
      <c r="O403" s="338" t="s">
        <v>14</v>
      </c>
      <c r="P403" s="323">
        <v>86</v>
      </c>
      <c r="Q403" s="323">
        <v>82</v>
      </c>
      <c r="R403" s="323">
        <v>90</v>
      </c>
      <c r="S403" s="323">
        <v>79</v>
      </c>
      <c r="T403" s="323">
        <v>-4</v>
      </c>
      <c r="U403" s="323">
        <v>7</v>
      </c>
    </row>
    <row r="404" spans="1:21" ht="20.100000000000001" customHeight="1">
      <c r="M404" s="351" t="s">
        <v>41</v>
      </c>
      <c r="N404" s="348">
        <v>82</v>
      </c>
      <c r="O404" s="345" t="s">
        <v>15</v>
      </c>
      <c r="P404" s="332">
        <v>82</v>
      </c>
      <c r="Q404" s="332">
        <v>79</v>
      </c>
      <c r="R404" s="332">
        <v>89</v>
      </c>
      <c r="S404" s="332">
        <v>77</v>
      </c>
      <c r="T404" s="332">
        <v>-7</v>
      </c>
      <c r="U404" s="332">
        <v>5</v>
      </c>
    </row>
    <row r="405" spans="1:21" ht="20.100000000000001" customHeight="1">
      <c r="M405" s="352"/>
      <c r="N405" s="349"/>
      <c r="O405" s="346" t="s">
        <v>16</v>
      </c>
      <c r="P405" s="333">
        <v>81</v>
      </c>
      <c r="Q405" s="333">
        <v>77</v>
      </c>
      <c r="R405" s="333">
        <v>87</v>
      </c>
      <c r="S405" s="333">
        <v>73</v>
      </c>
      <c r="T405" s="333">
        <v>-6</v>
      </c>
      <c r="U405" s="333">
        <v>8</v>
      </c>
    </row>
    <row r="406" spans="1:21" ht="20.100000000000001" customHeight="1" thickBot="1">
      <c r="M406" s="353"/>
      <c r="N406" s="350"/>
      <c r="O406" s="347" t="s">
        <v>17</v>
      </c>
      <c r="P406" s="334">
        <v>81</v>
      </c>
      <c r="Q406" s="334">
        <v>77</v>
      </c>
      <c r="R406" s="334">
        <v>89</v>
      </c>
      <c r="S406" s="334">
        <v>78</v>
      </c>
      <c r="T406" s="334">
        <v>-8</v>
      </c>
      <c r="U406" s="334">
        <v>3</v>
      </c>
    </row>
    <row r="407" spans="1:21" ht="20.100000000000001" customHeight="1">
      <c r="M407" s="360" t="s">
        <v>48</v>
      </c>
      <c r="N407" s="357">
        <v>78</v>
      </c>
      <c r="O407" s="354" t="s">
        <v>18</v>
      </c>
      <c r="P407" s="321">
        <v>69</v>
      </c>
      <c r="Q407" s="321">
        <v>63</v>
      </c>
      <c r="R407" s="321">
        <v>77</v>
      </c>
      <c r="S407" s="321">
        <v>65</v>
      </c>
      <c r="T407" s="321">
        <v>-8</v>
      </c>
      <c r="U407" s="321">
        <v>4</v>
      </c>
    </row>
    <row r="408" spans="1:21" ht="20.100000000000001" customHeight="1">
      <c r="M408" s="361"/>
      <c r="N408" s="358"/>
      <c r="O408" s="355" t="s">
        <v>19</v>
      </c>
      <c r="P408" s="324">
        <v>68</v>
      </c>
      <c r="Q408" s="324">
        <v>62</v>
      </c>
      <c r="R408" s="324">
        <v>78</v>
      </c>
      <c r="S408" s="324">
        <v>64</v>
      </c>
      <c r="T408" s="324">
        <v>-10</v>
      </c>
      <c r="U408" s="324">
        <v>4</v>
      </c>
    </row>
    <row r="409" spans="1:21" ht="20.100000000000001" customHeight="1" thickBot="1">
      <c r="M409" s="362"/>
      <c r="N409" s="359"/>
      <c r="O409" s="356" t="s">
        <v>20</v>
      </c>
      <c r="P409" s="325">
        <v>91</v>
      </c>
      <c r="Q409" s="325">
        <v>89</v>
      </c>
      <c r="R409" s="325">
        <v>96</v>
      </c>
      <c r="S409" s="325">
        <v>91</v>
      </c>
      <c r="T409" s="325">
        <v>-5</v>
      </c>
      <c r="U409" s="325">
        <v>0</v>
      </c>
    </row>
    <row r="410" spans="1:21" ht="20.100000000000001" customHeight="1">
      <c r="M410" s="368" t="s">
        <v>55</v>
      </c>
      <c r="N410" s="365">
        <v>83</v>
      </c>
      <c r="O410" s="363" t="s">
        <v>21</v>
      </c>
      <c r="P410" s="332">
        <v>81</v>
      </c>
      <c r="Q410" s="332">
        <v>76</v>
      </c>
      <c r="R410" s="332">
        <v>88</v>
      </c>
      <c r="S410" s="332">
        <v>77</v>
      </c>
      <c r="T410" s="332">
        <v>-7</v>
      </c>
      <c r="U410" s="332">
        <v>4</v>
      </c>
    </row>
    <row r="411" spans="1:21" ht="20.100000000000001" customHeight="1">
      <c r="M411" s="369"/>
      <c r="N411" s="366"/>
      <c r="O411" s="364" t="s">
        <v>22</v>
      </c>
      <c r="P411" s="335">
        <v>84</v>
      </c>
      <c r="Q411" s="335">
        <v>79</v>
      </c>
      <c r="R411" s="335">
        <v>91</v>
      </c>
      <c r="S411" s="335">
        <v>80</v>
      </c>
      <c r="T411" s="335">
        <v>-7</v>
      </c>
      <c r="U411" s="335">
        <v>4</v>
      </c>
    </row>
    <row r="412" spans="1:21" ht="20.100000000000001" customHeight="1" thickBot="1">
      <c r="M412" s="370"/>
      <c r="N412" s="367"/>
      <c r="O412" s="364" t="s">
        <v>23</v>
      </c>
      <c r="P412" s="335">
        <v>84</v>
      </c>
      <c r="Q412" s="335">
        <v>79</v>
      </c>
      <c r="R412" s="335">
        <v>91</v>
      </c>
      <c r="S412" s="335">
        <v>82</v>
      </c>
      <c r="T412" s="335">
        <v>-7</v>
      </c>
      <c r="U412" s="335">
        <v>2</v>
      </c>
    </row>
    <row r="413" spans="1:21" ht="20.100000000000001" customHeight="1">
      <c r="M413" s="377" t="s">
        <v>192</v>
      </c>
      <c r="N413" s="374">
        <v>86</v>
      </c>
      <c r="O413" s="371" t="s">
        <v>24</v>
      </c>
      <c r="P413" s="326">
        <v>87</v>
      </c>
      <c r="Q413" s="326">
        <v>83</v>
      </c>
      <c r="R413" s="326">
        <v>93</v>
      </c>
      <c r="S413" s="326">
        <v>84</v>
      </c>
      <c r="T413" s="326">
        <v>-6</v>
      </c>
      <c r="U413" s="326">
        <v>3</v>
      </c>
    </row>
    <row r="414" spans="1:21" ht="20.100000000000001" customHeight="1">
      <c r="M414" s="378"/>
      <c r="N414" s="375"/>
      <c r="O414" s="372" t="s">
        <v>25</v>
      </c>
      <c r="P414" s="327">
        <v>88</v>
      </c>
      <c r="Q414" s="327">
        <v>84</v>
      </c>
      <c r="R414" s="327">
        <v>94</v>
      </c>
      <c r="S414" s="327">
        <v>86</v>
      </c>
      <c r="T414" s="327">
        <v>-6</v>
      </c>
      <c r="U414" s="327">
        <v>2</v>
      </c>
    </row>
    <row r="415" spans="1:21" ht="20.100000000000001" customHeight="1" thickBot="1">
      <c r="M415" s="379"/>
      <c r="N415" s="376"/>
      <c r="O415" s="373" t="s">
        <v>26</v>
      </c>
      <c r="P415" s="328">
        <v>82</v>
      </c>
      <c r="Q415" s="328">
        <v>78</v>
      </c>
      <c r="R415" s="328">
        <v>90</v>
      </c>
      <c r="S415" s="328">
        <v>78</v>
      </c>
      <c r="T415" s="328">
        <v>-8</v>
      </c>
      <c r="U415" s="328">
        <v>4</v>
      </c>
    </row>
    <row r="442" spans="1:9">
      <c r="A442" t="s">
        <v>508</v>
      </c>
      <c r="F442" s="68">
        <v>59</v>
      </c>
      <c r="G442" s="69" t="s">
        <v>354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355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356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357</v>
      </c>
      <c r="H445" s="60">
        <v>92.57</v>
      </c>
      <c r="I445" s="60">
        <v>89.81</v>
      </c>
    </row>
    <row r="446" spans="1:9">
      <c r="F446" s="68">
        <v>63</v>
      </c>
      <c r="G446" s="69" t="s">
        <v>358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359</v>
      </c>
      <c r="H447" s="60">
        <v>85.46</v>
      </c>
      <c r="I447" s="60" t="s">
        <v>201</v>
      </c>
    </row>
    <row r="448" spans="1:9" ht="29.25" thickBot="1">
      <c r="F448" s="70">
        <v>65</v>
      </c>
      <c r="G448" s="71" t="s">
        <v>360</v>
      </c>
      <c r="H448" s="58">
        <v>80.86</v>
      </c>
      <c r="I448" s="60" t="s">
        <v>201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289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290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291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257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283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269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242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249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244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251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280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284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279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270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286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282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285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274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246</v>
      </c>
      <c r="H503" s="92">
        <v>76.25</v>
      </c>
      <c r="I503" s="93">
        <v>-6.6599999999999966</v>
      </c>
    </row>
    <row r="504" spans="3:9">
      <c r="C504" s="130" t="s">
        <v>361</v>
      </c>
      <c r="D504" s="90"/>
      <c r="E504" s="90" t="s">
        <v>361</v>
      </c>
      <c r="F504" s="91" t="s">
        <v>361</v>
      </c>
      <c r="G504" s="91" t="s">
        <v>361</v>
      </c>
      <c r="H504" s="92" t="s">
        <v>361</v>
      </c>
      <c r="I504" s="93" t="s">
        <v>361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2017-07-31T04:33:39Z</dcterms:modified>
</cp:coreProperties>
</file>