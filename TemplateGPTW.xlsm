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544" r:id="rId7"/>
    <sheet name="Graficos Indicadores" sheetId="597" r:id="rId8"/>
  </sheets>
  <functionGroups builtInGroupCount="18"/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D60" i="3"/>
  <c r="C60" i="3"/>
  <c r="G60" i="3" s="1"/>
  <c r="Q59" i="3"/>
  <c r="Q58" i="3"/>
  <c r="Q57" i="3"/>
  <c r="Q56" i="3"/>
  <c r="F56" i="3"/>
  <c r="H56" i="3" s="1"/>
  <c r="E56" i="3"/>
  <c r="D56" i="3"/>
  <c r="C56" i="3"/>
  <c r="G56" i="3" s="1"/>
  <c r="Q55" i="3"/>
  <c r="Q54" i="3"/>
  <c r="Q53" i="3"/>
  <c r="F53" i="3"/>
  <c r="E53" i="3"/>
  <c r="D53" i="3"/>
  <c r="C53" i="3"/>
  <c r="H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H31" i="3" s="1"/>
  <c r="Q29" i="3"/>
  <c r="Q28" i="3"/>
  <c r="Q27" i="3"/>
  <c r="Q26" i="3"/>
  <c r="Q25" i="3"/>
  <c r="Q24" i="3"/>
  <c r="Q23" i="3"/>
  <c r="F23" i="3"/>
  <c r="H23" i="3" s="1"/>
  <c r="E23" i="3"/>
  <c r="D23" i="3"/>
  <c r="C23" i="3"/>
  <c r="G23" i="3" s="1"/>
  <c r="Q22" i="3"/>
  <c r="Q21" i="3"/>
  <c r="F21" i="3"/>
  <c r="H21" i="3" s="1"/>
  <c r="E21" i="3"/>
  <c r="D21" i="3"/>
  <c r="C21" i="3"/>
  <c r="G21" i="3" s="1"/>
  <c r="Q20" i="3"/>
  <c r="Q19" i="3"/>
  <c r="Q18" i="3"/>
  <c r="Q17" i="3"/>
  <c r="F17" i="3"/>
  <c r="H17" i="3" s="1"/>
  <c r="E17" i="3"/>
  <c r="D17" i="3"/>
  <c r="C17" i="3"/>
  <c r="G17" i="3" s="1"/>
  <c r="Q15" i="3"/>
  <c r="Q14" i="3"/>
  <c r="Q13" i="3"/>
  <c r="Q12" i="3"/>
  <c r="F12" i="3"/>
  <c r="H12" i="3" s="1"/>
  <c r="E12" i="3"/>
  <c r="D12" i="3"/>
  <c r="C12" i="3"/>
  <c r="G12" i="3" s="1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F2" i="3"/>
  <c r="H2" i="3" s="1"/>
  <c r="E2" i="3"/>
  <c r="D2" i="3"/>
  <c r="C2" i="3"/>
  <c r="G2" i="3" s="1"/>
  <c r="G31" i="3" l="1"/>
  <c r="G35" i="3"/>
  <c r="G44" i="3"/>
  <c r="G46" i="3"/>
  <c r="G48" i="3"/>
  <c r="G53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<sst xmlns="http://schemas.openxmlformats.org/spreadsheetml/2006/main" count="1174" uniqueCount="470">
  <si>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</si>
  <si>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</si>
  <si>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</si>
  <si>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</si>
  <si>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</si>
  <si>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</si>
  <si>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</si>
  <si>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</si>
  <si>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</si>
  <si>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</si>
  <si>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</si>
  <si>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</si>
  <si>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</si>
  <si>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</si>
  <si>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</si>
  <si>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</si>
  <si>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</si>
  <si>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</si>
  <si>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</si>
  <si>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</si>
  <si>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</si>
  <si>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</si>
  <si>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</si>
  <si>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</si>
  <si>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</si>
  <si>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</si>
  <si>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</si>
  <si>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</si>
  <si>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</si>
  <si>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</si>
  <si>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</si>
  <si>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</si>
  <si>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</si>
  <si>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</si>
  <si>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</si>
  <si>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</si>
  <si>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</si>
  <si>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</si>
  <si>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</si>
  <si>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</si>
  <si>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</si>
  <si>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</si>
  <si>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</si>
  <si>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</si>
  <si>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</si>
  <si>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</si>
  <si>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</si>
  <si>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</si>
  <si>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</si>
  <si>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</si>
  <si>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</si>
  <si>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</si>
  <si>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</si>
  <si>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</si>
  <si>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</si>
  <si>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</si>
  <si>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</si>
  <si>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</si>
  <si>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</si>
  <si>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</si>
  <si>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</si>
  <si>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</si>
  <si>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</si>
  <si>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</si>
  <si>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</si>
  <si>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</si>
  <si>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</si>
  <si>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</si>
  <si>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</si>
  <si>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</si>
  <si>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</si>
  <si>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</si>
  <si>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</si>
  <si>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</si>
  <si>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</si>
  <si>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</si>
  <si>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</si>
  <si>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</si>
  <si>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</si>
  <si>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</si>
  <si>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</si>
  <si>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</si>
  <si>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</si>
  <si>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</si>
  <si>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</si>
  <si>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</si>
  <si>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</si>
  <si>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</si>
  <si>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</si>
  <si>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</si>
  <si>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</si>
  <si>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</si>
  <si>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</si>
  <si>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</si>
  <si>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</si>
  <si>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</si>
  <si>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</si>
  <si>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</si>
  <si>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</si>
  <si>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</si>
  <si>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</si>
  <si>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</si>
  <si>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</si>
  <si>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</si>
  <si>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</si>
  <si>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</si>
  <si>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</si>
  <si>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</si>
  <si>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</si>
  <si>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</si>
  <si>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</si>
  <si>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</si>
  <si>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</si>
  <si>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</si>
  <si>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</si>
  <si>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</si>
  <si>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</si>
  <si>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</si>
  <si>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</si>
  <si>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</si>
  <si>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</si>
  <si>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</si>
  <si>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</si>
  <si>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</si>
  <si>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</si>
  <si>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</si>
  <si>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</si>
  <si>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</si>
  <si>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</si>
  <si>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</si>
  <si>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</si>
  <si>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</si>
  <si>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</si>
  <si>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</si>
  <si>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</si>
  <si>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</si>
  <si>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</si>
  <si>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</si>
  <si>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</si>
  <si>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</si>
  <si>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</si>
  <si>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</si>
  <si>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</si>
  <si>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</si>
  <si>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</si>
  <si>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</si>
  <si>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</si>
  <si>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</si>
  <si>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</si>
  <si>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</si>
  <si>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</si>
  <si>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</si>
  <si>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</si>
  <si>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</si>
  <si>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</si>
  <si>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</si>
  <si>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</si>
  <si>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</si>
  <si>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</si>
  <si>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</si>
  <si>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</si>
  <si>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</si>
  <si>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</si>
  <si>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</si>
  <si>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</si>
  <si>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</si>
  <si>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</si>
  <si>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</si>
  <si>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</si>
  <si>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</si>
  <si>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</si>
  <si>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</si>
  <si>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</si>
  <si>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</si>
  <si>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</si>
  <si>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</si>
  <si>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</si>
  <si>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</si>
  <si>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</si>
  <si>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</si>
  <si>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</si>
  <si>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</si>
  <si>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</si>
  <si>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</si>
  <si>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</si>
  <si>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</si>
  <si>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</si>
  <si>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</si>
  <si>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</si>
  <si>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</si>
  <si>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</si>
  <si>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</si>
  <si>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</si>
  <si>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</si>
  <si>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</si>
  <si>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</si>
  <si>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</si>
  <si>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</si>
  <si>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</si>
  <si>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</si>
  <si>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</si>
  <si>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</si>
  <si>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</si>
  <si>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</si>
  <si>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</si>
  <si>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</si>
  <si>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</si>
  <si>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</si>
  <si>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</si>
  <si>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</si>
  <si>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</si>
  <si>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</si>
  <si>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</si>
  <si>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</si>
  <si>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</si>
  <si>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</si>
  <si>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</si>
  <si>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</si>
  <si>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</si>
  <si>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</si>
  <si>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</si>
  <si>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</si>
  <si>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</si>
  <si>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</si>
  <si>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</si>
  <si>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</si>
  <si>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</si>
  <si>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</si>
  <si>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</si>
  <si>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</si>
  <si>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</si>
  <si>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</si>
  <si>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</si>
  <si>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</si>
  <si>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</si>
  <si>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</si>
  <si>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</si>
  <si>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</si>
  <si>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</si>
  <si>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</si>
  <si>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</si>
  <si>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</si>
  <si>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</si>
  <si>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</si>
  <si>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</si>
  <si>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</si>
  <si>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</si>
  <si>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</si>
  <si>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</si>
  <si>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</si>
  <si>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</si>
  <si>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</si>
  <si>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</si>
  <si>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</si>
  <si>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</si>
  <si>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</si>
  <si>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</si>
  <si>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</si>
  <si>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</si>
  <si>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</si>
  <si>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</si>
  <si>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</si>
  <si>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</si>
  <si>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</si>
  <si>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</si>
  <si>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</si>
  <si>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</si>
  <si>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</si>
  <si>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</si>
  <si>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</si>
  <si>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</si>
  <si>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</si>
  <si>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</si>
  <si>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</si>
  <si>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</si>
  <si>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</si>
  <si>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</si>
  <si>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</si>
  <si>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</si>
  <si>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</si>
  <si>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</si>
  <si>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</si>
  <si>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</si>
  <si>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</si>
  <si>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</si>
  <si>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</si>
  <si>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</si>
  <si>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</si>
  <si>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</si>
  <si>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</si>
  <si>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</si>
  <si>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</si>
  <si>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</si>
  <si>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</si>
  <si>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</si>
  <si>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</si>
  <si>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</si>
  <si>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</si>
  <si>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</si>
  <si>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</si>
  <si>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</si>
  <si>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</si>
  <si>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</si>
  <si>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</si>
  <si>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</si>
  <si>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</si>
  <si>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</si>
  <si>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</si>
  <si>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</si>
  <si>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</si>
  <si>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</si>
  <si>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</si>
  <si>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</si>
  <si>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</si>
  <si>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</si>
  <si>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</si>
  <si>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</si>
  <si>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</si>
  <si>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</si>
  <si>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</si>
  <si>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</si>
  <si>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</si>
  <si>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</si>
  <si>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</si>
  <si>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</si>
  <si>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</si>
  <si>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</si>
  <si>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</si>
  <si>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#Mejores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</si>
  <si>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</si>
  <si>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</si>
  <si>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</si>
  <si>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</si>
  <si>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</si>
  <si>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</si>
  <si>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</si>
  <si>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</si>
  <si>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</si>
  <si>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</si>
  <si>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</si>
  <si>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</si>
  <si>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</si>
  <si>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</si>
  <si>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</si>
  <si>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</si>
  <si>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</si>
  <si>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</si>
  <si>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</si>
  <si>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</si>
  <si>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</si>
  <si>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</si>
  <si>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</si>
  <si>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</si>
  <si>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</si>
  <si>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</si>
  <si>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</si>
  <si>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</si>
  <si>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</si>
  <si>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</si>
  <si>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</si>
  <si>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</si>
  <si>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</si>
  <si>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</si>
  <si>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</si>
  <si>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</si>
  <si>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</si>
  <si>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J64</t>
  </si>
  <si>
    <t>Q70</t>
  </si>
  <si>
    <t>P75</t>
  </si>
  <si>
    <t>P82</t>
  </si>
  <si>
    <t>Sentencias Adicionales</t>
  </si>
  <si>
    <t>Evolucion Año Anterior</t>
  </si>
  <si>
    <t>Fortalezas</t>
  </si>
  <si>
    <t>Oportunidades de Mejora</t>
  </si>
  <si>
    <t>H85</t>
  </si>
  <si>
    <t>N95</t>
  </si>
  <si>
    <t>H97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</si>
  <si>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</si>
  <si>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</si>
  <si>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</si>
  <si>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</si>
  <si>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</si>
  <si>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</si>
  <si>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</si>
  <si>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</si>
  <si>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</si>
  <si>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</si>
  <si>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</si>
  <si>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</si>
  <si>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</si>
  <si>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</si>
  <si>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</si>
  <si>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</si>
  <si>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</si>
  <si>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</si>
  <si>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</si>
  <si>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</si>
  <si>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</si>
  <si>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</si>
  <si>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</si>
  <si>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</si>
  <si>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</si>
  <si>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</si>
  <si>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</si>
  <si>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</si>
  <si>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</si>
  <si>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</si>
  <si>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</si>
  <si>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</si>
  <si>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</si>
  <si>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</si>
  <si>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</si>
  <si>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</si>
  <si>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</si>
  <si>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</si>
  <si>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</si>
  <si>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</si>
  <si>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T131</t>
  </si>
  <si>
    <t>Años - Indicadores Evolutivos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</si>
  <si>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</si>
  <si>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</si>
  <si>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</si>
  <si>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</si>
  <si>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</si>
  <si>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</si>
  <si>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</si>
  <si>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</si>
  <si>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</si>
  <si>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</si>
  <si>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</si>
  <si>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</si>
  <si>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</si>
  <si>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</si>
  <si>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</si>
  <si>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</si>
  <si>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</si>
  <si>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</si>
  <si>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</si>
  <si>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R117</t>
  </si>
  <si>
    <t>T128</t>
  </si>
  <si>
    <t>M117</t>
  </si>
  <si>
    <t>Q128</t>
  </si>
  <si>
    <t>CategoriasInicio</t>
  </si>
  <si>
    <t>CategoriasFin</t>
  </si>
  <si>
    <t>L128</t>
  </si>
  <si>
    <t>L117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</si>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</sst>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53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1" xfId="8" applyFont="1" applyFill="1" applyBorder="1" applyAlignment="1">
      <alignment horizontal="center" vertical="center" wrapText="1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9" xfId="8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0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1" fontId="25" fillId="17" borderId="28" xfId="8" applyNumberFormat="1" applyFont="1" applyFill="1" applyBorder="1" applyAlignment="1">
      <alignment horizontal="center" vertical="center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0" fontId="27" fillId="24" borderId="22" xfId="0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56" fillId="53" borderId="37" xfId="0" applyFont="1" applyFill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42" borderId="6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74"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684176"/>
        <c:axId val="1726847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84176"/>
        <c:axId val="172684736"/>
      </c:lineChart>
      <c:catAx>
        <c:axId val="172684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684736"/>
        <c:crosses val="autoZero"/>
        <c:auto val="1"/>
        <c:lblAlgn val="ctr"/>
        <c:lblOffset val="100"/>
        <c:noMultiLvlLbl val="0"/>
      </c:catAx>
      <c:valAx>
        <c:axId val="172684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68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817216"/>
        <c:axId val="1728177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17216"/>
        <c:axId val="172817776"/>
      </c:lineChart>
      <c:catAx>
        <c:axId val="172817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17776"/>
        <c:crosses val="autoZero"/>
        <c:auto val="1"/>
        <c:lblAlgn val="ctr"/>
        <c:lblOffset val="100"/>
        <c:noMultiLvlLbl val="0"/>
      </c:catAx>
      <c:valAx>
        <c:axId val="172817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81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823936"/>
        <c:axId val="1728244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823936"/>
        <c:axId val="172824496"/>
      </c:lineChart>
      <c:catAx>
        <c:axId val="172823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824496"/>
        <c:crosses val="autoZero"/>
        <c:auto val="1"/>
        <c:lblAlgn val="ctr"/>
        <c:lblOffset val="100"/>
        <c:noMultiLvlLbl val="0"/>
      </c:catAx>
      <c:valAx>
        <c:axId val="172824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8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692528"/>
        <c:axId val="1736930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692528"/>
        <c:axId val="173693088"/>
      </c:lineChart>
      <c:catAx>
        <c:axId val="1736925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693088"/>
        <c:crosses val="autoZero"/>
        <c:auto val="1"/>
        <c:lblAlgn val="ctr"/>
        <c:lblOffset val="100"/>
        <c:noMultiLvlLbl val="0"/>
      </c:catAx>
      <c:valAx>
        <c:axId val="17369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69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502704"/>
        <c:axId val="1735032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02704"/>
        <c:axId val="173503264"/>
      </c:lineChart>
      <c:catAx>
        <c:axId val="173502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503264"/>
        <c:crosses val="autoZero"/>
        <c:auto val="1"/>
        <c:lblAlgn val="ctr"/>
        <c:lblOffset val="100"/>
        <c:noMultiLvlLbl val="0"/>
      </c:catAx>
      <c:valAx>
        <c:axId val="173503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50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509424"/>
        <c:axId val="1738546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09424"/>
        <c:axId val="173854688"/>
      </c:lineChart>
      <c:catAx>
        <c:axId val="173509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854688"/>
        <c:crosses val="autoZero"/>
        <c:auto val="1"/>
        <c:lblAlgn val="ctr"/>
        <c:lblOffset val="100"/>
        <c:noMultiLvlLbl val="0"/>
      </c:catAx>
      <c:valAx>
        <c:axId val="173854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50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860848"/>
        <c:axId val="1738614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60848"/>
        <c:axId val="173861408"/>
      </c:lineChart>
      <c:catAx>
        <c:axId val="173860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861408"/>
        <c:crosses val="autoZero"/>
        <c:auto val="1"/>
        <c:lblAlgn val="ctr"/>
        <c:lblOffset val="100"/>
        <c:noMultiLvlLbl val="0"/>
      </c:catAx>
      <c:valAx>
        <c:axId val="173861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86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183040"/>
        <c:axId val="1741836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183040"/>
        <c:axId val="174183600"/>
      </c:lineChart>
      <c:catAx>
        <c:axId val="174183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183600"/>
        <c:crosses val="autoZero"/>
        <c:auto val="1"/>
        <c:lblAlgn val="ctr"/>
        <c:lblOffset val="100"/>
        <c:noMultiLvlLbl val="0"/>
      </c:catAx>
      <c:valAx>
        <c:axId val="174183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1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509552"/>
        <c:axId val="1745101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09552"/>
        <c:axId val="174510112"/>
      </c:lineChart>
      <c:catAx>
        <c:axId val="174509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510112"/>
        <c:crosses val="autoZero"/>
        <c:auto val="1"/>
        <c:lblAlgn val="ctr"/>
        <c:lblOffset val="100"/>
        <c:noMultiLvlLbl val="0"/>
      </c:catAx>
      <c:valAx>
        <c:axId val="174510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50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516272"/>
        <c:axId val="1745168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516272"/>
        <c:axId val="174516832"/>
      </c:lineChart>
      <c:catAx>
        <c:axId val="174516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516832"/>
        <c:crosses val="autoZero"/>
        <c:auto val="1"/>
        <c:lblAlgn val="ctr"/>
        <c:lblOffset val="100"/>
        <c:noMultiLvlLbl val="0"/>
      </c:catAx>
      <c:valAx>
        <c:axId val="174516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51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675280"/>
        <c:axId val="2916786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675280"/>
        <c:axId val="291678640"/>
      </c:lineChart>
      <c:catAx>
        <c:axId val="29167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78640"/>
        <c:crosses val="autoZero"/>
        <c:auto val="1"/>
        <c:lblAlgn val="ctr"/>
        <c:lblOffset val="100"/>
        <c:noMultiLvlLbl val="0"/>
      </c:catAx>
      <c:valAx>
        <c:axId val="2916786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167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0477376"/>
        <c:axId val="290477936"/>
      </c:lineChart>
      <c:catAx>
        <c:axId val="29047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0477936"/>
        <c:crosses val="autoZero"/>
        <c:auto val="1"/>
        <c:lblAlgn val="ctr"/>
        <c:lblOffset val="100"/>
        <c:noMultiLvlLbl val="0"/>
      </c:catAx>
      <c:valAx>
        <c:axId val="29047793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9047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8146592"/>
        <c:axId val="2181516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146592"/>
        <c:axId val="218151632"/>
      </c:lineChart>
      <c:catAx>
        <c:axId val="218146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8151632"/>
        <c:crosses val="autoZero"/>
        <c:auto val="1"/>
        <c:lblAlgn val="ctr"/>
        <c:lblOffset val="100"/>
        <c:noMultiLvlLbl val="0"/>
      </c:catAx>
      <c:valAx>
        <c:axId val="218151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814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6969184"/>
        <c:axId val="286965264"/>
      </c:lineChart>
      <c:catAx>
        <c:axId val="28696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6965264"/>
        <c:crosses val="autoZero"/>
        <c:auto val="1"/>
        <c:lblAlgn val="ctr"/>
        <c:lblOffset val="100"/>
        <c:noMultiLvlLbl val="0"/>
      </c:catAx>
      <c:valAx>
        <c:axId val="28696526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8696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6970304"/>
        <c:axId val="2240344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970304"/>
        <c:axId val="224034464"/>
      </c:lineChart>
      <c:catAx>
        <c:axId val="286970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034464"/>
        <c:crosses val="autoZero"/>
        <c:auto val="1"/>
        <c:lblAlgn val="ctr"/>
        <c:lblOffset val="100"/>
        <c:noMultiLvlLbl val="0"/>
      </c:catAx>
      <c:valAx>
        <c:axId val="224034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697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4040064"/>
        <c:axId val="2240383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040064"/>
        <c:axId val="224038384"/>
      </c:lineChart>
      <c:catAx>
        <c:axId val="22404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038384"/>
        <c:crosses val="autoZero"/>
        <c:auto val="1"/>
        <c:lblAlgn val="ctr"/>
        <c:lblOffset val="100"/>
        <c:noMultiLvlLbl val="0"/>
      </c:catAx>
      <c:valAx>
        <c:axId val="224038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04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0488336"/>
        <c:axId val="2904950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488336"/>
        <c:axId val="290495056"/>
      </c:lineChart>
      <c:catAx>
        <c:axId val="29048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495056"/>
        <c:crosses val="autoZero"/>
        <c:auto val="1"/>
        <c:lblAlgn val="ctr"/>
        <c:lblOffset val="100"/>
        <c:noMultiLvlLbl val="0"/>
      </c:catAx>
      <c:valAx>
        <c:axId val="290495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048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5633296"/>
        <c:axId val="2256338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33296"/>
        <c:axId val="225633856"/>
      </c:lineChart>
      <c:catAx>
        <c:axId val="225633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5633856"/>
        <c:crosses val="autoZero"/>
        <c:auto val="1"/>
        <c:lblAlgn val="ctr"/>
        <c:lblOffset val="100"/>
        <c:noMultiLvlLbl val="0"/>
      </c:catAx>
      <c:valAx>
        <c:axId val="225633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563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799920"/>
        <c:axId val="2172789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799920"/>
        <c:axId val="217278976"/>
      </c:lineChart>
      <c:catAx>
        <c:axId val="291799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78976"/>
        <c:crosses val="autoZero"/>
        <c:auto val="1"/>
        <c:lblAlgn val="ctr"/>
        <c:lblOffset val="100"/>
        <c:noMultiLvlLbl val="0"/>
      </c:catAx>
      <c:valAx>
        <c:axId val="217278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79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91671920"/>
        <c:axId val="2916730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671920"/>
        <c:axId val="291673040"/>
      </c:lineChart>
      <c:catAx>
        <c:axId val="291671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673040"/>
        <c:crosses val="autoZero"/>
        <c:auto val="1"/>
        <c:lblAlgn val="ctr"/>
        <c:lblOffset val="100"/>
        <c:noMultiLvlLbl val="0"/>
      </c:catAx>
      <c:valAx>
        <c:axId val="29167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6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47221456"/>
        <c:axId val="2172812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221456"/>
        <c:axId val="217281216"/>
      </c:lineChart>
      <c:catAx>
        <c:axId val="447221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7281216"/>
        <c:crosses val="autoZero"/>
        <c:auto val="1"/>
        <c:lblAlgn val="ctr"/>
        <c:lblOffset val="100"/>
        <c:noMultiLvlLbl val="0"/>
      </c:catAx>
      <c:valAx>
        <c:axId val="21728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472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5632736"/>
        <c:axId val="2905540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32736"/>
        <c:axId val="290554000"/>
      </c:lineChart>
      <c:catAx>
        <c:axId val="225632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554000"/>
        <c:crosses val="autoZero"/>
        <c:auto val="1"/>
        <c:lblAlgn val="ctr"/>
        <c:lblOffset val="100"/>
        <c:noMultiLvlLbl val="0"/>
      </c:catAx>
      <c:valAx>
        <c:axId val="29055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56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53346880"/>
        <c:axId val="4533491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346880"/>
        <c:axId val="453349120"/>
      </c:lineChart>
      <c:catAx>
        <c:axId val="45334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453349120"/>
        <c:crosses val="autoZero"/>
        <c:auto val="1"/>
        <c:lblAlgn val="ctr"/>
        <c:lblOffset val="100"/>
        <c:noMultiLvlLbl val="0"/>
      </c:catAx>
      <c:valAx>
        <c:axId val="453349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334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8302576"/>
        <c:axId val="2883020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302576"/>
        <c:axId val="288302016"/>
      </c:lineChart>
      <c:catAx>
        <c:axId val="288302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8302016"/>
        <c:crosses val="autoZero"/>
        <c:auto val="1"/>
        <c:lblAlgn val="ctr"/>
        <c:lblOffset val="100"/>
        <c:noMultiLvlLbl val="0"/>
      </c:catAx>
      <c:valAx>
        <c:axId val="288302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83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72</xdr:row>
          <xdr:rowOff>180975</xdr:rowOff>
        </xdr:from>
        <xdr:to>
          <xdr:col>8</xdr:col>
          <xdr:colOff>0</xdr:colOff>
          <xdr:row>74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76</xdr:row>
          <xdr:rowOff>9525</xdr:rowOff>
        </xdr:from>
        <xdr:to>
          <xdr:col>8</xdr:col>
          <xdr:colOff>0</xdr:colOff>
          <xdr:row>78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L7" sqref="L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5" t="s">
        <v>6</v>
      </c>
      <c r="G2" s="195"/>
      <c r="H2" s="195"/>
      <c r="J2" s="195" t="s">
        <v>7</v>
      </c>
      <c r="K2" s="195"/>
      <c r="L2" s="195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417</v>
      </c>
      <c r="J6" s="6" t="s">
        <v>20</v>
      </c>
      <c r="K6" s="6" t="s">
        <v>8</v>
      </c>
      <c r="L6" s="6" t="s">
        <v>417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6" t="s">
        <v>231</v>
      </c>
      <c r="B1" s="216"/>
      <c r="C1" s="124"/>
      <c r="D1" s="205" t="s">
        <v>174</v>
      </c>
      <c r="E1" s="206"/>
      <c r="F1" s="206"/>
      <c r="G1" s="206"/>
      <c r="H1" s="206"/>
      <c r="I1" s="206"/>
      <c r="J1" s="206"/>
      <c r="K1" s="125"/>
      <c r="L1" s="205" t="s">
        <v>175</v>
      </c>
      <c r="M1" s="206"/>
      <c r="N1" s="206"/>
      <c r="O1" s="206"/>
      <c r="P1" s="207"/>
      <c r="Q1" s="125"/>
      <c r="R1" s="205" t="s">
        <v>176</v>
      </c>
      <c r="S1" s="207"/>
      <c r="T1" s="125"/>
      <c r="U1" s="205" t="s">
        <v>253</v>
      </c>
      <c r="V1" s="206"/>
      <c r="W1" s="206"/>
      <c r="X1" s="206"/>
      <c r="Y1" s="207"/>
      <c r="Z1" s="125"/>
      <c r="AA1" s="205" t="s">
        <v>254</v>
      </c>
      <c r="AB1" s="206"/>
      <c r="AC1" s="206"/>
      <c r="AD1" s="206"/>
      <c r="AE1" s="206"/>
      <c r="AF1" s="206"/>
      <c r="AG1" s="206"/>
      <c r="AH1" s="206"/>
      <c r="AI1" s="206"/>
      <c r="AJ1" s="207"/>
      <c r="AK1" s="125"/>
      <c r="AL1" s="205" t="s">
        <v>255</v>
      </c>
      <c r="AM1" s="206"/>
      <c r="AN1" s="206"/>
      <c r="AO1" s="206"/>
      <c r="AP1" s="206"/>
      <c r="AQ1" s="207"/>
      <c r="AR1" s="125"/>
      <c r="AS1" s="205" t="s">
        <v>256</v>
      </c>
      <c r="AT1" s="206"/>
      <c r="AU1" s="206"/>
      <c r="AV1" s="206"/>
      <c r="AW1" s="206"/>
      <c r="AX1" s="206"/>
      <c r="AY1" s="206"/>
      <c r="AZ1" s="206"/>
      <c r="BA1" s="206"/>
      <c r="BB1" s="206"/>
      <c r="BC1" s="206"/>
      <c r="BD1" s="206"/>
      <c r="BE1" s="206"/>
      <c r="BF1" s="207"/>
      <c r="BG1" s="125"/>
      <c r="BH1" s="205" t="s">
        <v>257</v>
      </c>
      <c r="BI1" s="206"/>
      <c r="BJ1" s="206"/>
      <c r="BK1" s="207"/>
      <c r="BL1" s="125"/>
      <c r="BM1" s="205" t="s">
        <v>258</v>
      </c>
      <c r="BN1" s="206"/>
      <c r="BO1" s="206"/>
      <c r="BP1" s="206"/>
      <c r="BQ1" s="207"/>
      <c r="BR1" s="125"/>
      <c r="BS1" s="205" t="s">
        <v>259</v>
      </c>
      <c r="BT1" s="206"/>
      <c r="BU1" s="206"/>
      <c r="BV1" s="207"/>
    </row>
    <row r="2" spans="1:74" ht="273.75">
      <c r="A2" s="214" t="s">
        <v>260</v>
      </c>
      <c r="B2" s="214"/>
      <c r="C2" s="215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17" t="s">
        <v>12</v>
      </c>
      <c r="B7" s="218"/>
      <c r="C7" s="219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20" t="s">
        <v>13</v>
      </c>
      <c r="B8" s="221"/>
      <c r="C8" s="222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23" t="s">
        <v>14</v>
      </c>
      <c r="B9" s="224"/>
      <c r="C9" s="225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196" t="s">
        <v>15</v>
      </c>
      <c r="B10" s="197"/>
      <c r="C10" s="198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199" t="s">
        <v>16</v>
      </c>
      <c r="B11" s="200"/>
      <c r="C11" s="201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11" t="s">
        <v>18</v>
      </c>
      <c r="B13" s="212"/>
      <c r="C13" s="213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02">
        <f>+SUM(L3:P3)</f>
        <v>4698</v>
      </c>
      <c r="M16" s="203"/>
      <c r="N16" s="203"/>
      <c r="O16" s="203"/>
      <c r="P16" s="204"/>
      <c r="Q16" s="125"/>
      <c r="R16" s="202">
        <f>+SUM(R3:S3)</f>
        <v>4667</v>
      </c>
      <c r="S16" s="204"/>
      <c r="T16" s="125"/>
      <c r="U16" s="202">
        <f>+SUM(U3:Y3)</f>
        <v>4690</v>
      </c>
      <c r="V16" s="203"/>
      <c r="W16" s="203"/>
      <c r="X16" s="203"/>
      <c r="Y16" s="204"/>
      <c r="Z16" s="125"/>
      <c r="AA16" s="202">
        <f>+SUM(AA3:AJ3)</f>
        <v>4649</v>
      </c>
      <c r="AB16" s="203"/>
      <c r="AC16" s="203"/>
      <c r="AD16" s="203"/>
      <c r="AE16" s="203"/>
      <c r="AF16" s="203"/>
      <c r="AG16" s="203"/>
      <c r="AH16" s="203"/>
      <c r="AI16" s="203"/>
      <c r="AJ16" s="204"/>
      <c r="AK16" s="125"/>
      <c r="AL16" s="202">
        <f>+SUM(AL3:AQ3)</f>
        <v>4670</v>
      </c>
      <c r="AM16" s="203"/>
      <c r="AN16" s="203"/>
      <c r="AO16" s="203"/>
      <c r="AP16" s="203"/>
      <c r="AQ16" s="204"/>
      <c r="AR16" s="125"/>
      <c r="AS16" s="202">
        <f>+SUM(AS3:BF3)</f>
        <v>4886</v>
      </c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4"/>
      <c r="BG16" s="125"/>
      <c r="BH16" s="202">
        <f>+SUM(BH3:BK3)</f>
        <v>4149</v>
      </c>
      <c r="BI16" s="203"/>
      <c r="BJ16" s="203"/>
      <c r="BK16" s="204"/>
      <c r="BL16" s="125"/>
      <c r="BM16" s="202">
        <f>+SUM(BM3:BQ3)</f>
        <v>3932</v>
      </c>
      <c r="BN16" s="203"/>
      <c r="BO16" s="203"/>
      <c r="BP16" s="203"/>
      <c r="BQ16" s="204"/>
      <c r="BR16" s="125"/>
      <c r="BS16" s="202">
        <f>+SUM(BS3:BV3)</f>
        <v>1839</v>
      </c>
      <c r="BT16" s="203"/>
      <c r="BU16" s="203"/>
      <c r="BV16" s="204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08">
        <f>+SUM(BM5:BQ5)</f>
        <v>4577</v>
      </c>
      <c r="BN19" s="209"/>
      <c r="BO19" s="209"/>
      <c r="BP19" s="209"/>
      <c r="BQ19" s="210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</mergeCells>
  <conditionalFormatting sqref="L7:P11">
    <cfRule type="cellIs" dxfId="273" priority="43" stopIfTrue="1" operator="lessThanOrEqual">
      <formula>44.49</formula>
    </cfRule>
    <cfRule type="cellIs" dxfId="272" priority="44" stopIfTrue="1" operator="greaterThanOrEqual">
      <formula>85.5</formula>
    </cfRule>
    <cfRule type="cellIs" dxfId="271" priority="45" stopIfTrue="1" operator="between">
      <formula>44.5</formula>
      <formula>60.49</formula>
    </cfRule>
  </conditionalFormatting>
  <conditionalFormatting sqref="D7:D11">
    <cfRule type="cellIs" dxfId="270" priority="40" stopIfTrue="1" operator="lessThanOrEqual">
      <formula>44.49</formula>
    </cfRule>
    <cfRule type="cellIs" dxfId="269" priority="41" stopIfTrue="1" operator="greaterThanOrEqual">
      <formula>85.5</formula>
    </cfRule>
    <cfRule type="cellIs" dxfId="268" priority="42" stopIfTrue="1" operator="between">
      <formula>44.5</formula>
      <formula>60.49</formula>
    </cfRule>
  </conditionalFormatting>
  <conditionalFormatting sqref="E7:E11">
    <cfRule type="cellIs" dxfId="267" priority="37" stopIfTrue="1" operator="lessThanOrEqual">
      <formula>44.49</formula>
    </cfRule>
    <cfRule type="cellIs" dxfId="266" priority="38" stopIfTrue="1" operator="greaterThanOrEqual">
      <formula>85.5</formula>
    </cfRule>
    <cfRule type="cellIs" dxfId="265" priority="39" stopIfTrue="1" operator="between">
      <formula>44.5</formula>
      <formula>60.49</formula>
    </cfRule>
  </conditionalFormatting>
  <conditionalFormatting sqref="F7:F11">
    <cfRule type="cellIs" dxfId="264" priority="34" stopIfTrue="1" operator="lessThanOrEqual">
      <formula>44.49</formula>
    </cfRule>
    <cfRule type="cellIs" dxfId="263" priority="35" stopIfTrue="1" operator="greaterThanOrEqual">
      <formula>85.5</formula>
    </cfRule>
    <cfRule type="cellIs" dxfId="262" priority="36" stopIfTrue="1" operator="between">
      <formula>44.5</formula>
      <formula>60.49</formula>
    </cfRule>
  </conditionalFormatting>
  <conditionalFormatting sqref="G7:G11">
    <cfRule type="cellIs" dxfId="261" priority="31" stopIfTrue="1" operator="lessThanOrEqual">
      <formula>44.49</formula>
    </cfRule>
    <cfRule type="cellIs" dxfId="260" priority="32" stopIfTrue="1" operator="greaterThanOrEqual">
      <formula>85.5</formula>
    </cfRule>
    <cfRule type="cellIs" dxfId="259" priority="33" stopIfTrue="1" operator="between">
      <formula>44.5</formula>
      <formula>60.49</formula>
    </cfRule>
  </conditionalFormatting>
  <conditionalFormatting sqref="R7:R11">
    <cfRule type="cellIs" dxfId="258" priority="28" stopIfTrue="1" operator="lessThanOrEqual">
      <formula>44.49</formula>
    </cfRule>
    <cfRule type="cellIs" dxfId="257" priority="29" stopIfTrue="1" operator="greaterThanOrEqual">
      <formula>85.5</formula>
    </cfRule>
    <cfRule type="cellIs" dxfId="256" priority="30" stopIfTrue="1" operator="between">
      <formula>44.5</formula>
      <formula>60.49</formula>
    </cfRule>
  </conditionalFormatting>
  <conditionalFormatting sqref="S7:S11">
    <cfRule type="cellIs" dxfId="255" priority="25" stopIfTrue="1" operator="lessThanOrEqual">
      <formula>44.49</formula>
    </cfRule>
    <cfRule type="cellIs" dxfId="254" priority="26" stopIfTrue="1" operator="greaterThanOrEqual">
      <formula>85.5</formula>
    </cfRule>
    <cfRule type="cellIs" dxfId="253" priority="27" stopIfTrue="1" operator="between">
      <formula>44.5</formula>
      <formula>60.49</formula>
    </cfRule>
  </conditionalFormatting>
  <conditionalFormatting sqref="U7:U11">
    <cfRule type="cellIs" dxfId="252" priority="22" stopIfTrue="1" operator="lessThanOrEqual">
      <formula>44.49</formula>
    </cfRule>
    <cfRule type="cellIs" dxfId="251" priority="23" stopIfTrue="1" operator="greaterThanOrEqual">
      <formula>85.5</formula>
    </cfRule>
    <cfRule type="cellIs" dxfId="250" priority="24" stopIfTrue="1" operator="between">
      <formula>44.5</formula>
      <formula>60.49</formula>
    </cfRule>
  </conditionalFormatting>
  <conditionalFormatting sqref="V7:Y11">
    <cfRule type="cellIs" dxfId="249" priority="19" stopIfTrue="1" operator="lessThanOrEqual">
      <formula>44.49</formula>
    </cfRule>
    <cfRule type="cellIs" dxfId="248" priority="20" stopIfTrue="1" operator="greaterThanOrEqual">
      <formula>85.5</formula>
    </cfRule>
    <cfRule type="cellIs" dxfId="247" priority="21" stopIfTrue="1" operator="between">
      <formula>44.5</formula>
      <formula>60.49</formula>
    </cfRule>
  </conditionalFormatting>
  <conditionalFormatting sqref="AA7:AJ11">
    <cfRule type="cellIs" dxfId="246" priority="16" stopIfTrue="1" operator="lessThanOrEqual">
      <formula>44.49</formula>
    </cfRule>
    <cfRule type="cellIs" dxfId="245" priority="17" stopIfTrue="1" operator="greaterThanOrEqual">
      <formula>85.5</formula>
    </cfRule>
    <cfRule type="cellIs" dxfId="244" priority="18" stopIfTrue="1" operator="between">
      <formula>44.5</formula>
      <formula>60.49</formula>
    </cfRule>
  </conditionalFormatting>
  <conditionalFormatting sqref="AL7:AQ11">
    <cfRule type="cellIs" dxfId="243" priority="13" stopIfTrue="1" operator="lessThanOrEqual">
      <formula>44.49</formula>
    </cfRule>
    <cfRule type="cellIs" dxfId="242" priority="14" stopIfTrue="1" operator="greaterThanOrEqual">
      <formula>85.5</formula>
    </cfRule>
    <cfRule type="cellIs" dxfId="241" priority="15" stopIfTrue="1" operator="between">
      <formula>44.5</formula>
      <formula>60.49</formula>
    </cfRule>
  </conditionalFormatting>
  <conditionalFormatting sqref="AS7:BD11 BF7:BF11">
    <cfRule type="cellIs" dxfId="240" priority="10" stopIfTrue="1" operator="lessThanOrEqual">
      <formula>44.49</formula>
    </cfRule>
    <cfRule type="cellIs" dxfId="239" priority="11" stopIfTrue="1" operator="greaterThanOrEqual">
      <formula>85.5</formula>
    </cfRule>
    <cfRule type="cellIs" dxfId="238" priority="12" stopIfTrue="1" operator="between">
      <formula>44.5</formula>
      <formula>60.49</formula>
    </cfRule>
  </conditionalFormatting>
  <conditionalFormatting sqref="BH7:BK11">
    <cfRule type="cellIs" dxfId="237" priority="7" stopIfTrue="1" operator="lessThanOrEqual">
      <formula>44.49</formula>
    </cfRule>
    <cfRule type="cellIs" dxfId="236" priority="8" stopIfTrue="1" operator="greaterThanOrEqual">
      <formula>85.5</formula>
    </cfRule>
    <cfRule type="cellIs" dxfId="235" priority="9" stopIfTrue="1" operator="between">
      <formula>44.5</formula>
      <formula>60.49</formula>
    </cfRule>
  </conditionalFormatting>
  <conditionalFormatting sqref="BM7:BQ11">
    <cfRule type="cellIs" dxfId="234" priority="4" stopIfTrue="1" operator="lessThanOrEqual">
      <formula>44.49</formula>
    </cfRule>
    <cfRule type="cellIs" dxfId="233" priority="5" stopIfTrue="1" operator="greaterThanOrEqual">
      <formula>85.5</formula>
    </cfRule>
    <cfRule type="cellIs" dxfId="232" priority="6" stopIfTrue="1" operator="between">
      <formula>44.5</formula>
      <formula>60.49</formula>
    </cfRule>
  </conditionalFormatting>
  <conditionalFormatting sqref="BS7:BV11">
    <cfRule type="cellIs" dxfId="231" priority="1" stopIfTrue="1" operator="lessThanOrEqual">
      <formula>44.49</formula>
    </cfRule>
    <cfRule type="cellIs" dxfId="230" priority="2" stopIfTrue="1" operator="greaterThanOrEqual">
      <formula>85.5</formula>
    </cfRule>
    <cfRule type="cellIs" dxfId="22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31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</cols>
  <sheetData>
    <row r="1" spans="1:2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73"/>
    </row>
    <row r="2" spans="1:20">
      <c r="A2" s="309" t="s">
        <v>61</v>
      </c>
      <c r="B2" s="273" t="s">
        <v>62</v>
      </c>
      <c r="C2" s="321">
        <f>+ROUND(AVERAGE(M2:M5),0)</f>
        <v>87</v>
      </c>
      <c r="D2" s="321">
        <f>+ROUND(AVERAGE(N2:N5),0)</f>
        <v>84</v>
      </c>
      <c r="E2" s="321">
        <f>+ROUND(AVERAGE(O2:O5),0)</f>
        <v>89</v>
      </c>
      <c r="F2" s="321">
        <f>+ROUND(AVERAGE(P2:P5),0)</f>
        <v>78</v>
      </c>
      <c r="G2" s="317">
        <f>+C2-E2</f>
        <v>-2</v>
      </c>
      <c r="H2" s="319">
        <f>+C2-F2</f>
        <v>9</v>
      </c>
      <c r="I2" s="313" t="s">
        <v>62</v>
      </c>
      <c r="J2" s="315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/>
    </row>
    <row r="3" spans="1:20" ht="15.75" thickBot="1">
      <c r="A3" s="309"/>
      <c r="B3" s="273"/>
      <c r="C3" s="321"/>
      <c r="D3" s="321"/>
      <c r="E3" s="321"/>
      <c r="F3" s="321"/>
      <c r="G3" s="317"/>
      <c r="H3" s="319"/>
      <c r="I3" s="313"/>
      <c r="J3" s="316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/>
    </row>
    <row r="4" spans="1:20">
      <c r="A4" s="309"/>
      <c r="B4" s="273"/>
      <c r="C4" s="321"/>
      <c r="D4" s="321"/>
      <c r="E4" s="321"/>
      <c r="F4" s="321"/>
      <c r="G4" s="317"/>
      <c r="H4" s="319"/>
      <c r="I4" s="313"/>
      <c r="J4" s="315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/>
    </row>
    <row r="5" spans="1:20" ht="15.75" thickBot="1">
      <c r="A5" s="309"/>
      <c r="B5" s="274"/>
      <c r="C5" s="322"/>
      <c r="D5" s="322"/>
      <c r="E5" s="322"/>
      <c r="F5" s="322"/>
      <c r="G5" s="318"/>
      <c r="H5" s="320"/>
      <c r="I5" s="314"/>
      <c r="J5" s="316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/>
    </row>
    <row r="6" spans="1:20">
      <c r="A6" s="309"/>
      <c r="B6" s="272" t="s">
        <v>69</v>
      </c>
      <c r="C6" s="249">
        <f>+ROUND(AVERAGE(M6:M11),0)</f>
        <v>86</v>
      </c>
      <c r="D6" s="249">
        <f>+ROUND(AVERAGE(N6:N11),0)</f>
        <v>82</v>
      </c>
      <c r="E6" s="249">
        <f>+ROUND(AVERAGE(O6:O11),0)</f>
        <v>89</v>
      </c>
      <c r="F6" s="249">
        <f>+ROUND(AVERAGE(P6:P11),0)</f>
        <v>80</v>
      </c>
      <c r="G6" s="296">
        <f>+C6-E6</f>
        <v>-3</v>
      </c>
      <c r="H6" s="252">
        <f>+C6-F6</f>
        <v>6</v>
      </c>
      <c r="I6" s="313" t="s">
        <v>69</v>
      </c>
      <c r="J6" s="315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/>
    </row>
    <row r="7" spans="1:20">
      <c r="A7" s="309"/>
      <c r="B7" s="273"/>
      <c r="C7" s="236"/>
      <c r="D7" s="236"/>
      <c r="E7" s="236"/>
      <c r="F7" s="236"/>
      <c r="G7" s="276"/>
      <c r="H7" s="226"/>
      <c r="I7" s="313"/>
      <c r="J7" s="315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/>
    </row>
    <row r="8" spans="1:20" ht="15.75" thickBot="1">
      <c r="A8" s="309"/>
      <c r="B8" s="273"/>
      <c r="C8" s="236"/>
      <c r="D8" s="236"/>
      <c r="E8" s="236"/>
      <c r="F8" s="236"/>
      <c r="G8" s="276"/>
      <c r="H8" s="226"/>
      <c r="I8" s="313"/>
      <c r="J8" s="316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/>
    </row>
    <row r="9" spans="1:20" ht="28.5">
      <c r="A9" s="309"/>
      <c r="B9" s="273"/>
      <c r="C9" s="236"/>
      <c r="D9" s="236"/>
      <c r="E9" s="236"/>
      <c r="F9" s="236"/>
      <c r="G9" s="276"/>
      <c r="H9" s="226"/>
      <c r="I9" s="313"/>
      <c r="J9" s="315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/>
    </row>
    <row r="10" spans="1:20" ht="15.75" thickBot="1">
      <c r="A10" s="309"/>
      <c r="B10" s="273"/>
      <c r="C10" s="236"/>
      <c r="D10" s="236"/>
      <c r="E10" s="236"/>
      <c r="F10" s="236"/>
      <c r="G10" s="276"/>
      <c r="H10" s="226"/>
      <c r="I10" s="313"/>
      <c r="J10" s="316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/>
    </row>
    <row r="11" spans="1:20" ht="15.75" thickBot="1">
      <c r="A11" s="309"/>
      <c r="B11" s="274"/>
      <c r="C11" s="237"/>
      <c r="D11" s="237"/>
      <c r="E11" s="237"/>
      <c r="F11" s="237"/>
      <c r="G11" s="307"/>
      <c r="H11" s="227"/>
      <c r="I11" s="314"/>
      <c r="J11" s="194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/>
    </row>
    <row r="12" spans="1:20">
      <c r="A12" s="309"/>
      <c r="B12" s="272" t="s">
        <v>79</v>
      </c>
      <c r="C12" s="249">
        <f>+ROUND(AVERAGE(M12:M15),0)</f>
        <v>86</v>
      </c>
      <c r="D12" s="249">
        <f>+ROUND(AVERAGE(N12:N15),0)</f>
        <v>82</v>
      </c>
      <c r="E12" s="249">
        <f>+ROUND(AVERAGE(O12:O15),0)</f>
        <v>90</v>
      </c>
      <c r="F12" s="249">
        <f>+ROUND(AVERAGE(P12:P15),0)</f>
        <v>79</v>
      </c>
      <c r="G12" s="296">
        <f>+C12-E12</f>
        <v>-4</v>
      </c>
      <c r="H12" s="252">
        <f>+C12-F12</f>
        <v>7</v>
      </c>
      <c r="I12" s="313" t="s">
        <v>79</v>
      </c>
      <c r="J12" s="315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/>
    </row>
    <row r="13" spans="1:20">
      <c r="A13" s="309"/>
      <c r="B13" s="273"/>
      <c r="C13" s="236"/>
      <c r="D13" s="236"/>
      <c r="E13" s="236"/>
      <c r="F13" s="236"/>
      <c r="G13" s="276"/>
      <c r="H13" s="226"/>
      <c r="I13" s="313"/>
      <c r="J13" s="315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/>
    </row>
    <row r="14" spans="1:20" ht="15.75" thickBot="1">
      <c r="A14" s="309"/>
      <c r="B14" s="273"/>
      <c r="C14" s="236"/>
      <c r="D14" s="236"/>
      <c r="E14" s="236"/>
      <c r="F14" s="236"/>
      <c r="G14" s="276"/>
      <c r="H14" s="226"/>
      <c r="I14" s="313"/>
      <c r="J14" s="316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/>
    </row>
    <row r="15" spans="1:20" ht="15.75" thickBot="1">
      <c r="A15" s="310"/>
      <c r="B15" s="311"/>
      <c r="C15" s="250"/>
      <c r="D15" s="250"/>
      <c r="E15" s="250"/>
      <c r="F15" s="250"/>
      <c r="G15" s="312"/>
      <c r="H15" s="253"/>
      <c r="I15" s="314"/>
      <c r="J15" s="194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/>
    </row>
    <row r="16" spans="1:2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3"/>
    </row>
    <row r="17" spans="1:20">
      <c r="A17" s="308" t="s">
        <v>86</v>
      </c>
      <c r="B17" s="272" t="s">
        <v>87</v>
      </c>
      <c r="C17" s="249">
        <f>+ROUND(AVERAGE(M17:M20),0)</f>
        <v>82</v>
      </c>
      <c r="D17" s="249">
        <f>+ROUND(AVERAGE(N17:N20),0)</f>
        <v>79</v>
      </c>
      <c r="E17" s="249">
        <f>+ROUND(AVERAGE(O17:O20),0)</f>
        <v>89</v>
      </c>
      <c r="F17" s="249">
        <f>+ROUND(AVERAGE(P17:P20),0)</f>
        <v>77</v>
      </c>
      <c r="G17" s="296">
        <f>+C17-E17</f>
        <v>-7</v>
      </c>
      <c r="H17" s="252">
        <f>+C17-F17</f>
        <v>5</v>
      </c>
      <c r="I17" s="289" t="s">
        <v>87</v>
      </c>
      <c r="J17" s="306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/>
    </row>
    <row r="18" spans="1:20" ht="15.75" thickBot="1">
      <c r="A18" s="308"/>
      <c r="B18" s="273"/>
      <c r="C18" s="236"/>
      <c r="D18" s="236"/>
      <c r="E18" s="236"/>
      <c r="F18" s="236"/>
      <c r="G18" s="276"/>
      <c r="H18" s="226"/>
      <c r="I18" s="290"/>
      <c r="J18" s="293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</row>
    <row r="19" spans="1:20">
      <c r="A19" s="308"/>
      <c r="B19" s="273"/>
      <c r="C19" s="236"/>
      <c r="D19" s="236"/>
      <c r="E19" s="236"/>
      <c r="F19" s="236"/>
      <c r="G19" s="276"/>
      <c r="H19" s="226"/>
      <c r="I19" s="290"/>
      <c r="J19" s="292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</row>
    <row r="20" spans="1:20" ht="15.75" thickBot="1">
      <c r="A20" s="308"/>
      <c r="B20" s="274"/>
      <c r="C20" s="237"/>
      <c r="D20" s="237"/>
      <c r="E20" s="237"/>
      <c r="F20" s="237"/>
      <c r="G20" s="307"/>
      <c r="H20" s="227"/>
      <c r="I20" s="291"/>
      <c r="J20" s="293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</row>
    <row r="21" spans="1:20" ht="28.5">
      <c r="A21" s="308"/>
      <c r="B21" s="272" t="s">
        <v>94</v>
      </c>
      <c r="C21" s="249">
        <f>+ROUND(AVERAGE(M21:M22),0)</f>
        <v>81</v>
      </c>
      <c r="D21" s="249">
        <f>+ROUND(AVERAGE(N21:N22),0)</f>
        <v>77</v>
      </c>
      <c r="E21" s="249">
        <f>+ROUND(AVERAGE(O21:O22),0)</f>
        <v>87</v>
      </c>
      <c r="F21" s="249">
        <f>+ROUND(AVERAGE(P21:P22),0)</f>
        <v>73</v>
      </c>
      <c r="G21" s="296">
        <f>+C21-E21</f>
        <v>-6</v>
      </c>
      <c r="H21" s="252">
        <f>+C21-F21</f>
        <v>8</v>
      </c>
      <c r="I21" s="289" t="s">
        <v>94</v>
      </c>
      <c r="J21" s="292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</row>
    <row r="22" spans="1:20" ht="29.25" thickBot="1">
      <c r="A22" s="308"/>
      <c r="B22" s="274"/>
      <c r="C22" s="237"/>
      <c r="D22" s="237"/>
      <c r="E22" s="237"/>
      <c r="F22" s="237"/>
      <c r="G22" s="307"/>
      <c r="H22" s="227"/>
      <c r="I22" s="291"/>
      <c r="J22" s="293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</row>
    <row r="23" spans="1:20">
      <c r="A23" s="308"/>
      <c r="B23" s="272" t="s">
        <v>98</v>
      </c>
      <c r="C23" s="249">
        <f>+ROUND(AVERAGE(M23:M29),0)</f>
        <v>81</v>
      </c>
      <c r="D23" s="249">
        <f>+ROUND(AVERAGE(N23:N29),0)</f>
        <v>77</v>
      </c>
      <c r="E23" s="249">
        <f>+ROUND(AVERAGE(O23:O29),0)</f>
        <v>89</v>
      </c>
      <c r="F23" s="249">
        <f>+ROUND(AVERAGE(P23:P29),0)</f>
        <v>78</v>
      </c>
      <c r="G23" s="296">
        <f>+C23-E23</f>
        <v>-8</v>
      </c>
      <c r="H23" s="252">
        <f>+C23-F23</f>
        <v>3</v>
      </c>
      <c r="I23" s="289" t="s">
        <v>98</v>
      </c>
      <c r="J23" s="292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</row>
    <row r="24" spans="1:20">
      <c r="A24" s="308"/>
      <c r="B24" s="273"/>
      <c r="C24" s="236"/>
      <c r="D24" s="236"/>
      <c r="E24" s="236"/>
      <c r="F24" s="236"/>
      <c r="G24" s="276"/>
      <c r="H24" s="226"/>
      <c r="I24" s="290"/>
      <c r="J24" s="292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</row>
    <row r="25" spans="1:20" ht="15.75" thickBot="1">
      <c r="A25" s="308"/>
      <c r="B25" s="273"/>
      <c r="C25" s="236"/>
      <c r="D25" s="236"/>
      <c r="E25" s="236"/>
      <c r="F25" s="236"/>
      <c r="G25" s="276"/>
      <c r="H25" s="226"/>
      <c r="I25" s="290"/>
      <c r="J25" s="293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</row>
    <row r="26" spans="1:20">
      <c r="A26" s="308"/>
      <c r="B26" s="273"/>
      <c r="C26" s="236"/>
      <c r="D26" s="236"/>
      <c r="E26" s="236"/>
      <c r="F26" s="236"/>
      <c r="G26" s="276"/>
      <c r="H26" s="226"/>
      <c r="I26" s="290"/>
      <c r="J26" s="292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</row>
    <row r="27" spans="1:20">
      <c r="A27" s="308"/>
      <c r="B27" s="273"/>
      <c r="C27" s="236"/>
      <c r="D27" s="236"/>
      <c r="E27" s="236"/>
      <c r="F27" s="236"/>
      <c r="G27" s="276"/>
      <c r="H27" s="226"/>
      <c r="I27" s="290"/>
      <c r="J27" s="292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</row>
    <row r="28" spans="1:20">
      <c r="A28" s="308"/>
      <c r="B28" s="273"/>
      <c r="C28" s="236"/>
      <c r="D28" s="236"/>
      <c r="E28" s="236"/>
      <c r="F28" s="236"/>
      <c r="G28" s="276"/>
      <c r="H28" s="226"/>
      <c r="I28" s="290"/>
      <c r="J28" s="292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</row>
    <row r="29" spans="1:20" ht="15.75" thickBot="1">
      <c r="A29" s="308"/>
      <c r="B29" s="311"/>
      <c r="C29" s="250"/>
      <c r="D29" s="250"/>
      <c r="E29" s="250"/>
      <c r="F29" s="250"/>
      <c r="G29" s="312"/>
      <c r="H29" s="253"/>
      <c r="I29" s="291"/>
      <c r="J29" s="293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</row>
    <row r="30" spans="1:2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</row>
    <row r="31" spans="1:20">
      <c r="A31" s="294" t="s">
        <v>108</v>
      </c>
      <c r="B31" s="272" t="s">
        <v>109</v>
      </c>
      <c r="C31" s="249">
        <f>+ROUND(AVERAGE(M31:M34),0)</f>
        <v>69</v>
      </c>
      <c r="D31" s="249">
        <f>+ROUND(AVERAGE(N31:N34),0)</f>
        <v>63</v>
      </c>
      <c r="E31" s="249">
        <f>+ROUND(AVERAGE(O31:O34),0)</f>
        <v>77</v>
      </c>
      <c r="F31" s="249">
        <f>+ROUND(AVERAGE(P31:P34),0)</f>
        <v>65</v>
      </c>
      <c r="G31" s="296">
        <f>+C31-E31</f>
        <v>-8</v>
      </c>
      <c r="H31" s="252">
        <f>+C31-F31</f>
        <v>4</v>
      </c>
      <c r="I31" s="281" t="s">
        <v>109</v>
      </c>
      <c r="J31" s="297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</row>
    <row r="32" spans="1:20" ht="15.75" thickBot="1">
      <c r="A32" s="294"/>
      <c r="B32" s="273"/>
      <c r="C32" s="236"/>
      <c r="D32" s="236"/>
      <c r="E32" s="236"/>
      <c r="F32" s="236"/>
      <c r="G32" s="276"/>
      <c r="H32" s="226"/>
      <c r="I32" s="281"/>
      <c r="J32" s="284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</row>
    <row r="33" spans="1:20">
      <c r="A33" s="294"/>
      <c r="B33" s="273"/>
      <c r="C33" s="236"/>
      <c r="D33" s="236"/>
      <c r="E33" s="236"/>
      <c r="F33" s="236"/>
      <c r="G33" s="276"/>
      <c r="H33" s="226"/>
      <c r="I33" s="281"/>
      <c r="J33" s="283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</row>
    <row r="34" spans="1:20" ht="15.75" thickBot="1">
      <c r="A34" s="294"/>
      <c r="B34" s="274"/>
      <c r="C34" s="237"/>
      <c r="D34" s="237"/>
      <c r="E34" s="237"/>
      <c r="F34" s="237"/>
      <c r="G34" s="276"/>
      <c r="H34" s="227"/>
      <c r="I34" s="282"/>
      <c r="J34" s="298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</row>
    <row r="35" spans="1:20">
      <c r="A35" s="294"/>
      <c r="B35" s="299" t="s">
        <v>116</v>
      </c>
      <c r="C35" s="249">
        <f>+ROUND(AVERAGE(M35:M37),0)</f>
        <v>68</v>
      </c>
      <c r="D35" s="249">
        <f>+ROUND(AVERAGE(N35:N37),0)</f>
        <v>62</v>
      </c>
      <c r="E35" s="249">
        <f>+ROUND(AVERAGE(O35:O37),0)</f>
        <v>78</v>
      </c>
      <c r="F35" s="249">
        <f>+ROUND(AVERAGE(P35:P37),0)</f>
        <v>64</v>
      </c>
      <c r="G35" s="251">
        <f>+C35-E35</f>
        <v>-10</v>
      </c>
      <c r="H35" s="252">
        <f>+C35-F35</f>
        <v>4</v>
      </c>
      <c r="I35" s="302" t="s">
        <v>116</v>
      </c>
      <c r="J35" s="302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</row>
    <row r="36" spans="1:20">
      <c r="A36" s="294"/>
      <c r="B36" s="300"/>
      <c r="C36" s="236"/>
      <c r="D36" s="236"/>
      <c r="E36" s="236"/>
      <c r="F36" s="236"/>
      <c r="G36" s="239"/>
      <c r="H36" s="226"/>
      <c r="I36" s="303"/>
      <c r="J36" s="303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</row>
    <row r="37" spans="1:20" ht="15.75" thickBot="1">
      <c r="A37" s="294"/>
      <c r="B37" s="301"/>
      <c r="C37" s="237"/>
      <c r="D37" s="237"/>
      <c r="E37" s="237"/>
      <c r="F37" s="237"/>
      <c r="G37" s="240"/>
      <c r="H37" s="227"/>
      <c r="I37" s="304"/>
      <c r="J37" s="304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</row>
    <row r="38" spans="1:20">
      <c r="A38" s="294"/>
      <c r="B38" s="272" t="s">
        <v>120</v>
      </c>
      <c r="C38" s="249">
        <f>+ROUND(AVERAGE(M38:M42),0)</f>
        <v>91</v>
      </c>
      <c r="D38" s="249">
        <f>+ROUND(AVERAGE(N38:N42),0)</f>
        <v>89</v>
      </c>
      <c r="E38" s="249">
        <f>+ROUND(AVERAGE(O38:O42),0)</f>
        <v>96</v>
      </c>
      <c r="F38" s="249">
        <f>+ROUND(AVERAGE(P38:P42),0)</f>
        <v>91</v>
      </c>
      <c r="G38" s="275">
        <f>+C38-E38</f>
        <v>-5</v>
      </c>
      <c r="H38" s="252">
        <f>+C38-F38</f>
        <v>0</v>
      </c>
      <c r="I38" s="280" t="s">
        <v>120</v>
      </c>
      <c r="J38" s="283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</row>
    <row r="39" spans="1:20">
      <c r="A39" s="294"/>
      <c r="B39" s="273"/>
      <c r="C39" s="236"/>
      <c r="D39" s="236"/>
      <c r="E39" s="236"/>
      <c r="F39" s="236"/>
      <c r="G39" s="276"/>
      <c r="H39" s="226"/>
      <c r="I39" s="281"/>
      <c r="J39" s="284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</row>
    <row r="40" spans="1:20">
      <c r="A40" s="294"/>
      <c r="B40" s="273"/>
      <c r="C40" s="236"/>
      <c r="D40" s="236"/>
      <c r="E40" s="236"/>
      <c r="F40" s="236"/>
      <c r="G40" s="276"/>
      <c r="H40" s="226"/>
      <c r="I40" s="281"/>
      <c r="J40" s="284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</row>
    <row r="41" spans="1:20" ht="15.75" thickBot="1">
      <c r="A41" s="294"/>
      <c r="B41" s="273"/>
      <c r="C41" s="236"/>
      <c r="D41" s="236"/>
      <c r="E41" s="236"/>
      <c r="F41" s="236"/>
      <c r="G41" s="276"/>
      <c r="H41" s="226"/>
      <c r="I41" s="281"/>
      <c r="J41" s="284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</row>
    <row r="42" spans="1:20" ht="29.25" thickBot="1">
      <c r="A42" s="295"/>
      <c r="B42" s="305"/>
      <c r="C42" s="277"/>
      <c r="D42" s="277"/>
      <c r="E42" s="277"/>
      <c r="F42" s="277"/>
      <c r="G42" s="278"/>
      <c r="H42" s="279"/>
      <c r="I42" s="282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</row>
    <row r="43" spans="1:2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</row>
    <row r="44" spans="1:20">
      <c r="A44" s="285" t="s">
        <v>128</v>
      </c>
      <c r="B44" s="267" t="s">
        <v>129</v>
      </c>
      <c r="C44" s="236">
        <f>+ROUND(AVERAGE(M44:M45),0)</f>
        <v>81</v>
      </c>
      <c r="D44" s="236">
        <f>+ROUND(AVERAGE(N44:N45),0)</f>
        <v>76</v>
      </c>
      <c r="E44" s="236">
        <f>+ROUND(AVERAGE(O44:O45),0)</f>
        <v>88</v>
      </c>
      <c r="F44" s="236">
        <f>+ROUND(AVERAGE(P44:P45),0)</f>
        <v>77</v>
      </c>
      <c r="G44" s="238">
        <f>+C44-E44</f>
        <v>-7</v>
      </c>
      <c r="H44" s="226">
        <f>+C44-F44</f>
        <v>4</v>
      </c>
      <c r="I44" s="258" t="s">
        <v>129</v>
      </c>
      <c r="J44" s="259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</row>
    <row r="45" spans="1:20" ht="15.75" thickBot="1">
      <c r="A45" s="285"/>
      <c r="B45" s="287"/>
      <c r="C45" s="237"/>
      <c r="D45" s="237"/>
      <c r="E45" s="237"/>
      <c r="F45" s="237"/>
      <c r="G45" s="288"/>
      <c r="H45" s="227"/>
      <c r="I45" s="262"/>
      <c r="J45" s="263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</row>
    <row r="46" spans="1:20">
      <c r="A46" s="285"/>
      <c r="B46" s="266" t="s">
        <v>132</v>
      </c>
      <c r="C46" s="249">
        <f>+ROUND(AVERAGE(M46:M47),0)</f>
        <v>84</v>
      </c>
      <c r="D46" s="249">
        <f>+ROUND(AVERAGE(N46:N47),0)</f>
        <v>79</v>
      </c>
      <c r="E46" s="249">
        <f>+ROUND(AVERAGE(O46:O47),0)</f>
        <v>91</v>
      </c>
      <c r="F46" s="249">
        <f>+ROUND(AVERAGE(P46:P47),0)</f>
        <v>80</v>
      </c>
      <c r="G46" s="270">
        <f>+C46-E46</f>
        <v>-7</v>
      </c>
      <c r="H46" s="252">
        <f>+C46-F46</f>
        <v>4</v>
      </c>
      <c r="I46" s="258" t="s">
        <v>132</v>
      </c>
      <c r="J46" s="259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</row>
    <row r="47" spans="1:20" ht="15.75" thickBot="1">
      <c r="A47" s="285"/>
      <c r="B47" s="287"/>
      <c r="C47" s="237"/>
      <c r="D47" s="237"/>
      <c r="E47" s="237"/>
      <c r="F47" s="237"/>
      <c r="G47" s="288"/>
      <c r="H47" s="227"/>
      <c r="I47" s="262"/>
      <c r="J47" s="263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</row>
    <row r="48" spans="1:20">
      <c r="A48" s="285"/>
      <c r="B48" s="266" t="s">
        <v>135</v>
      </c>
      <c r="C48" s="249">
        <f>+ROUND(AVERAGE(M48:M51),0)</f>
        <v>84</v>
      </c>
      <c r="D48" s="249">
        <f>+ROUND(AVERAGE(N48:N51),0)</f>
        <v>79</v>
      </c>
      <c r="E48" s="249">
        <f>+ROUND(AVERAGE(O48:O51),0)</f>
        <v>91</v>
      </c>
      <c r="F48" s="249">
        <f>+ROUND(AVERAGE(P48:P51),0)</f>
        <v>82</v>
      </c>
      <c r="G48" s="270">
        <f>+C48-E48</f>
        <v>-7</v>
      </c>
      <c r="H48" s="252">
        <f>+C48-F48</f>
        <v>2</v>
      </c>
      <c r="I48" s="258" t="s">
        <v>135</v>
      </c>
      <c r="J48" s="259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</row>
    <row r="49" spans="1:20">
      <c r="A49" s="285"/>
      <c r="B49" s="267"/>
      <c r="C49" s="236"/>
      <c r="D49" s="236"/>
      <c r="E49" s="236"/>
      <c r="F49" s="236"/>
      <c r="G49" s="239"/>
      <c r="H49" s="226"/>
      <c r="I49" s="260"/>
      <c r="J49" s="261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</row>
    <row r="50" spans="1:20">
      <c r="A50" s="285"/>
      <c r="B50" s="267"/>
      <c r="C50" s="236"/>
      <c r="D50" s="236"/>
      <c r="E50" s="236"/>
      <c r="F50" s="236"/>
      <c r="G50" s="239"/>
      <c r="H50" s="226"/>
      <c r="I50" s="260"/>
      <c r="J50" s="261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</row>
    <row r="51" spans="1:20" ht="15.75" thickBot="1">
      <c r="A51" s="286"/>
      <c r="B51" s="268"/>
      <c r="C51" s="269"/>
      <c r="D51" s="269"/>
      <c r="E51" s="269"/>
      <c r="F51" s="269"/>
      <c r="G51" s="271"/>
      <c r="H51" s="257"/>
      <c r="I51" s="262"/>
      <c r="J51" s="263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</row>
    <row r="52" spans="1:2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</row>
    <row r="53" spans="1:20">
      <c r="A53" s="264" t="s">
        <v>140</v>
      </c>
      <c r="B53" s="234" t="s">
        <v>141</v>
      </c>
      <c r="C53" s="236">
        <f>+ROUND(AVERAGE(M53:M55),0)</f>
        <v>87</v>
      </c>
      <c r="D53" s="236">
        <f>+ROUND(AVERAGE(N53:N55),0)</f>
        <v>83</v>
      </c>
      <c r="E53" s="236">
        <f>+ROUND(AVERAGE(O53:O55),0)</f>
        <v>93</v>
      </c>
      <c r="F53" s="236">
        <f>+ROUND(AVERAGE(P53:P55),0)</f>
        <v>84</v>
      </c>
      <c r="G53" s="238">
        <f>+C53-E53</f>
        <v>-6</v>
      </c>
      <c r="H53" s="226">
        <f>+C53-F53</f>
        <v>3</v>
      </c>
      <c r="I53" s="255" t="s">
        <v>141</v>
      </c>
      <c r="J53" s="255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</row>
    <row r="54" spans="1:20">
      <c r="A54" s="264"/>
      <c r="B54" s="234"/>
      <c r="C54" s="236"/>
      <c r="D54" s="236"/>
      <c r="E54" s="236"/>
      <c r="F54" s="236"/>
      <c r="G54" s="239"/>
      <c r="H54" s="226"/>
      <c r="I54" s="255"/>
      <c r="J54" s="255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</row>
    <row r="55" spans="1:20" ht="15.75" thickBot="1">
      <c r="A55" s="264"/>
      <c r="B55" s="235"/>
      <c r="C55" s="237"/>
      <c r="D55" s="237"/>
      <c r="E55" s="237"/>
      <c r="F55" s="237"/>
      <c r="G55" s="240"/>
      <c r="H55" s="227"/>
      <c r="I55" s="256"/>
      <c r="J55" s="256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</row>
    <row r="56" spans="1:20">
      <c r="A56" s="264"/>
      <c r="B56" s="272" t="s">
        <v>145</v>
      </c>
      <c r="C56" s="249">
        <f>+ROUND(AVERAGE(M56:M59),0)</f>
        <v>88</v>
      </c>
      <c r="D56" s="249">
        <f>+ROUND(AVERAGE(N56:N59),0)</f>
        <v>84</v>
      </c>
      <c r="E56" s="249">
        <f>+ROUND(AVERAGE(O56:O59),0)</f>
        <v>94</v>
      </c>
      <c r="F56" s="249">
        <f>+ROUND(AVERAGE(P56:P59),0)</f>
        <v>86</v>
      </c>
      <c r="G56" s="275">
        <f>+C56-E56</f>
        <v>-6</v>
      </c>
      <c r="H56" s="252">
        <f>+C56-F56</f>
        <v>2</v>
      </c>
      <c r="I56" s="241" t="s">
        <v>145</v>
      </c>
      <c r="J56" s="244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</row>
    <row r="57" spans="1:20" ht="15.75" thickBot="1">
      <c r="A57" s="264"/>
      <c r="B57" s="273"/>
      <c r="C57" s="236"/>
      <c r="D57" s="236"/>
      <c r="E57" s="236"/>
      <c r="F57" s="236"/>
      <c r="G57" s="276"/>
      <c r="H57" s="226"/>
      <c r="I57" s="242"/>
      <c r="J57" s="245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</row>
    <row r="58" spans="1:20">
      <c r="A58" s="264"/>
      <c r="B58" s="273"/>
      <c r="C58" s="236"/>
      <c r="D58" s="236"/>
      <c r="E58" s="236"/>
      <c r="F58" s="236"/>
      <c r="G58" s="276"/>
      <c r="H58" s="226"/>
      <c r="I58" s="242"/>
      <c r="J58" s="244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</row>
    <row r="59" spans="1:20" ht="29.25" thickBot="1">
      <c r="A59" s="264"/>
      <c r="B59" s="274"/>
      <c r="C59" s="237"/>
      <c r="D59" s="237"/>
      <c r="E59" s="237"/>
      <c r="F59" s="237"/>
      <c r="G59" s="276"/>
      <c r="H59" s="227"/>
      <c r="I59" s="243"/>
      <c r="J59" s="246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</row>
    <row r="60" spans="1:20">
      <c r="A60" s="264"/>
      <c r="B60" s="247" t="s">
        <v>152</v>
      </c>
      <c r="C60" s="249">
        <f>+ROUND(AVERAGE(M60:M62),0)</f>
        <v>82</v>
      </c>
      <c r="D60" s="249">
        <f>+ROUND(AVERAGE(N60:N62),0)</f>
        <v>78</v>
      </c>
      <c r="E60" s="249">
        <f>+ROUND(AVERAGE(O60:O62),0)</f>
        <v>90</v>
      </c>
      <c r="F60" s="249">
        <f>+ROUND(AVERAGE(P60:P62),0)</f>
        <v>78</v>
      </c>
      <c r="G60" s="251">
        <f>+C60-E60</f>
        <v>-8</v>
      </c>
      <c r="H60" s="252">
        <f>+C60-F60</f>
        <v>4</v>
      </c>
      <c r="I60" s="254" t="s">
        <v>152</v>
      </c>
      <c r="J60" s="254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</row>
    <row r="61" spans="1:20">
      <c r="A61" s="264"/>
      <c r="B61" s="234"/>
      <c r="C61" s="236"/>
      <c r="D61" s="236"/>
      <c r="E61" s="236"/>
      <c r="F61" s="236"/>
      <c r="G61" s="239"/>
      <c r="H61" s="226"/>
      <c r="I61" s="255"/>
      <c r="J61" s="255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</row>
    <row r="62" spans="1:20" ht="15.75" thickBot="1">
      <c r="A62" s="265"/>
      <c r="B62" s="248"/>
      <c r="C62" s="250"/>
      <c r="D62" s="250"/>
      <c r="E62" s="250"/>
      <c r="F62" s="250"/>
      <c r="G62" s="240"/>
      <c r="H62" s="253"/>
      <c r="I62" s="256"/>
      <c r="J62" s="256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</row>
    <row r="63" spans="1:2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</row>
    <row r="64" spans="1:20">
      <c r="A64" s="70"/>
      <c r="B64" s="234"/>
      <c r="C64" s="236"/>
      <c r="D64" s="236"/>
      <c r="E64" s="236"/>
      <c r="F64" s="236"/>
      <c r="G64" s="238"/>
      <c r="H64" s="226"/>
      <c r="I64" s="71"/>
      <c r="J64" s="228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</row>
    <row r="65" spans="1:20" ht="28.5">
      <c r="A65" s="70"/>
      <c r="B65" s="234"/>
      <c r="C65" s="236"/>
      <c r="D65" s="236"/>
      <c r="E65" s="236"/>
      <c r="F65" s="236"/>
      <c r="G65" s="238"/>
      <c r="H65" s="226"/>
      <c r="I65" s="71"/>
      <c r="J65" s="229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</row>
    <row r="66" spans="1:20" ht="28.5">
      <c r="A66" s="70"/>
      <c r="B66" s="234"/>
      <c r="C66" s="236"/>
      <c r="D66" s="236"/>
      <c r="E66" s="236"/>
      <c r="F66" s="236"/>
      <c r="G66" s="238"/>
      <c r="H66" s="226"/>
      <c r="I66" s="71"/>
      <c r="J66" s="229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</row>
    <row r="67" spans="1:20" ht="28.5">
      <c r="A67" s="70"/>
      <c r="B67" s="234"/>
      <c r="C67" s="236"/>
      <c r="D67" s="236"/>
      <c r="E67" s="236"/>
      <c r="F67" s="236"/>
      <c r="G67" s="238"/>
      <c r="H67" s="226"/>
      <c r="I67" s="71"/>
      <c r="J67" s="229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</row>
    <row r="68" spans="1:20">
      <c r="A68" s="70"/>
      <c r="B68" s="234"/>
      <c r="C68" s="236"/>
      <c r="D68" s="236"/>
      <c r="E68" s="236"/>
      <c r="F68" s="236"/>
      <c r="G68" s="238"/>
      <c r="H68" s="226"/>
      <c r="I68" s="71"/>
      <c r="J68" s="229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</row>
    <row r="69" spans="1:20" ht="28.5">
      <c r="A69" s="70"/>
      <c r="B69" s="234"/>
      <c r="C69" s="236"/>
      <c r="D69" s="236"/>
      <c r="E69" s="236"/>
      <c r="F69" s="236"/>
      <c r="G69" s="239"/>
      <c r="H69" s="226"/>
      <c r="I69" s="71"/>
      <c r="J69" s="229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</row>
    <row r="70" spans="1:20" ht="29.25" thickBot="1">
      <c r="A70" s="70"/>
      <c r="B70" s="235"/>
      <c r="C70" s="237"/>
      <c r="D70" s="237"/>
      <c r="E70" s="237"/>
      <c r="F70" s="237"/>
      <c r="G70" s="240"/>
      <c r="H70" s="227"/>
      <c r="I70" s="71"/>
      <c r="J70" s="230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</row>
    <row r="71" spans="1:2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</row>
    <row r="72" spans="1:2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31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</row>
    <row r="73" spans="1:20">
      <c r="A73" s="70"/>
      <c r="B73" s="72"/>
      <c r="C73" s="72"/>
      <c r="D73" s="72"/>
      <c r="E73" s="72"/>
      <c r="F73" s="72"/>
      <c r="G73" s="72"/>
      <c r="H73" s="72"/>
      <c r="I73" s="71"/>
      <c r="J73" s="232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</row>
    <row r="74" spans="1:20">
      <c r="A74" s="70"/>
      <c r="B74" s="72"/>
      <c r="C74" s="72"/>
      <c r="D74" s="72"/>
      <c r="E74" s="72"/>
      <c r="F74" s="72"/>
      <c r="G74" s="72"/>
      <c r="H74" s="72"/>
      <c r="I74" s="71"/>
      <c r="J74" s="232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</row>
    <row r="75" spans="1:20">
      <c r="A75" s="70"/>
      <c r="B75" s="72"/>
      <c r="C75" s="72"/>
      <c r="D75" s="72"/>
      <c r="E75" s="72"/>
      <c r="F75" s="72"/>
      <c r="G75" s="72"/>
      <c r="H75" s="72"/>
      <c r="I75" s="71"/>
      <c r="J75" s="232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</row>
    <row r="76" spans="1:2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</row>
    <row r="77" spans="1:2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</row>
    <row r="78" spans="1:20">
      <c r="A78" s="70"/>
      <c r="B78" s="72"/>
      <c r="C78" s="72"/>
      <c r="D78" s="72"/>
      <c r="E78" s="72"/>
      <c r="F78" s="72"/>
      <c r="G78" s="72"/>
      <c r="H78" s="72"/>
      <c r="I78" s="71"/>
      <c r="J78" s="233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</row>
    <row r="79" spans="1:20">
      <c r="A79" s="70"/>
      <c r="B79" s="72"/>
      <c r="C79" s="72"/>
      <c r="D79" s="72"/>
      <c r="E79" s="72"/>
      <c r="F79" s="72"/>
      <c r="G79" s="72"/>
      <c r="H79" s="72"/>
      <c r="I79" s="71"/>
      <c r="J79" s="233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</row>
    <row r="80" spans="1:20">
      <c r="A80" s="70"/>
      <c r="B80" s="72"/>
      <c r="C80" s="72"/>
      <c r="D80" s="72"/>
      <c r="E80" s="72"/>
      <c r="F80" s="72"/>
      <c r="G80" s="72"/>
      <c r="H80" s="72"/>
      <c r="I80" s="71"/>
      <c r="J80" s="233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</row>
    <row r="81" spans="1:20">
      <c r="A81" s="70"/>
      <c r="B81" s="72"/>
      <c r="C81" s="72"/>
      <c r="D81" s="72"/>
      <c r="E81" s="72"/>
      <c r="F81" s="72"/>
      <c r="G81" s="72"/>
      <c r="H81" s="72"/>
      <c r="I81" s="71"/>
      <c r="J81" s="233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</row>
    <row r="82" spans="1:20">
      <c r="A82" s="70"/>
      <c r="B82" s="72"/>
      <c r="C82" s="72"/>
      <c r="D82" s="72"/>
      <c r="E82" s="72"/>
      <c r="F82" s="72"/>
      <c r="G82" s="72"/>
      <c r="H82" s="72"/>
      <c r="I82" s="71"/>
      <c r="J82" s="233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</row>
    <row r="83" spans="1:2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</row>
    <row r="84" spans="1:2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</row>
    <row r="85" spans="1:2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</row>
    <row r="86" spans="1:2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</row>
    <row r="87" spans="1:2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</row>
    <row r="88" spans="1:2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</row>
    <row r="89" spans="1:2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</row>
    <row r="90" spans="1:2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</row>
    <row r="91" spans="1:2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</row>
    <row r="92" spans="1:2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</row>
    <row r="93" spans="1:2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</row>
    <row r="94" spans="1:2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</row>
    <row r="95" spans="1:2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</row>
    <row r="96" spans="1:2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</row>
    <row r="97" spans="1:2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</row>
    <row r="98" spans="1:2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</row>
    <row r="99" spans="1:2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</row>
    <row r="100" spans="1:2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</row>
    <row r="101" spans="1:2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</row>
    <row r="102" spans="1:2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</row>
    <row r="103" spans="1:2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</row>
    <row r="104" spans="1:2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</row>
    <row r="105" spans="1:2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</row>
    <row r="106" spans="1:2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</row>
    <row r="107" spans="1:2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</row>
    <row r="108" spans="1:20">
      <c r="A108" s="70"/>
      <c r="B108" s="72"/>
      <c r="C108" s="72"/>
      <c r="D108" s="72"/>
      <c r="E108" s="72"/>
      <c r="F108" s="72"/>
      <c r="G108" s="72"/>
      <c r="H108" s="72"/>
      <c r="I108" s="71"/>
      <c r="J108" s="72"/>
      <c r="K108" s="73"/>
      <c r="L108" s="72"/>
      <c r="M108" s="72"/>
      <c r="N108" s="72"/>
      <c r="O108" s="72"/>
      <c r="P108" s="72"/>
      <c r="Q108" s="75"/>
      <c r="R108" s="72"/>
      <c r="S108" s="72"/>
      <c r="T108" s="72"/>
    </row>
    <row r="109" spans="1:20">
      <c r="A109" s="70"/>
      <c r="B109" s="72"/>
      <c r="C109" s="72"/>
      <c r="D109" s="72"/>
      <c r="E109" s="72"/>
      <c r="F109" s="72"/>
      <c r="G109" s="72"/>
      <c r="H109" s="72"/>
      <c r="I109" s="71"/>
      <c r="J109" s="72"/>
      <c r="K109" s="73"/>
      <c r="L109" s="72"/>
      <c r="M109" s="72"/>
      <c r="N109" s="72"/>
      <c r="O109" s="72"/>
      <c r="P109" s="72"/>
      <c r="Q109" s="75"/>
      <c r="R109" s="72"/>
      <c r="S109" s="72"/>
      <c r="T109" s="72"/>
    </row>
    <row r="110" spans="1:20">
      <c r="A110" s="70"/>
      <c r="B110" s="72"/>
      <c r="C110" s="72"/>
      <c r="D110" s="72"/>
      <c r="E110" s="72"/>
      <c r="F110" s="72"/>
      <c r="G110" s="72"/>
      <c r="H110" s="72"/>
      <c r="I110" s="71"/>
      <c r="J110" s="72"/>
      <c r="K110" s="73"/>
      <c r="L110" s="72"/>
      <c r="M110" s="72"/>
      <c r="N110" s="72"/>
      <c r="O110" s="72"/>
      <c r="P110" s="72"/>
      <c r="Q110" s="75"/>
      <c r="R110" s="72"/>
      <c r="S110" s="72"/>
      <c r="T110" s="72"/>
    </row>
    <row r="111" spans="1:20">
      <c r="A111" s="70"/>
      <c r="B111" s="72"/>
      <c r="C111" s="72"/>
      <c r="D111" s="72"/>
      <c r="E111" s="72"/>
      <c r="F111" s="72"/>
      <c r="G111" s="72"/>
      <c r="H111" s="72"/>
      <c r="I111" s="71"/>
      <c r="J111" s="72"/>
      <c r="K111" s="73"/>
      <c r="L111" s="72"/>
      <c r="M111" s="72"/>
      <c r="N111" s="72"/>
      <c r="O111" s="72"/>
      <c r="P111" s="72"/>
      <c r="Q111" s="75"/>
      <c r="R111" s="72"/>
      <c r="S111" s="72"/>
      <c r="T111" s="72"/>
    </row>
    <row r="112" spans="1:20">
      <c r="A112" s="70"/>
      <c r="B112" s="72"/>
      <c r="C112" s="72"/>
      <c r="D112" s="72"/>
      <c r="E112" s="72"/>
      <c r="F112" s="72"/>
      <c r="G112" s="72"/>
      <c r="H112" s="72"/>
      <c r="I112" s="71"/>
      <c r="J112" s="72"/>
      <c r="K112" s="73"/>
      <c r="L112" s="72"/>
      <c r="M112" s="72"/>
      <c r="N112" s="72"/>
      <c r="O112" s="72"/>
      <c r="P112" s="72"/>
      <c r="Q112" s="75"/>
      <c r="R112" s="72"/>
      <c r="S112" s="72"/>
      <c r="T112" s="72"/>
    </row>
    <row r="113" spans="1:20">
      <c r="A113" s="70"/>
      <c r="B113" s="72"/>
      <c r="C113" s="72"/>
      <c r="D113" s="72"/>
      <c r="E113" s="72"/>
      <c r="F113" s="72"/>
      <c r="G113" s="72"/>
      <c r="H113" s="72"/>
      <c r="I113" s="71"/>
      <c r="J113" s="72"/>
      <c r="K113" s="73"/>
      <c r="L113" s="72"/>
      <c r="M113" s="72"/>
      <c r="N113" s="72"/>
      <c r="O113" s="72"/>
      <c r="P113" s="72"/>
      <c r="Q113" s="75"/>
      <c r="R113" s="72"/>
      <c r="S113" s="72"/>
      <c r="T113" s="72"/>
    </row>
    <row r="114" spans="1:20">
      <c r="A114" s="70"/>
      <c r="B114" s="72"/>
      <c r="C114" s="72"/>
      <c r="D114" s="72"/>
      <c r="E114" s="72"/>
      <c r="F114" s="72"/>
      <c r="G114" s="72"/>
      <c r="H114" s="72"/>
      <c r="I114" s="71"/>
      <c r="J114" s="72"/>
      <c r="K114" s="73"/>
      <c r="L114" s="72"/>
      <c r="M114" s="72"/>
      <c r="N114" s="72"/>
      <c r="O114" s="72"/>
      <c r="P114" s="72"/>
      <c r="Q114" s="75"/>
      <c r="R114" s="72"/>
      <c r="S114" s="72"/>
      <c r="T114" s="72"/>
    </row>
    <row r="115" spans="1:20">
      <c r="A115" s="70"/>
      <c r="B115" s="72"/>
      <c r="C115" s="72"/>
      <c r="D115" s="72"/>
      <c r="E115" s="72"/>
      <c r="F115" s="72"/>
      <c r="G115" s="72"/>
      <c r="H115" s="72"/>
      <c r="I115" s="71"/>
      <c r="J115" s="72"/>
      <c r="K115" s="73"/>
      <c r="L115" s="166" t="s">
        <v>418</v>
      </c>
      <c r="M115" s="86" t="s">
        <v>419</v>
      </c>
      <c r="N115" s="87" t="s">
        <v>420</v>
      </c>
      <c r="O115" s="88" t="s">
        <v>421</v>
      </c>
      <c r="P115" s="89" t="s">
        <v>422</v>
      </c>
      <c r="Q115" s="90" t="s">
        <v>423</v>
      </c>
      <c r="R115" s="167" t="s">
        <v>33</v>
      </c>
      <c r="S115" s="167" t="s">
        <v>424</v>
      </c>
      <c r="T115" s="167" t="s">
        <v>425</v>
      </c>
    </row>
    <row r="116" spans="1:20">
      <c r="A116" s="70"/>
      <c r="B116" s="72"/>
      <c r="C116" s="72"/>
      <c r="D116" s="72"/>
      <c r="E116" s="72"/>
      <c r="F116" s="72"/>
      <c r="G116" s="72"/>
      <c r="H116" s="72"/>
      <c r="I116" s="71"/>
      <c r="J116" s="72"/>
      <c r="K116" s="72"/>
      <c r="L116" s="72">
        <v>2017</v>
      </c>
      <c r="M116" s="102"/>
      <c r="N116" s="102"/>
      <c r="O116" s="102"/>
      <c r="P116" s="102"/>
      <c r="Q116" s="102"/>
      <c r="R116" s="102"/>
      <c r="S116" s="102"/>
      <c r="T116" s="102"/>
    </row>
    <row r="117" spans="1:20">
      <c r="A117" s="70"/>
      <c r="B117" s="72"/>
      <c r="C117" s="72"/>
      <c r="D117" s="72"/>
      <c r="E117" s="72"/>
      <c r="F117" s="72"/>
      <c r="G117" s="72"/>
      <c r="H117" s="72"/>
      <c r="I117" s="71"/>
      <c r="J117" s="72"/>
      <c r="K117" s="72"/>
      <c r="L117" s="72">
        <v>2016</v>
      </c>
      <c r="M117" s="102">
        <v>66.926923076923075</v>
      </c>
      <c r="N117" s="102">
        <v>59.937692307692302</v>
      </c>
      <c r="O117" s="102">
        <v>63.74666666666667</v>
      </c>
      <c r="P117" s="102">
        <v>63.75</v>
      </c>
      <c r="Q117" s="102">
        <v>59.8</v>
      </c>
      <c r="R117" s="102">
        <v>63.53157894736843</v>
      </c>
      <c r="S117" s="102">
        <v>62.775438596491249</v>
      </c>
      <c r="T117" s="102">
        <v>56</v>
      </c>
    </row>
    <row r="118" spans="1:20">
      <c r="A118" s="70"/>
      <c r="B118" s="72"/>
      <c r="C118" s="72"/>
      <c r="D118" s="72"/>
      <c r="E118" s="72"/>
      <c r="F118" s="72"/>
      <c r="G118" s="72"/>
      <c r="H118" s="72"/>
      <c r="I118" s="71"/>
      <c r="J118" s="72"/>
      <c r="K118" s="72"/>
      <c r="L118" s="72">
        <v>2015</v>
      </c>
      <c r="M118" s="102">
        <v>67.15384615384616</v>
      </c>
      <c r="N118" s="102">
        <v>61</v>
      </c>
      <c r="O118" s="102">
        <v>59.083333333333336</v>
      </c>
      <c r="P118" s="102">
        <v>65</v>
      </c>
      <c r="Q118" s="102">
        <v>62.3</v>
      </c>
      <c r="R118" s="102">
        <v>62.421052631578945</v>
      </c>
      <c r="S118" s="102">
        <v>62.666666666666664</v>
      </c>
      <c r="T118" s="102">
        <v>57</v>
      </c>
    </row>
    <row r="119" spans="1:20">
      <c r="A119" s="70"/>
      <c r="B119" s="72"/>
      <c r="C119" s="72"/>
      <c r="D119" s="72"/>
      <c r="E119" s="72"/>
      <c r="F119" s="72"/>
      <c r="G119" s="72"/>
      <c r="H119" s="72"/>
      <c r="I119" s="71"/>
      <c r="J119" s="72"/>
      <c r="K119" s="72"/>
      <c r="L119" s="72">
        <v>2014</v>
      </c>
      <c r="M119" s="102">
        <v>61.92307692307692</v>
      </c>
      <c r="N119" s="102">
        <v>59.615384615384613</v>
      </c>
      <c r="O119" s="102">
        <v>58.416666666666664</v>
      </c>
      <c r="P119" s="102">
        <v>64.25</v>
      </c>
      <c r="Q119" s="102">
        <v>63.5</v>
      </c>
      <c r="R119" s="102">
        <v>60.026315789473685</v>
      </c>
      <c r="S119" s="102">
        <v>61.070175438596493</v>
      </c>
      <c r="T119" s="102">
        <v>51</v>
      </c>
    </row>
    <row r="120" spans="1:20">
      <c r="A120" s="70"/>
      <c r="B120" s="72"/>
      <c r="C120" s="72"/>
      <c r="D120" s="72"/>
      <c r="E120" s="72"/>
      <c r="F120" s="72"/>
      <c r="G120" s="72"/>
      <c r="H120" s="72"/>
      <c r="I120" s="71"/>
      <c r="J120" s="72"/>
      <c r="K120" s="72"/>
      <c r="L120" s="72">
        <v>2013</v>
      </c>
      <c r="M120" s="102">
        <v>66</v>
      </c>
      <c r="N120" s="102">
        <v>62</v>
      </c>
      <c r="O120" s="102">
        <v>63</v>
      </c>
      <c r="P120" s="102">
        <v>66</v>
      </c>
      <c r="Q120" s="102">
        <v>65</v>
      </c>
      <c r="R120" s="102">
        <v>63.842105263157897</v>
      </c>
      <c r="S120" s="102">
        <v>64</v>
      </c>
      <c r="T120" s="102">
        <v>57</v>
      </c>
    </row>
    <row r="121" spans="1:20">
      <c r="A121" s="70"/>
      <c r="B121" s="72"/>
      <c r="C121" s="72"/>
      <c r="D121" s="72"/>
      <c r="E121" s="72"/>
      <c r="F121" s="72"/>
      <c r="G121" s="72"/>
      <c r="H121" s="72"/>
      <c r="I121" s="71"/>
      <c r="J121" s="72"/>
      <c r="K121" s="73"/>
      <c r="L121" s="72">
        <v>2012</v>
      </c>
      <c r="M121" s="102">
        <v>69</v>
      </c>
      <c r="N121" s="102">
        <v>67</v>
      </c>
      <c r="O121" s="102">
        <v>66</v>
      </c>
      <c r="P121" s="102">
        <v>68</v>
      </c>
      <c r="Q121" s="102">
        <v>68</v>
      </c>
      <c r="R121" s="102">
        <v>67.07692307692308</v>
      </c>
      <c r="S121" s="102">
        <v>67</v>
      </c>
      <c r="T121" s="102">
        <v>62</v>
      </c>
    </row>
    <row r="122" spans="1:20">
      <c r="A122" s="70"/>
      <c r="B122" s="72"/>
      <c r="C122" s="72"/>
      <c r="D122" s="72"/>
      <c r="E122" s="72"/>
      <c r="F122" s="72"/>
      <c r="G122" s="72"/>
      <c r="H122" s="72"/>
      <c r="I122" s="71"/>
      <c r="J122" s="72"/>
      <c r="K122" s="73"/>
      <c r="L122" s="72">
        <v>2011</v>
      </c>
      <c r="M122" s="102">
        <v>62</v>
      </c>
      <c r="N122" s="102">
        <v>61</v>
      </c>
      <c r="O122" s="102">
        <v>60</v>
      </c>
      <c r="P122" s="102">
        <v>62</v>
      </c>
      <c r="Q122" s="102">
        <v>66</v>
      </c>
      <c r="R122" s="102">
        <v>61.179487179487182</v>
      </c>
      <c r="S122" s="102">
        <v>62</v>
      </c>
      <c r="T122" s="102">
        <v>51</v>
      </c>
    </row>
    <row r="123" spans="1:20">
      <c r="A123" s="70"/>
      <c r="B123" s="72"/>
      <c r="C123" s="72"/>
      <c r="D123" s="72"/>
      <c r="E123" s="72"/>
      <c r="F123" s="72"/>
      <c r="G123" s="72"/>
      <c r="H123" s="72"/>
      <c r="I123" s="71"/>
      <c r="J123" s="72"/>
      <c r="K123" s="73"/>
      <c r="L123" s="72">
        <v>2010</v>
      </c>
      <c r="M123" s="102">
        <v>65</v>
      </c>
      <c r="N123" s="102">
        <v>63</v>
      </c>
      <c r="O123" s="102">
        <v>61</v>
      </c>
      <c r="P123" s="102">
        <v>61</v>
      </c>
      <c r="Q123" s="102">
        <v>63</v>
      </c>
      <c r="R123" s="102">
        <v>63.358974358974358</v>
      </c>
      <c r="S123" s="102">
        <v>63</v>
      </c>
      <c r="T123" s="102">
        <v>55</v>
      </c>
    </row>
    <row r="124" spans="1:20">
      <c r="A124" s="70"/>
      <c r="B124" s="72"/>
      <c r="C124" s="72"/>
      <c r="D124" s="72"/>
      <c r="E124" s="72"/>
      <c r="F124" s="72"/>
      <c r="G124" s="72"/>
      <c r="H124" s="72"/>
      <c r="I124" s="71"/>
      <c r="J124" s="72"/>
      <c r="K124" s="73"/>
      <c r="L124" s="72">
        <v>2009</v>
      </c>
      <c r="M124" s="102">
        <v>66</v>
      </c>
      <c r="N124" s="102">
        <v>64</v>
      </c>
      <c r="O124" s="102">
        <v>61</v>
      </c>
      <c r="P124" s="102">
        <v>58</v>
      </c>
      <c r="Q124" s="102">
        <v>62</v>
      </c>
      <c r="R124" s="102">
        <v>63.615384615384613</v>
      </c>
      <c r="S124" s="102">
        <v>62</v>
      </c>
      <c r="T124" s="102">
        <v>52</v>
      </c>
    </row>
    <row r="125" spans="1:20">
      <c r="A125" s="70"/>
      <c r="B125" s="72"/>
      <c r="C125" s="72"/>
      <c r="D125" s="72"/>
      <c r="E125" s="72"/>
      <c r="F125" s="72"/>
      <c r="G125" s="72"/>
      <c r="H125" s="72"/>
      <c r="I125" s="71"/>
      <c r="J125" s="72"/>
      <c r="K125" s="73"/>
      <c r="L125" s="72">
        <v>2008</v>
      </c>
      <c r="M125" s="102">
        <v>66</v>
      </c>
      <c r="N125" s="102">
        <v>64</v>
      </c>
      <c r="O125" s="102">
        <v>61</v>
      </c>
      <c r="P125" s="102">
        <v>59</v>
      </c>
      <c r="Q125" s="102">
        <v>62</v>
      </c>
      <c r="R125" s="102">
        <v>64</v>
      </c>
      <c r="S125" s="102">
        <v>62</v>
      </c>
      <c r="T125" s="102">
        <v>48</v>
      </c>
    </row>
    <row r="126" spans="1:20">
      <c r="A126" s="70"/>
      <c r="B126" s="72"/>
      <c r="C126" s="72"/>
      <c r="D126" s="72"/>
      <c r="E126" s="72"/>
      <c r="F126" s="72"/>
      <c r="G126" s="72"/>
      <c r="H126" s="72"/>
      <c r="I126" s="71"/>
      <c r="J126" s="72"/>
      <c r="K126" s="73"/>
      <c r="L126" s="72">
        <v>2007</v>
      </c>
      <c r="M126" s="102">
        <v>66.721428571428561</v>
      </c>
      <c r="N126" s="102">
        <v>66.944615384615389</v>
      </c>
      <c r="O126" s="102">
        <v>63.770833333333336</v>
      </c>
      <c r="P126" s="102">
        <v>61.237499999999997</v>
      </c>
      <c r="Q126" s="102">
        <v>65.471000000000004</v>
      </c>
      <c r="R126" s="102">
        <v>66</v>
      </c>
      <c r="S126" s="102">
        <v>65</v>
      </c>
      <c r="T126" s="102">
        <v>57.02</v>
      </c>
    </row>
    <row r="127" spans="1:20">
      <c r="A127" s="70"/>
      <c r="B127" s="72"/>
      <c r="C127" s="72"/>
      <c r="D127" s="72"/>
      <c r="E127" s="72"/>
      <c r="F127" s="72"/>
      <c r="G127" s="72"/>
      <c r="H127" s="72"/>
      <c r="I127" s="71"/>
      <c r="J127" s="72"/>
      <c r="K127" s="73"/>
      <c r="L127" s="72">
        <v>2006</v>
      </c>
      <c r="M127" s="102">
        <v>74.330714285714294</v>
      </c>
      <c r="N127" s="102">
        <v>73.815384615384602</v>
      </c>
      <c r="O127" s="102">
        <v>69.734999999999999</v>
      </c>
      <c r="P127" s="102">
        <v>71.428750000000008</v>
      </c>
      <c r="Q127" s="102">
        <v>73.431000000000012</v>
      </c>
      <c r="R127" s="102">
        <v>73</v>
      </c>
      <c r="S127" s="102">
        <v>73</v>
      </c>
      <c r="T127" s="102">
        <v>70.81</v>
      </c>
    </row>
    <row r="128" spans="1:20">
      <c r="A128" s="70"/>
      <c r="B128" s="72"/>
      <c r="C128" s="72"/>
      <c r="D128" s="72"/>
      <c r="E128" s="72"/>
      <c r="F128" s="72"/>
      <c r="G128" s="72"/>
      <c r="H128" s="72"/>
      <c r="I128" s="71"/>
      <c r="J128" s="72"/>
      <c r="K128" s="73"/>
      <c r="L128" s="72">
        <v>2005</v>
      </c>
      <c r="M128" s="102">
        <v>70</v>
      </c>
      <c r="N128" s="102">
        <v>71</v>
      </c>
      <c r="O128" s="102">
        <v>66</v>
      </c>
      <c r="P128" s="102">
        <v>67</v>
      </c>
      <c r="Q128" s="102">
        <v>69</v>
      </c>
      <c r="R128" s="102">
        <v>69</v>
      </c>
      <c r="S128" s="102">
        <v>69</v>
      </c>
      <c r="T128" s="102">
        <v>66.099999999999994</v>
      </c>
    </row>
    <row r="129" spans="1:20">
      <c r="A129" s="70"/>
      <c r="B129" s="72"/>
      <c r="C129" s="72"/>
      <c r="D129" s="72"/>
      <c r="E129" s="72"/>
      <c r="F129" s="72"/>
      <c r="G129" s="72"/>
      <c r="H129" s="72"/>
      <c r="I129" s="71"/>
      <c r="J129" s="72"/>
      <c r="K129" s="73"/>
      <c r="L129" s="72">
        <v>2004</v>
      </c>
      <c r="M129" s="102"/>
      <c r="N129" s="102"/>
      <c r="O129" s="102"/>
      <c r="P129" s="102"/>
      <c r="Q129" s="102"/>
      <c r="R129" s="102"/>
      <c r="S129" s="102"/>
      <c r="T129" s="72"/>
    </row>
    <row r="130" spans="1:20">
      <c r="A130" s="70"/>
      <c r="B130" s="72"/>
      <c r="C130" s="72"/>
      <c r="D130" s="72"/>
      <c r="E130" s="72"/>
      <c r="F130" s="72"/>
      <c r="G130" s="72"/>
      <c r="H130" s="72"/>
      <c r="I130" s="71"/>
      <c r="J130" s="72"/>
      <c r="K130" s="73"/>
      <c r="L130" s="72">
        <v>2003</v>
      </c>
      <c r="M130" s="102"/>
      <c r="N130" s="102"/>
      <c r="O130" s="102"/>
      <c r="P130" s="102"/>
      <c r="Q130" s="102"/>
      <c r="R130" s="102"/>
      <c r="S130" s="102"/>
      <c r="T130" s="72"/>
    </row>
    <row r="131" spans="1:20">
      <c r="A131" s="70"/>
      <c r="B131" s="72"/>
      <c r="C131" s="72"/>
      <c r="D131" s="72"/>
      <c r="E131" s="72"/>
      <c r="F131" s="72"/>
      <c r="G131" s="72"/>
      <c r="H131" s="72"/>
      <c r="I131" s="71"/>
      <c r="J131" s="72"/>
      <c r="K131" s="73"/>
      <c r="L131" s="72">
        <v>2002</v>
      </c>
      <c r="M131" s="102"/>
      <c r="N131" s="102"/>
      <c r="O131" s="102"/>
      <c r="P131" s="102"/>
      <c r="Q131" s="102"/>
      <c r="R131" s="102"/>
      <c r="S131" s="102"/>
      <c r="T131" s="72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14">
    <cfRule type="cellIs" dxfId="183" priority="102" operator="lessThanOrEqual">
      <formula>-5</formula>
    </cfRule>
    <cfRule type="cellIs" dxfId="182" priority="103" operator="greaterThanOrEqual">
      <formula>5</formula>
    </cfRule>
  </conditionalFormatting>
  <conditionalFormatting sqref="M2:M15">
    <cfRule type="expression" dxfId="181" priority="97">
      <formula>M2=""</formula>
    </cfRule>
    <cfRule type="expression" dxfId="180" priority="98">
      <formula>M2&lt;44.5</formula>
    </cfRule>
    <cfRule type="expression" dxfId="179" priority="99">
      <formula>M2&lt;60.5</formula>
    </cfRule>
    <cfRule type="expression" dxfId="178" priority="100">
      <formula>M2&lt;85.5</formula>
    </cfRule>
    <cfRule type="expression" dxfId="177" priority="101">
      <formula>M2&gt;85.5</formula>
    </cfRule>
  </conditionalFormatting>
  <conditionalFormatting sqref="O2:P15 M2:M15">
    <cfRule type="expression" dxfId="176" priority="92">
      <formula>M2=""</formula>
    </cfRule>
    <cfRule type="expression" dxfId="175" priority="93">
      <formula>M2&lt;44.5</formula>
    </cfRule>
    <cfRule type="expression" dxfId="174" priority="94">
      <formula>M2&lt;60.5</formula>
    </cfRule>
    <cfRule type="expression" dxfId="173" priority="95">
      <formula>M2&lt;85.5</formula>
    </cfRule>
    <cfRule type="expression" dxfId="172" priority="96">
      <formula>M2&gt;85.5</formula>
    </cfRule>
  </conditionalFormatting>
  <conditionalFormatting sqref="N2:N15">
    <cfRule type="expression" dxfId="171" priority="87">
      <formula>N2=""</formula>
    </cfRule>
    <cfRule type="expression" dxfId="170" priority="88">
      <formula>N2&lt;44.5</formula>
    </cfRule>
    <cfRule type="expression" dxfId="169" priority="89">
      <formula>N2&lt;60.5</formula>
    </cfRule>
    <cfRule type="expression" dxfId="168" priority="90">
      <formula>N2&lt;85.5</formula>
    </cfRule>
    <cfRule type="expression" dxfId="167" priority="91">
      <formula>N2&gt;85.5</formula>
    </cfRule>
  </conditionalFormatting>
  <conditionalFormatting sqref="N2:N15">
    <cfRule type="expression" dxfId="166" priority="82">
      <formula>N2=""</formula>
    </cfRule>
    <cfRule type="expression" dxfId="165" priority="83">
      <formula>N2&lt;44.5</formula>
    </cfRule>
    <cfRule type="expression" dxfId="164" priority="84">
      <formula>N2&lt;60.5</formula>
    </cfRule>
    <cfRule type="expression" dxfId="163" priority="85">
      <formula>N2&lt;85.5</formula>
    </cfRule>
    <cfRule type="expression" dxfId="162" priority="86">
      <formula>N2&gt;85.5</formula>
    </cfRule>
  </conditionalFormatting>
  <conditionalFormatting sqref="M17:M29">
    <cfRule type="expression" dxfId="161" priority="77">
      <formula>M17=""</formula>
    </cfRule>
    <cfRule type="expression" dxfId="160" priority="78">
      <formula>M17&lt;44.5</formula>
    </cfRule>
    <cfRule type="expression" dxfId="159" priority="79">
      <formula>M17&lt;60.5</formula>
    </cfRule>
    <cfRule type="expression" dxfId="158" priority="80">
      <formula>M17&lt;85.5</formula>
    </cfRule>
    <cfRule type="expression" dxfId="157" priority="81">
      <formula>M17&gt;85.5</formula>
    </cfRule>
  </conditionalFormatting>
  <conditionalFormatting sqref="O17:P29">
    <cfRule type="expression" dxfId="156" priority="72">
      <formula>O17=""</formula>
    </cfRule>
    <cfRule type="expression" dxfId="155" priority="73">
      <formula>O17&lt;44.5</formula>
    </cfRule>
    <cfRule type="expression" dxfId="154" priority="74">
      <formula>O17&lt;60.5</formula>
    </cfRule>
    <cfRule type="expression" dxfId="153" priority="75">
      <formula>O17&lt;85.5</formula>
    </cfRule>
    <cfRule type="expression" dxfId="152" priority="76">
      <formula>O17&gt;85.5</formula>
    </cfRule>
  </conditionalFormatting>
  <conditionalFormatting sqref="N17:N29">
    <cfRule type="expression" dxfId="151" priority="67">
      <formula>N17=""</formula>
    </cfRule>
    <cfRule type="expression" dxfId="150" priority="68">
      <formula>N17&lt;44.5</formula>
    </cfRule>
    <cfRule type="expression" dxfId="149" priority="69">
      <formula>N17&lt;60.5</formula>
    </cfRule>
    <cfRule type="expression" dxfId="148" priority="70">
      <formula>N17&lt;85.5</formula>
    </cfRule>
    <cfRule type="expression" dxfId="147" priority="71">
      <formula>N17&gt;85.5</formula>
    </cfRule>
  </conditionalFormatting>
  <conditionalFormatting sqref="M31:M42">
    <cfRule type="expression" dxfId="146" priority="62">
      <formula>M31=""</formula>
    </cfRule>
    <cfRule type="expression" dxfId="145" priority="63">
      <formula>M31&lt;44.5</formula>
    </cfRule>
    <cfRule type="expression" dxfId="144" priority="64">
      <formula>M31&lt;60.5</formula>
    </cfRule>
    <cfRule type="expression" dxfId="143" priority="65">
      <formula>M31&lt;85.5</formula>
    </cfRule>
    <cfRule type="expression" dxfId="142" priority="66">
      <formula>M31&gt;85.5</formula>
    </cfRule>
  </conditionalFormatting>
  <conditionalFormatting sqref="O31:P42">
    <cfRule type="expression" dxfId="141" priority="57">
      <formula>O31=""</formula>
    </cfRule>
    <cfRule type="expression" dxfId="140" priority="58">
      <formula>O31&lt;44.5</formula>
    </cfRule>
    <cfRule type="expression" dxfId="139" priority="59">
      <formula>O31&lt;60.5</formula>
    </cfRule>
    <cfRule type="expression" dxfId="138" priority="60">
      <formula>O31&lt;85.5</formula>
    </cfRule>
    <cfRule type="expression" dxfId="137" priority="61">
      <formula>O31&gt;85.5</formula>
    </cfRule>
  </conditionalFormatting>
  <conditionalFormatting sqref="N31:N42">
    <cfRule type="expression" dxfId="136" priority="52">
      <formula>N31=""</formula>
    </cfRule>
    <cfRule type="expression" dxfId="135" priority="53">
      <formula>N31&lt;44.5</formula>
    </cfRule>
    <cfRule type="expression" dxfId="134" priority="54">
      <formula>N31&lt;60.5</formula>
    </cfRule>
    <cfRule type="expression" dxfId="133" priority="55">
      <formula>N31&lt;85.5</formula>
    </cfRule>
    <cfRule type="expression" dxfId="132" priority="56">
      <formula>N31&gt;85.5</formula>
    </cfRule>
  </conditionalFormatting>
  <conditionalFormatting sqref="M44:M51">
    <cfRule type="expression" dxfId="131" priority="47">
      <formula>M44=""</formula>
    </cfRule>
    <cfRule type="expression" dxfId="130" priority="48">
      <formula>M44&lt;44.5</formula>
    </cfRule>
    <cfRule type="expression" dxfId="129" priority="49">
      <formula>M44&lt;60.5</formula>
    </cfRule>
    <cfRule type="expression" dxfId="128" priority="50">
      <formula>M44&lt;85.5</formula>
    </cfRule>
    <cfRule type="expression" dxfId="127" priority="51">
      <formula>M44&gt;85.5</formula>
    </cfRule>
  </conditionalFormatting>
  <conditionalFormatting sqref="O44:P51">
    <cfRule type="expression" dxfId="126" priority="42">
      <formula>O44=""</formula>
    </cfRule>
    <cfRule type="expression" dxfId="125" priority="43">
      <formula>O44&lt;44.5</formula>
    </cfRule>
    <cfRule type="expression" dxfId="124" priority="44">
      <formula>O44&lt;60.5</formula>
    </cfRule>
    <cfRule type="expression" dxfId="123" priority="45">
      <formula>O44&lt;85.5</formula>
    </cfRule>
    <cfRule type="expression" dxfId="122" priority="46">
      <formula>O44&gt;85.5</formula>
    </cfRule>
  </conditionalFormatting>
  <conditionalFormatting sqref="N44:N51">
    <cfRule type="expression" dxfId="121" priority="37">
      <formula>N44=""</formula>
    </cfRule>
    <cfRule type="expression" dxfId="120" priority="38">
      <formula>N44&lt;44.5</formula>
    </cfRule>
    <cfRule type="expression" dxfId="119" priority="39">
      <formula>N44&lt;60.5</formula>
    </cfRule>
    <cfRule type="expression" dxfId="118" priority="40">
      <formula>N44&lt;85.5</formula>
    </cfRule>
    <cfRule type="expression" dxfId="117" priority="41">
      <formula>N44&gt;85.5</formula>
    </cfRule>
  </conditionalFormatting>
  <conditionalFormatting sqref="M53:M62">
    <cfRule type="expression" dxfId="116" priority="32">
      <formula>M53=""</formula>
    </cfRule>
    <cfRule type="expression" dxfId="115" priority="33">
      <formula>M53&lt;44.5</formula>
    </cfRule>
    <cfRule type="expression" dxfId="114" priority="34">
      <formula>M53&lt;60.5</formula>
    </cfRule>
    <cfRule type="expression" dxfId="113" priority="35">
      <formula>M53&lt;85.5</formula>
    </cfRule>
    <cfRule type="expression" dxfId="112" priority="36">
      <formula>M53&gt;85.5</formula>
    </cfRule>
  </conditionalFormatting>
  <conditionalFormatting sqref="O53:P62">
    <cfRule type="expression" dxfId="111" priority="27">
      <formula>O53=""</formula>
    </cfRule>
    <cfRule type="expression" dxfId="110" priority="28">
      <formula>O53&lt;44.5</formula>
    </cfRule>
    <cfRule type="expression" dxfId="109" priority="29">
      <formula>O53&lt;60.5</formula>
    </cfRule>
    <cfRule type="expression" dxfId="108" priority="30">
      <formula>O53&lt;85.5</formula>
    </cfRule>
    <cfRule type="expression" dxfId="107" priority="31">
      <formula>O53&gt;85.5</formula>
    </cfRule>
  </conditionalFormatting>
  <conditionalFormatting sqref="N53:N62">
    <cfRule type="expression" dxfId="106" priority="22">
      <formula>N53=""</formula>
    </cfRule>
    <cfRule type="expression" dxfId="105" priority="23">
      <formula>N53&lt;44.5</formula>
    </cfRule>
    <cfRule type="expression" dxfId="104" priority="24">
      <formula>N53&lt;60.5</formula>
    </cfRule>
    <cfRule type="expression" dxfId="103" priority="25">
      <formula>N53&lt;85.5</formula>
    </cfRule>
    <cfRule type="expression" dxfId="102" priority="26">
      <formula>N53&gt;85.5</formula>
    </cfRule>
  </conditionalFormatting>
  <conditionalFormatting sqref="Q63:Q70">
    <cfRule type="cellIs" dxfId="101" priority="20" operator="lessThanOrEqual">
      <formula>-5</formula>
    </cfRule>
    <cfRule type="cellIs" dxfId="100" priority="21" operator="greaterThanOrEqual">
      <formula>5</formula>
    </cfRule>
  </conditionalFormatting>
  <conditionalFormatting sqref="M64:M70">
    <cfRule type="expression" dxfId="99" priority="15">
      <formula>M64=""</formula>
    </cfRule>
    <cfRule type="expression" dxfId="98" priority="16">
      <formula>M64&lt;44.5</formula>
    </cfRule>
    <cfRule type="expression" dxfId="97" priority="17">
      <formula>M64&lt;60.5</formula>
    </cfRule>
    <cfRule type="expression" dxfId="96" priority="18">
      <formula>M64&lt;85.5</formula>
    </cfRule>
    <cfRule type="expression" dxfId="95" priority="19">
      <formula>M64&gt;85.5</formula>
    </cfRule>
  </conditionalFormatting>
  <conditionalFormatting sqref="O64:P70">
    <cfRule type="expression" dxfId="94" priority="10">
      <formula>O64=""</formula>
    </cfRule>
    <cfRule type="expression" dxfId="93" priority="11">
      <formula>O64&lt;44.5</formula>
    </cfRule>
    <cfRule type="expression" dxfId="92" priority="12">
      <formula>O64&lt;60.5</formula>
    </cfRule>
    <cfRule type="expression" dxfId="91" priority="13">
      <formula>O64&lt;85.5</formula>
    </cfRule>
    <cfRule type="expression" dxfId="90" priority="14">
      <formula>O64&gt;85.5</formula>
    </cfRule>
  </conditionalFormatting>
  <conditionalFormatting sqref="N64:N68">
    <cfRule type="expression" dxfId="89" priority="5">
      <formula>N64=""</formula>
    </cfRule>
    <cfRule type="expression" dxfId="88" priority="6">
      <formula>N64&lt;44.5</formula>
    </cfRule>
    <cfRule type="expression" dxfId="87" priority="7">
      <formula>N64&lt;60.5</formula>
    </cfRule>
    <cfRule type="expression" dxfId="86" priority="8">
      <formula>N64&lt;85.5</formula>
    </cfRule>
    <cfRule type="expression" dxfId="85" priority="9">
      <formula>N64&gt;85.5</formula>
    </cfRule>
  </conditionalFormatting>
  <conditionalFormatting sqref="J86 H86">
    <cfRule type="expression" dxfId="84" priority="3">
      <formula>$C86="IMPARCIALIDAD"</formula>
    </cfRule>
  </conditionalFormatting>
  <conditionalFormatting sqref="J98:J107 H98:H107 J86:J96 H86:H96">
    <cfRule type="expression" dxfId="83" priority="4">
      <formula>$C86="RESPETO"</formula>
    </cfRule>
    <cfRule type="expression" dxfId="82" priority="104">
      <formula>$C86="CREDIBILIDAD"</formula>
    </cfRule>
  </conditionalFormatting>
  <conditionalFormatting sqref="I86">
    <cfRule type="expression" dxfId="81" priority="1">
      <formula>$C86="IMPARCIALIDAD"</formula>
    </cfRule>
  </conditionalFormatting>
  <conditionalFormatting sqref="I98:I107 I86:I96">
    <cfRule type="expression" dxfId="80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31" t="s">
        <v>29</v>
      </c>
      <c r="D11" s="332"/>
      <c r="E11" s="332"/>
      <c r="F11" s="332"/>
      <c r="G11" s="332"/>
      <c r="H11" s="11"/>
    </row>
    <row r="12" spans="2:9">
      <c r="H12" s="11"/>
    </row>
    <row r="13" spans="2:9">
      <c r="C13" s="337" t="s">
        <v>30</v>
      </c>
      <c r="D13" s="337"/>
      <c r="E13" s="338"/>
      <c r="G13" s="329" t="s">
        <v>31</v>
      </c>
      <c r="H13" s="329"/>
      <c r="I13" s="11"/>
    </row>
    <row r="14" spans="2:9">
      <c r="C14" s="323" t="s">
        <v>32</v>
      </c>
      <c r="D14" s="324"/>
      <c r="E14" s="109">
        <v>1.96</v>
      </c>
      <c r="G14" s="111" t="s">
        <v>32</v>
      </c>
      <c r="H14" s="111" t="s">
        <v>33</v>
      </c>
      <c r="I14" s="11"/>
    </row>
    <row r="15" spans="2:9">
      <c r="C15" s="335" t="s">
        <v>34</v>
      </c>
      <c r="D15" s="324"/>
      <c r="E15" s="109">
        <v>0.05</v>
      </c>
      <c r="G15" s="112">
        <v>1.282</v>
      </c>
      <c r="H15" s="113">
        <v>0.8</v>
      </c>
      <c r="I15" s="11"/>
    </row>
    <row r="16" spans="2:9">
      <c r="C16" s="323" t="s">
        <v>35</v>
      </c>
      <c r="D16" s="324"/>
      <c r="E16" s="109">
        <v>0.5</v>
      </c>
      <c r="G16" s="112">
        <v>1.44</v>
      </c>
      <c r="H16" s="113">
        <v>0.85</v>
      </c>
      <c r="I16" s="11"/>
    </row>
    <row r="17" spans="3:9">
      <c r="C17" s="323" t="s">
        <v>36</v>
      </c>
      <c r="D17" s="324"/>
      <c r="E17" s="109">
        <v>0.5</v>
      </c>
      <c r="G17" s="112">
        <v>1.65</v>
      </c>
      <c r="H17" s="113">
        <v>0.9</v>
      </c>
      <c r="I17" s="11"/>
    </row>
    <row r="18" spans="3:9">
      <c r="C18" s="336" t="s">
        <v>37</v>
      </c>
      <c r="D18" s="324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29" t="s">
        <v>38</v>
      </c>
      <c r="D20" s="329"/>
      <c r="E20" s="330"/>
      <c r="I20" s="11"/>
    </row>
    <row r="21" spans="3:9">
      <c r="C21" s="323" t="s">
        <v>39</v>
      </c>
      <c r="D21" s="324"/>
      <c r="E21" s="109">
        <f>+(E16*E17)</f>
        <v>0.25</v>
      </c>
      <c r="I21" s="11"/>
    </row>
    <row r="22" spans="3:9">
      <c r="C22" s="323" t="s">
        <v>40</v>
      </c>
      <c r="D22" s="324"/>
      <c r="E22" s="114">
        <f>+E15/E14</f>
        <v>2.5510204081632654E-2</v>
      </c>
      <c r="I22" s="11"/>
    </row>
    <row r="23" spans="3:9">
      <c r="C23" s="323" t="s">
        <v>51</v>
      </c>
      <c r="D23" s="324"/>
      <c r="E23" s="114">
        <f>+E22*E22</f>
        <v>6.5077051228654734E-4</v>
      </c>
      <c r="I23" s="11"/>
    </row>
    <row r="24" spans="3:9">
      <c r="C24" s="323" t="s">
        <v>41</v>
      </c>
      <c r="D24" s="324"/>
      <c r="E24" s="109">
        <f>+E21/E18</f>
        <v>2.1739130434782609E-3</v>
      </c>
      <c r="I24" s="11"/>
    </row>
    <row r="25" spans="3:9" ht="15.75" thickBot="1">
      <c r="C25" s="326" t="s">
        <v>42</v>
      </c>
      <c r="D25" s="324"/>
      <c r="E25" s="115">
        <f>+E21/(E23+E24)</f>
        <v>88.505489221892788</v>
      </c>
      <c r="I25" s="11"/>
    </row>
    <row r="26" spans="3:9" ht="15.75" thickBot="1">
      <c r="C26" s="326" t="s">
        <v>43</v>
      </c>
      <c r="D26" s="324"/>
      <c r="E26" s="115">
        <f>+E25*2</f>
        <v>177.01097844378558</v>
      </c>
      <c r="G26" s="333" t="s">
        <v>44</v>
      </c>
      <c r="H26" s="334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31" t="s">
        <v>45</v>
      </c>
      <c r="D29" s="332"/>
      <c r="E29" s="332"/>
      <c r="F29" s="332"/>
      <c r="G29" s="332"/>
      <c r="H29" s="11"/>
    </row>
    <row r="30" spans="3:9">
      <c r="C30" s="329" t="s">
        <v>30</v>
      </c>
      <c r="D30" s="329"/>
      <c r="E30" s="330"/>
      <c r="G30" s="31"/>
      <c r="H30" s="31"/>
      <c r="I30" s="22"/>
    </row>
    <row r="31" spans="3:9" ht="20.100000000000001" customHeight="1">
      <c r="C31" s="323" t="s">
        <v>32</v>
      </c>
      <c r="D31" s="324"/>
      <c r="E31" s="116">
        <v>1.65</v>
      </c>
      <c r="G31" s="25"/>
      <c r="H31" s="25"/>
      <c r="I31" s="11"/>
    </row>
    <row r="32" spans="3:9">
      <c r="C32" s="323" t="s">
        <v>35</v>
      </c>
      <c r="D32" s="324"/>
      <c r="E32" s="109">
        <v>0.5</v>
      </c>
      <c r="G32" s="25"/>
      <c r="H32" s="25"/>
      <c r="I32" s="11"/>
    </row>
    <row r="33" spans="3:9">
      <c r="C33" s="323" t="s">
        <v>36</v>
      </c>
      <c r="D33" s="324"/>
      <c r="E33" s="109">
        <v>0.5</v>
      </c>
      <c r="G33" s="25"/>
      <c r="H33" s="25"/>
      <c r="I33" s="11"/>
    </row>
    <row r="34" spans="3:9">
      <c r="C34" s="327" t="s">
        <v>37</v>
      </c>
      <c r="D34" s="328"/>
      <c r="E34" s="110">
        <f>$G$3</f>
        <v>5231</v>
      </c>
      <c r="G34" s="26"/>
      <c r="H34" s="26"/>
      <c r="I34" s="11"/>
    </row>
    <row r="35" spans="3:9">
      <c r="C35" s="327" t="s">
        <v>42</v>
      </c>
      <c r="D35" s="328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29" t="s">
        <v>38</v>
      </c>
      <c r="D37" s="329"/>
      <c r="E37" s="330"/>
      <c r="G37" s="31"/>
      <c r="H37" s="31"/>
      <c r="I37" s="11"/>
    </row>
    <row r="38" spans="3:9">
      <c r="C38" s="323" t="s">
        <v>39</v>
      </c>
      <c r="D38" s="324"/>
      <c r="E38" s="117">
        <f>+(E32*E33)</f>
        <v>0.25</v>
      </c>
      <c r="F38" s="23"/>
      <c r="G38" s="25"/>
      <c r="H38" s="28"/>
      <c r="I38" s="11"/>
    </row>
    <row r="39" spans="3:9">
      <c r="C39" s="323" t="s">
        <v>46</v>
      </c>
      <c r="D39" s="324"/>
      <c r="E39" s="114">
        <f>(1/E35)-(1/E34)</f>
        <v>1.3498357073878575E-5</v>
      </c>
      <c r="F39" s="23"/>
      <c r="G39" s="25"/>
      <c r="H39" s="29"/>
      <c r="I39" s="11"/>
    </row>
    <row r="40" spans="3:9">
      <c r="C40" s="323" t="s">
        <v>47</v>
      </c>
      <c r="D40" s="324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23" t="s">
        <v>48</v>
      </c>
      <c r="D41" s="325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26" t="s">
        <v>49</v>
      </c>
      <c r="D42" s="324"/>
      <c r="E42" s="119">
        <f>+E41*E31</f>
        <v>3.0310591025924593E-3</v>
      </c>
      <c r="G42" s="333" t="s">
        <v>50</v>
      </c>
      <c r="H42" s="334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2"/>
  <sheetViews>
    <sheetView topLeftCell="A52" workbookViewId="0">
      <selection activeCell="I3" sqref="I3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328</v>
      </c>
      <c r="C3" s="151">
        <v>2</v>
      </c>
    </row>
    <row r="4" spans="2:8">
      <c r="C4" s="155"/>
    </row>
    <row r="5" spans="2:8" ht="15" customHeight="1">
      <c r="B5" s="159" t="s">
        <v>194</v>
      </c>
      <c r="C5" s="345" t="s">
        <v>378</v>
      </c>
      <c r="D5" s="346"/>
      <c r="E5" s="192" t="s">
        <v>329</v>
      </c>
      <c r="F5" s="192" t="s">
        <v>330</v>
      </c>
      <c r="G5" s="192" t="s">
        <v>442</v>
      </c>
      <c r="H5" s="192" t="s">
        <v>443</v>
      </c>
    </row>
    <row r="6" spans="2:8" ht="30">
      <c r="B6" s="160" t="s">
        <v>395</v>
      </c>
      <c r="C6" s="157" t="s">
        <v>379</v>
      </c>
      <c r="D6" s="162"/>
      <c r="E6" s="163" t="s">
        <v>428</v>
      </c>
      <c r="F6" s="163" t="s">
        <v>368</v>
      </c>
      <c r="G6" s="163"/>
      <c r="H6" s="163"/>
    </row>
    <row r="7" spans="2:8" ht="30">
      <c r="B7" s="160" t="s">
        <v>415</v>
      </c>
      <c r="C7" s="157" t="s">
        <v>380</v>
      </c>
      <c r="D7" s="162"/>
      <c r="E7" s="163" t="s">
        <v>438</v>
      </c>
      <c r="F7" s="163" t="s">
        <v>439</v>
      </c>
      <c r="G7" s="163" t="s">
        <v>445</v>
      </c>
      <c r="H7" s="163" t="s">
        <v>444</v>
      </c>
    </row>
    <row r="8" spans="2:8" ht="30.75" customHeight="1">
      <c r="B8" s="160" t="s">
        <v>396</v>
      </c>
      <c r="C8" s="157" t="s">
        <v>393</v>
      </c>
      <c r="D8" s="162"/>
      <c r="E8" s="163" t="s">
        <v>429</v>
      </c>
      <c r="F8" s="163" t="s">
        <v>369</v>
      </c>
      <c r="G8" s="163"/>
      <c r="H8" s="163"/>
    </row>
    <row r="9" spans="2:8" ht="45">
      <c r="B9" s="160" t="s">
        <v>416</v>
      </c>
      <c r="C9" s="157" t="s">
        <v>394</v>
      </c>
      <c r="D9" s="162"/>
      <c r="E9" s="163" t="s">
        <v>440</v>
      </c>
      <c r="F9" s="163" t="s">
        <v>441</v>
      </c>
      <c r="G9" s="163" t="s">
        <v>445</v>
      </c>
      <c r="H9" s="163" t="s">
        <v>444</v>
      </c>
    </row>
    <row r="10" spans="2:8">
      <c r="B10" s="159" t="s">
        <v>194</v>
      </c>
      <c r="C10" s="347" t="s">
        <v>166</v>
      </c>
      <c r="D10" s="348"/>
      <c r="E10" s="192" t="s">
        <v>329</v>
      </c>
      <c r="F10" s="192" t="s">
        <v>330</v>
      </c>
      <c r="G10" s="192" t="s">
        <v>442</v>
      </c>
      <c r="H10" s="192" t="s">
        <v>443</v>
      </c>
    </row>
    <row r="11" spans="2:8">
      <c r="B11" s="161" t="s">
        <v>409</v>
      </c>
      <c r="C11" s="157" t="s">
        <v>331</v>
      </c>
      <c r="D11" s="164"/>
      <c r="E11" s="165" t="s">
        <v>429</v>
      </c>
      <c r="F11" s="165" t="s">
        <v>446</v>
      </c>
      <c r="G11" s="163"/>
      <c r="H11" s="163"/>
    </row>
    <row r="12" spans="2:8">
      <c r="B12" s="339" t="s">
        <v>397</v>
      </c>
      <c r="C12" s="350" t="s">
        <v>331</v>
      </c>
      <c r="D12" s="153" t="s">
        <v>62</v>
      </c>
      <c r="E12" s="165" t="s">
        <v>332</v>
      </c>
      <c r="F12" s="165" t="s">
        <v>333</v>
      </c>
      <c r="G12" s="163"/>
      <c r="H12" s="163"/>
    </row>
    <row r="13" spans="2:8">
      <c r="B13" s="343"/>
      <c r="C13" s="350"/>
      <c r="D13" s="153" t="s">
        <v>69</v>
      </c>
      <c r="E13" s="165" t="s">
        <v>334</v>
      </c>
      <c r="F13" s="165" t="s">
        <v>335</v>
      </c>
      <c r="G13" s="163"/>
      <c r="H13" s="163"/>
    </row>
    <row r="14" spans="2:8">
      <c r="B14" s="344"/>
      <c r="C14" s="350"/>
      <c r="D14" s="153" t="s">
        <v>79</v>
      </c>
      <c r="E14" s="165" t="s">
        <v>336</v>
      </c>
      <c r="F14" s="165" t="s">
        <v>337</v>
      </c>
      <c r="G14" s="163"/>
      <c r="H14" s="163"/>
    </row>
    <row r="15" spans="2:8">
      <c r="B15" s="161" t="s">
        <v>410</v>
      </c>
      <c r="C15" s="157" t="s">
        <v>338</v>
      </c>
      <c r="D15" s="164"/>
      <c r="E15" s="165" t="s">
        <v>447</v>
      </c>
      <c r="F15" s="165" t="s">
        <v>448</v>
      </c>
      <c r="G15" s="163"/>
      <c r="H15" s="163"/>
    </row>
    <row r="16" spans="2:8">
      <c r="B16" s="339" t="s">
        <v>398</v>
      </c>
      <c r="C16" s="342" t="s">
        <v>338</v>
      </c>
      <c r="D16" s="153" t="s">
        <v>87</v>
      </c>
      <c r="E16" s="165" t="s">
        <v>339</v>
      </c>
      <c r="F16" s="165" t="s">
        <v>340</v>
      </c>
      <c r="G16" s="163"/>
      <c r="H16" s="163"/>
    </row>
    <row r="17" spans="2:8">
      <c r="B17" s="343"/>
      <c r="C17" s="351"/>
      <c r="D17" s="162" t="s">
        <v>94</v>
      </c>
      <c r="E17" s="163" t="s">
        <v>341</v>
      </c>
      <c r="F17" s="163" t="s">
        <v>342</v>
      </c>
      <c r="G17" s="163"/>
      <c r="H17" s="163"/>
    </row>
    <row r="18" spans="2:8">
      <c r="B18" s="344"/>
      <c r="C18" s="351"/>
      <c r="D18" s="153" t="s">
        <v>98</v>
      </c>
      <c r="E18" s="165" t="s">
        <v>343</v>
      </c>
      <c r="F18" s="165" t="s">
        <v>344</v>
      </c>
      <c r="G18" s="163"/>
      <c r="H18" s="163"/>
    </row>
    <row r="19" spans="2:8">
      <c r="B19" s="161" t="s">
        <v>411</v>
      </c>
      <c r="C19" s="157" t="s">
        <v>345</v>
      </c>
      <c r="D19" s="164"/>
      <c r="E19" s="165" t="s">
        <v>449</v>
      </c>
      <c r="F19" s="165" t="s">
        <v>450</v>
      </c>
      <c r="G19" s="163"/>
      <c r="H19" s="163"/>
    </row>
    <row r="20" spans="2:8">
      <c r="B20" s="339" t="s">
        <v>399</v>
      </c>
      <c r="C20" s="342" t="s">
        <v>345</v>
      </c>
      <c r="D20" s="153" t="s">
        <v>109</v>
      </c>
      <c r="E20" s="165" t="s">
        <v>346</v>
      </c>
      <c r="F20" s="165" t="s">
        <v>347</v>
      </c>
      <c r="G20" s="163"/>
      <c r="H20" s="163"/>
    </row>
    <row r="21" spans="2:8">
      <c r="B21" s="343"/>
      <c r="C21" s="351"/>
      <c r="D21" s="162" t="s">
        <v>116</v>
      </c>
      <c r="E21" s="163" t="s">
        <v>348</v>
      </c>
      <c r="F21" s="163" t="s">
        <v>349</v>
      </c>
      <c r="G21" s="163"/>
      <c r="H21" s="163"/>
    </row>
    <row r="22" spans="2:8">
      <c r="B22" s="344"/>
      <c r="C22" s="351"/>
      <c r="D22" s="153" t="s">
        <v>120</v>
      </c>
      <c r="E22" s="165" t="s">
        <v>350</v>
      </c>
      <c r="F22" s="165" t="s">
        <v>351</v>
      </c>
      <c r="G22" s="163"/>
      <c r="H22" s="163"/>
    </row>
    <row r="23" spans="2:8" ht="15" customHeight="1">
      <c r="B23" s="161" t="s">
        <v>412</v>
      </c>
      <c r="C23" s="157" t="s">
        <v>352</v>
      </c>
      <c r="D23" s="164"/>
      <c r="E23" s="165" t="s">
        <v>451</v>
      </c>
      <c r="F23" s="165" t="s">
        <v>452</v>
      </c>
      <c r="G23" s="163"/>
      <c r="H23" s="163"/>
    </row>
    <row r="24" spans="2:8">
      <c r="B24" s="339" t="s">
        <v>400</v>
      </c>
      <c r="C24" s="350" t="s">
        <v>352</v>
      </c>
      <c r="D24" s="162" t="s">
        <v>129</v>
      </c>
      <c r="E24" s="163" t="s">
        <v>353</v>
      </c>
      <c r="F24" s="163" t="s">
        <v>354</v>
      </c>
      <c r="G24" s="163"/>
      <c r="H24" s="163"/>
    </row>
    <row r="25" spans="2:8">
      <c r="B25" s="343"/>
      <c r="C25" s="350"/>
      <c r="D25" s="162" t="s">
        <v>132</v>
      </c>
      <c r="E25" s="163" t="s">
        <v>355</v>
      </c>
      <c r="F25" s="163" t="s">
        <v>356</v>
      </c>
      <c r="G25" s="163"/>
      <c r="H25" s="163"/>
    </row>
    <row r="26" spans="2:8">
      <c r="B26" s="344"/>
      <c r="C26" s="350"/>
      <c r="D26" s="162" t="s">
        <v>135</v>
      </c>
      <c r="E26" s="163" t="s">
        <v>357</v>
      </c>
      <c r="F26" s="163" t="s">
        <v>358</v>
      </c>
      <c r="G26" s="163"/>
      <c r="H26" s="163"/>
    </row>
    <row r="27" spans="2:8">
      <c r="B27" s="161" t="s">
        <v>413</v>
      </c>
      <c r="C27" s="157" t="s">
        <v>359</v>
      </c>
      <c r="D27" s="164"/>
      <c r="E27" s="165" t="s">
        <v>453</v>
      </c>
      <c r="F27" s="165" t="s">
        <v>369</v>
      </c>
      <c r="G27" s="163"/>
      <c r="H27" s="163"/>
    </row>
    <row r="28" spans="2:8">
      <c r="B28" s="339" t="s">
        <v>401</v>
      </c>
      <c r="C28" s="350" t="s">
        <v>359</v>
      </c>
      <c r="D28" s="162" t="s">
        <v>141</v>
      </c>
      <c r="E28" s="163" t="s">
        <v>360</v>
      </c>
      <c r="F28" s="163" t="s">
        <v>361</v>
      </c>
      <c r="G28" s="163"/>
      <c r="H28" s="163"/>
    </row>
    <row r="29" spans="2:8">
      <c r="B29" s="343"/>
      <c r="C29" s="350"/>
      <c r="D29" s="153" t="s">
        <v>145</v>
      </c>
      <c r="E29" s="165" t="s">
        <v>362</v>
      </c>
      <c r="F29" s="165" t="s">
        <v>363</v>
      </c>
      <c r="G29" s="163"/>
      <c r="H29" s="163"/>
    </row>
    <row r="30" spans="2:8">
      <c r="B30" s="344"/>
      <c r="C30" s="350"/>
      <c r="D30" s="162" t="s">
        <v>152</v>
      </c>
      <c r="E30" s="163" t="s">
        <v>364</v>
      </c>
      <c r="F30" s="163" t="s">
        <v>365</v>
      </c>
      <c r="G30" s="163"/>
      <c r="H30" s="163"/>
    </row>
    <row r="31" spans="2:8">
      <c r="B31" s="159" t="s">
        <v>194</v>
      </c>
      <c r="C31" s="347" t="s">
        <v>381</v>
      </c>
      <c r="D31" s="348"/>
      <c r="E31" s="192" t="s">
        <v>329</v>
      </c>
      <c r="F31" s="192" t="s">
        <v>330</v>
      </c>
      <c r="G31" s="192" t="s">
        <v>442</v>
      </c>
      <c r="H31" s="192" t="s">
        <v>443</v>
      </c>
    </row>
    <row r="32" spans="2:8">
      <c r="B32" s="160" t="s">
        <v>402</v>
      </c>
      <c r="C32" s="157" t="s">
        <v>331</v>
      </c>
      <c r="D32" s="162" t="s">
        <v>382</v>
      </c>
      <c r="E32" s="163" t="s">
        <v>383</v>
      </c>
      <c r="F32" s="163" t="s">
        <v>384</v>
      </c>
      <c r="G32" s="163"/>
      <c r="H32" s="163"/>
    </row>
    <row r="33" spans="2:8">
      <c r="B33" s="160" t="s">
        <v>403</v>
      </c>
      <c r="C33" s="157" t="s">
        <v>338</v>
      </c>
      <c r="D33" s="162" t="s">
        <v>382</v>
      </c>
      <c r="E33" s="163" t="s">
        <v>385</v>
      </c>
      <c r="F33" s="163" t="s">
        <v>389</v>
      </c>
      <c r="G33" s="163"/>
      <c r="H33" s="163"/>
    </row>
    <row r="34" spans="2:8">
      <c r="B34" s="160" t="s">
        <v>406</v>
      </c>
      <c r="C34" s="157" t="s">
        <v>345</v>
      </c>
      <c r="D34" s="162" t="s">
        <v>382</v>
      </c>
      <c r="E34" s="163" t="s">
        <v>386</v>
      </c>
      <c r="F34" s="163" t="s">
        <v>390</v>
      </c>
      <c r="G34" s="163"/>
      <c r="H34" s="163"/>
    </row>
    <row r="35" spans="2:8">
      <c r="B35" s="160" t="s">
        <v>404</v>
      </c>
      <c r="C35" s="157" t="s">
        <v>352</v>
      </c>
      <c r="D35" s="162" t="s">
        <v>382</v>
      </c>
      <c r="E35" s="163" t="s">
        <v>387</v>
      </c>
      <c r="F35" s="163" t="s">
        <v>391</v>
      </c>
      <c r="G35" s="163"/>
      <c r="H35" s="163"/>
    </row>
    <row r="36" spans="2:8">
      <c r="B36" s="160" t="s">
        <v>405</v>
      </c>
      <c r="C36" s="157" t="s">
        <v>359</v>
      </c>
      <c r="D36" s="162" t="s">
        <v>382</v>
      </c>
      <c r="E36" s="163" t="s">
        <v>388</v>
      </c>
      <c r="F36" s="163" t="s">
        <v>392</v>
      </c>
      <c r="G36" s="163"/>
      <c r="H36" s="163"/>
    </row>
    <row r="37" spans="2:8">
      <c r="B37" s="159" t="s">
        <v>194</v>
      </c>
      <c r="C37" s="347" t="s">
        <v>414</v>
      </c>
      <c r="D37" s="348"/>
      <c r="E37" s="192" t="s">
        <v>329</v>
      </c>
      <c r="F37" s="192" t="s">
        <v>330</v>
      </c>
      <c r="G37" s="192" t="s">
        <v>442</v>
      </c>
      <c r="H37" s="192" t="s">
        <v>443</v>
      </c>
    </row>
    <row r="38" spans="2:8">
      <c r="B38" s="339" t="s">
        <v>469</v>
      </c>
      <c r="C38" s="342" t="s">
        <v>414</v>
      </c>
      <c r="D38" s="153" t="s">
        <v>62</v>
      </c>
      <c r="E38" s="165" t="s">
        <v>454</v>
      </c>
      <c r="F38" s="163"/>
      <c r="G38" s="165" t="s">
        <v>332</v>
      </c>
      <c r="H38" s="163"/>
    </row>
    <row r="39" spans="2:8">
      <c r="B39" s="340"/>
      <c r="C39" s="340"/>
      <c r="D39" s="153" t="s">
        <v>69</v>
      </c>
      <c r="E39" s="165" t="s">
        <v>455</v>
      </c>
      <c r="F39" s="163"/>
      <c r="G39" s="165" t="s">
        <v>334</v>
      </c>
      <c r="H39" s="163"/>
    </row>
    <row r="40" spans="2:8">
      <c r="B40" s="340"/>
      <c r="C40" s="340"/>
      <c r="D40" s="153" t="s">
        <v>79</v>
      </c>
      <c r="E40" s="165" t="s">
        <v>456</v>
      </c>
      <c r="F40" s="163"/>
      <c r="G40" s="165" t="s">
        <v>336</v>
      </c>
      <c r="H40" s="163"/>
    </row>
    <row r="41" spans="2:8">
      <c r="B41" s="340"/>
      <c r="C41" s="340"/>
      <c r="D41" s="153" t="s">
        <v>87</v>
      </c>
      <c r="E41" s="165" t="s">
        <v>457</v>
      </c>
      <c r="F41" s="163"/>
      <c r="G41" s="165" t="s">
        <v>339</v>
      </c>
      <c r="H41" s="163"/>
    </row>
    <row r="42" spans="2:8">
      <c r="B42" s="340"/>
      <c r="C42" s="340"/>
      <c r="D42" s="162" t="s">
        <v>94</v>
      </c>
      <c r="E42" s="163" t="s">
        <v>458</v>
      </c>
      <c r="F42" s="163"/>
      <c r="G42" s="163" t="s">
        <v>341</v>
      </c>
      <c r="H42" s="163"/>
    </row>
    <row r="43" spans="2:8">
      <c r="B43" s="340"/>
      <c r="C43" s="340"/>
      <c r="D43" s="153" t="s">
        <v>98</v>
      </c>
      <c r="E43" s="165" t="s">
        <v>459</v>
      </c>
      <c r="F43" s="163"/>
      <c r="G43" s="165" t="s">
        <v>343</v>
      </c>
      <c r="H43" s="163"/>
    </row>
    <row r="44" spans="2:8">
      <c r="B44" s="340"/>
      <c r="C44" s="340"/>
      <c r="D44" s="153" t="s">
        <v>109</v>
      </c>
      <c r="E44" s="165" t="s">
        <v>460</v>
      </c>
      <c r="F44" s="163"/>
      <c r="G44" s="165" t="s">
        <v>346</v>
      </c>
      <c r="H44" s="163"/>
    </row>
    <row r="45" spans="2:8">
      <c r="B45" s="340"/>
      <c r="C45" s="340"/>
      <c r="D45" s="162" t="s">
        <v>116</v>
      </c>
      <c r="E45" s="163" t="s">
        <v>461</v>
      </c>
      <c r="F45" s="163"/>
      <c r="G45" s="163" t="s">
        <v>348</v>
      </c>
      <c r="H45" s="163"/>
    </row>
    <row r="46" spans="2:8">
      <c r="B46" s="340"/>
      <c r="C46" s="340"/>
      <c r="D46" s="153" t="s">
        <v>120</v>
      </c>
      <c r="E46" s="165" t="s">
        <v>462</v>
      </c>
      <c r="F46" s="163"/>
      <c r="G46" s="165" t="s">
        <v>350</v>
      </c>
      <c r="H46" s="163"/>
    </row>
    <row r="47" spans="2:8">
      <c r="B47" s="340"/>
      <c r="C47" s="340"/>
      <c r="D47" s="162" t="s">
        <v>129</v>
      </c>
      <c r="E47" s="163" t="s">
        <v>463</v>
      </c>
      <c r="F47" s="163"/>
      <c r="G47" s="163" t="s">
        <v>353</v>
      </c>
      <c r="H47" s="163"/>
    </row>
    <row r="48" spans="2:8">
      <c r="B48" s="340"/>
      <c r="C48" s="340"/>
      <c r="D48" s="162" t="s">
        <v>132</v>
      </c>
      <c r="E48" s="163" t="s">
        <v>464</v>
      </c>
      <c r="F48" s="163"/>
      <c r="G48" s="163" t="s">
        <v>355</v>
      </c>
      <c r="H48" s="163"/>
    </row>
    <row r="49" spans="2:8">
      <c r="B49" s="340"/>
      <c r="C49" s="340"/>
      <c r="D49" s="162" t="s">
        <v>135</v>
      </c>
      <c r="E49" s="163" t="s">
        <v>465</v>
      </c>
      <c r="F49" s="163"/>
      <c r="G49" s="163" t="s">
        <v>357</v>
      </c>
      <c r="H49" s="163"/>
    </row>
    <row r="50" spans="2:8">
      <c r="B50" s="340"/>
      <c r="C50" s="340"/>
      <c r="D50" s="162" t="s">
        <v>141</v>
      </c>
      <c r="E50" s="163" t="s">
        <v>466</v>
      </c>
      <c r="F50" s="163"/>
      <c r="G50" s="163" t="s">
        <v>360</v>
      </c>
      <c r="H50" s="163"/>
    </row>
    <row r="51" spans="2:8">
      <c r="B51" s="340"/>
      <c r="C51" s="340"/>
      <c r="D51" s="153" t="s">
        <v>145</v>
      </c>
      <c r="E51" s="165" t="s">
        <v>467</v>
      </c>
      <c r="F51" s="163"/>
      <c r="G51" s="165" t="s">
        <v>362</v>
      </c>
      <c r="H51" s="163"/>
    </row>
    <row r="52" spans="2:8">
      <c r="B52" s="341"/>
      <c r="C52" s="341"/>
      <c r="D52" s="162" t="s">
        <v>152</v>
      </c>
      <c r="E52" s="163" t="s">
        <v>468</v>
      </c>
      <c r="F52" s="163"/>
      <c r="G52" s="163" t="s">
        <v>364</v>
      </c>
      <c r="H52" s="163"/>
    </row>
    <row r="53" spans="2:8">
      <c r="B53" s="339" t="s">
        <v>426</v>
      </c>
      <c r="C53" s="342" t="s">
        <v>414</v>
      </c>
      <c r="D53" s="153" t="s">
        <v>62</v>
      </c>
      <c r="E53" s="165" t="s">
        <v>332</v>
      </c>
      <c r="F53" s="165" t="s">
        <v>333</v>
      </c>
      <c r="G53" s="163"/>
      <c r="H53" s="163"/>
    </row>
    <row r="54" spans="2:8">
      <c r="B54" s="340"/>
      <c r="C54" s="340"/>
      <c r="D54" s="153" t="s">
        <v>69</v>
      </c>
      <c r="E54" s="165" t="s">
        <v>334</v>
      </c>
      <c r="F54" s="165" t="s">
        <v>335</v>
      </c>
      <c r="G54" s="163"/>
      <c r="H54" s="163"/>
    </row>
    <row r="55" spans="2:8">
      <c r="B55" s="340"/>
      <c r="C55" s="340"/>
      <c r="D55" s="153" t="s">
        <v>79</v>
      </c>
      <c r="E55" s="165" t="s">
        <v>336</v>
      </c>
      <c r="F55" s="165" t="s">
        <v>337</v>
      </c>
      <c r="G55" s="163"/>
      <c r="H55" s="163"/>
    </row>
    <row r="56" spans="2:8">
      <c r="B56" s="340"/>
      <c r="C56" s="340"/>
      <c r="D56" s="153" t="s">
        <v>87</v>
      </c>
      <c r="E56" s="165" t="s">
        <v>339</v>
      </c>
      <c r="F56" s="165" t="s">
        <v>340</v>
      </c>
      <c r="G56" s="163"/>
      <c r="H56" s="163"/>
    </row>
    <row r="57" spans="2:8">
      <c r="B57" s="340"/>
      <c r="C57" s="340"/>
      <c r="D57" s="162" t="s">
        <v>94</v>
      </c>
      <c r="E57" s="163" t="s">
        <v>341</v>
      </c>
      <c r="F57" s="163" t="s">
        <v>342</v>
      </c>
      <c r="G57" s="163"/>
      <c r="H57" s="163"/>
    </row>
    <row r="58" spans="2:8">
      <c r="B58" s="340"/>
      <c r="C58" s="340"/>
      <c r="D58" s="153" t="s">
        <v>98</v>
      </c>
      <c r="E58" s="165" t="s">
        <v>343</v>
      </c>
      <c r="F58" s="165" t="s">
        <v>344</v>
      </c>
      <c r="G58" s="163"/>
      <c r="H58" s="163"/>
    </row>
    <row r="59" spans="2:8">
      <c r="B59" s="340"/>
      <c r="C59" s="340"/>
      <c r="D59" s="153" t="s">
        <v>109</v>
      </c>
      <c r="E59" s="165" t="s">
        <v>346</v>
      </c>
      <c r="F59" s="165" t="s">
        <v>347</v>
      </c>
      <c r="G59" s="163"/>
      <c r="H59" s="163"/>
    </row>
    <row r="60" spans="2:8">
      <c r="B60" s="340"/>
      <c r="C60" s="340"/>
      <c r="D60" s="162" t="s">
        <v>116</v>
      </c>
      <c r="E60" s="163" t="s">
        <v>348</v>
      </c>
      <c r="F60" s="163" t="s">
        <v>349</v>
      </c>
      <c r="G60" s="163"/>
      <c r="H60" s="163"/>
    </row>
    <row r="61" spans="2:8">
      <c r="B61" s="340"/>
      <c r="C61" s="340"/>
      <c r="D61" s="153" t="s">
        <v>120</v>
      </c>
      <c r="E61" s="165" t="s">
        <v>350</v>
      </c>
      <c r="F61" s="165" t="s">
        <v>351</v>
      </c>
      <c r="G61" s="163"/>
      <c r="H61" s="163"/>
    </row>
    <row r="62" spans="2:8">
      <c r="B62" s="340"/>
      <c r="C62" s="340"/>
      <c r="D62" s="162" t="s">
        <v>129</v>
      </c>
      <c r="E62" s="163" t="s">
        <v>353</v>
      </c>
      <c r="F62" s="163" t="s">
        <v>354</v>
      </c>
      <c r="G62" s="163"/>
      <c r="H62" s="163"/>
    </row>
    <row r="63" spans="2:8" ht="15" customHeight="1">
      <c r="B63" s="340"/>
      <c r="C63" s="340"/>
      <c r="D63" s="162" t="s">
        <v>132</v>
      </c>
      <c r="E63" s="163" t="s">
        <v>355</v>
      </c>
      <c r="F63" s="163" t="s">
        <v>356</v>
      </c>
      <c r="G63" s="163"/>
      <c r="H63" s="163"/>
    </row>
    <row r="64" spans="2:8">
      <c r="B64" s="340"/>
      <c r="C64" s="340"/>
      <c r="D64" s="162" t="s">
        <v>135</v>
      </c>
      <c r="E64" s="163" t="s">
        <v>357</v>
      </c>
      <c r="F64" s="163" t="s">
        <v>358</v>
      </c>
      <c r="G64" s="163"/>
      <c r="H64" s="163"/>
    </row>
    <row r="65" spans="2:8">
      <c r="B65" s="340"/>
      <c r="C65" s="340"/>
      <c r="D65" s="162" t="s">
        <v>141</v>
      </c>
      <c r="E65" s="163" t="s">
        <v>360</v>
      </c>
      <c r="F65" s="163" t="s">
        <v>361</v>
      </c>
      <c r="G65" s="163"/>
      <c r="H65" s="163"/>
    </row>
    <row r="66" spans="2:8">
      <c r="B66" s="340"/>
      <c r="C66" s="340"/>
      <c r="D66" s="153" t="s">
        <v>145</v>
      </c>
      <c r="E66" s="165" t="s">
        <v>362</v>
      </c>
      <c r="F66" s="165" t="s">
        <v>363</v>
      </c>
      <c r="G66" s="163"/>
      <c r="H66" s="163"/>
    </row>
    <row r="67" spans="2:8">
      <c r="B67" s="341"/>
      <c r="C67" s="341"/>
      <c r="D67" s="162" t="s">
        <v>152</v>
      </c>
      <c r="E67" s="163" t="s">
        <v>364</v>
      </c>
      <c r="F67" s="163" t="s">
        <v>365</v>
      </c>
      <c r="G67" s="163"/>
      <c r="H67" s="163"/>
    </row>
    <row r="68" spans="2:8" ht="15" customHeight="1">
      <c r="B68" s="159" t="s">
        <v>194</v>
      </c>
      <c r="C68" s="347" t="s">
        <v>370</v>
      </c>
      <c r="D68" s="349"/>
      <c r="E68" s="192" t="s">
        <v>329</v>
      </c>
      <c r="F68" s="192" t="s">
        <v>330</v>
      </c>
      <c r="G68" s="192" t="s">
        <v>442</v>
      </c>
      <c r="H68" s="192" t="s">
        <v>443</v>
      </c>
    </row>
    <row r="69" spans="2:8">
      <c r="B69" s="160" t="s">
        <v>427</v>
      </c>
      <c r="C69" s="193" t="s">
        <v>371</v>
      </c>
      <c r="D69" s="162" t="s">
        <v>382</v>
      </c>
      <c r="E69" s="163" t="s">
        <v>366</v>
      </c>
      <c r="F69" s="163" t="s">
        <v>367</v>
      </c>
      <c r="G69" s="163"/>
      <c r="H69" s="163"/>
    </row>
    <row r="70" spans="2:8" ht="15" customHeight="1">
      <c r="B70" s="159" t="s">
        <v>194</v>
      </c>
      <c r="C70" s="347" t="s">
        <v>33</v>
      </c>
      <c r="D70" s="349"/>
      <c r="E70" s="192" t="s">
        <v>329</v>
      </c>
      <c r="F70" s="192" t="s">
        <v>330</v>
      </c>
      <c r="G70" s="192" t="s">
        <v>442</v>
      </c>
      <c r="H70" s="192" t="s">
        <v>443</v>
      </c>
    </row>
    <row r="71" spans="2:8">
      <c r="B71" s="160" t="s">
        <v>407</v>
      </c>
      <c r="C71" s="193" t="s">
        <v>372</v>
      </c>
      <c r="D71" s="162" t="s">
        <v>382</v>
      </c>
      <c r="E71" s="163" t="s">
        <v>374</v>
      </c>
      <c r="F71" s="163" t="s">
        <v>375</v>
      </c>
      <c r="G71" s="163"/>
      <c r="H71" s="163"/>
    </row>
    <row r="72" spans="2:8" ht="30">
      <c r="B72" s="160" t="s">
        <v>408</v>
      </c>
      <c r="C72" s="193" t="s">
        <v>373</v>
      </c>
      <c r="D72" s="162" t="s">
        <v>382</v>
      </c>
      <c r="E72" s="163" t="s">
        <v>376</v>
      </c>
      <c r="F72" s="163" t="s">
        <v>377</v>
      </c>
      <c r="G72" s="163"/>
      <c r="H72" s="163"/>
    </row>
  </sheetData>
  <mergeCells count="20">
    <mergeCell ref="C68:D68"/>
    <mergeCell ref="C70:D70"/>
    <mergeCell ref="C12:C14"/>
    <mergeCell ref="C16:C18"/>
    <mergeCell ref="C20:C22"/>
    <mergeCell ref="C24:C26"/>
    <mergeCell ref="C28:C30"/>
    <mergeCell ref="C31:D31"/>
    <mergeCell ref="C37:D37"/>
    <mergeCell ref="C5:D5"/>
    <mergeCell ref="B12:B14"/>
    <mergeCell ref="B16:B18"/>
    <mergeCell ref="B20:B22"/>
    <mergeCell ref="B24:B26"/>
    <mergeCell ref="C10:D10"/>
    <mergeCell ref="B53:B67"/>
    <mergeCell ref="C53:C67"/>
    <mergeCell ref="B38:B52"/>
    <mergeCell ref="C38:C52"/>
    <mergeCell ref="B28:B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72</xdr:row>
                    <xdr:rowOff>180975</xdr:rowOff>
                  </from>
                  <to>
                    <xdr:col>8</xdr:col>
                    <xdr:colOff>0</xdr:colOff>
                    <xdr:row>74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76</xdr:row>
                    <xdr:rowOff>9525</xdr:rowOff>
                  </from>
                  <to>
                    <xdr:col>8</xdr:col>
                    <xdr:colOff>0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C1" workbookViewId="0">
      <selection activeCell="C36" sqref="C3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52" t="s">
        <v>191</v>
      </c>
      <c r="C2" s="352"/>
      <c r="D2" s="352"/>
      <c r="E2" s="352"/>
      <c r="F2" s="352"/>
      <c r="G2" s="352"/>
      <c r="H2" s="352"/>
      <c r="I2" s="352"/>
      <c r="J2" s="352"/>
      <c r="K2" s="352"/>
      <c r="L2" s="352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45:P596"/>
  <sheetViews>
    <sheetView topLeftCell="A561" workbookViewId="0">
      <selection activeCell="B585" sqref="B585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430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431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432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433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434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435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436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437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430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431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432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433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434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435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436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437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430</v>
      </c>
      <c r="C168" s="179">
        <v>83.68</v>
      </c>
      <c r="D168" s="179">
        <v>83.52</v>
      </c>
    </row>
    <row r="169" spans="2:4" ht="15.75" thickBot="1">
      <c r="B169" s="181" t="s">
        <v>431</v>
      </c>
      <c r="C169" s="182">
        <v>86.39</v>
      </c>
      <c r="D169" s="182">
        <v>86.83</v>
      </c>
    </row>
    <row r="170" spans="2:4">
      <c r="B170" t="s">
        <v>432</v>
      </c>
      <c r="C170" s="184">
        <v>83.48</v>
      </c>
      <c r="D170" s="184">
        <v>83.12</v>
      </c>
    </row>
    <row r="171" spans="2:4">
      <c r="B171" t="s">
        <v>433</v>
      </c>
      <c r="C171" s="185">
        <v>2476</v>
      </c>
      <c r="D171" s="185">
        <v>2191</v>
      </c>
    </row>
    <row r="172" spans="2:4">
      <c r="B172" t="s">
        <v>434</v>
      </c>
      <c r="C172" s="186">
        <v>79.62</v>
      </c>
      <c r="D172" s="186">
        <v>78.790000000000006</v>
      </c>
    </row>
    <row r="173" spans="2:4">
      <c r="B173" t="s">
        <v>435</v>
      </c>
      <c r="C173" s="187">
        <v>2382</v>
      </c>
      <c r="D173" s="187">
        <v>2218</v>
      </c>
    </row>
    <row r="174" spans="2:4">
      <c r="B174" t="s">
        <v>436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437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430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431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432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433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434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435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436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437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430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431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432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433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434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435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436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437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430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431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432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433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434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435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436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437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430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431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432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433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434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435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436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437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430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431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432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433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434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435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436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437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430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431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432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433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434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435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436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437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430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431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432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433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434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435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436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437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228" priority="43" stopIfTrue="1" operator="lessThanOrEqual">
      <formula>44.49</formula>
    </cfRule>
    <cfRule type="cellIs" dxfId="227" priority="44" stopIfTrue="1" operator="greaterThanOrEqual">
      <formula>85.5</formula>
    </cfRule>
    <cfRule type="cellIs" dxfId="226" priority="45" stopIfTrue="1" operator="between">
      <formula>44.5</formula>
      <formula>60.49</formula>
    </cfRule>
  </conditionalFormatting>
  <conditionalFormatting sqref="D45:D49">
    <cfRule type="cellIs" dxfId="225" priority="40" stopIfTrue="1" operator="lessThanOrEqual">
      <formula>44.49</formula>
    </cfRule>
    <cfRule type="cellIs" dxfId="224" priority="41" stopIfTrue="1" operator="greaterThanOrEqual">
      <formula>85.5</formula>
    </cfRule>
    <cfRule type="cellIs" dxfId="223" priority="42" stopIfTrue="1" operator="between">
      <formula>44.5</formula>
      <formula>60.49</formula>
    </cfRule>
  </conditionalFormatting>
  <conditionalFormatting sqref="E45:E49">
    <cfRule type="cellIs" dxfId="222" priority="37" stopIfTrue="1" operator="lessThanOrEqual">
      <formula>44.49</formula>
    </cfRule>
    <cfRule type="cellIs" dxfId="221" priority="38" stopIfTrue="1" operator="greaterThanOrEqual">
      <formula>85.5</formula>
    </cfRule>
    <cfRule type="cellIs" dxfId="220" priority="39" stopIfTrue="1" operator="between">
      <formula>44.5</formula>
      <formula>60.49</formula>
    </cfRule>
  </conditionalFormatting>
  <conditionalFormatting sqref="F45:F49">
    <cfRule type="cellIs" dxfId="219" priority="34" stopIfTrue="1" operator="lessThanOrEqual">
      <formula>44.49</formula>
    </cfRule>
    <cfRule type="cellIs" dxfId="218" priority="35" stopIfTrue="1" operator="greaterThanOrEqual">
      <formula>85.5</formula>
    </cfRule>
    <cfRule type="cellIs" dxfId="217" priority="36" stopIfTrue="1" operator="between">
      <formula>44.5</formula>
      <formula>60.49</formula>
    </cfRule>
  </conditionalFormatting>
  <conditionalFormatting sqref="C105:G109">
    <cfRule type="cellIs" dxfId="216" priority="31" stopIfTrue="1" operator="lessThanOrEqual">
      <formula>44.49</formula>
    </cfRule>
    <cfRule type="cellIs" dxfId="215" priority="32" stopIfTrue="1" operator="greaterThanOrEqual">
      <formula>85.5</formula>
    </cfRule>
    <cfRule type="cellIs" dxfId="214" priority="33" stopIfTrue="1" operator="between">
      <formula>44.5</formula>
      <formula>60.49</formula>
    </cfRule>
  </conditionalFormatting>
  <conditionalFormatting sqref="C165:C169">
    <cfRule type="cellIs" dxfId="213" priority="28" stopIfTrue="1" operator="lessThanOrEqual">
      <formula>44.49</formula>
    </cfRule>
    <cfRule type="cellIs" dxfId="212" priority="29" stopIfTrue="1" operator="greaterThanOrEqual">
      <formula>85.5</formula>
    </cfRule>
    <cfRule type="cellIs" dxfId="211" priority="30" stopIfTrue="1" operator="between">
      <formula>44.5</formula>
      <formula>60.49</formula>
    </cfRule>
  </conditionalFormatting>
  <conditionalFormatting sqref="D165:D169">
    <cfRule type="cellIs" dxfId="210" priority="25" stopIfTrue="1" operator="lessThanOrEqual">
      <formula>44.49</formula>
    </cfRule>
    <cfRule type="cellIs" dxfId="209" priority="26" stopIfTrue="1" operator="greaterThanOrEqual">
      <formula>85.5</formula>
    </cfRule>
    <cfRule type="cellIs" dxfId="208" priority="27" stopIfTrue="1" operator="between">
      <formula>44.5</formula>
      <formula>60.49</formula>
    </cfRule>
  </conditionalFormatting>
  <conditionalFormatting sqref="C225:C229">
    <cfRule type="cellIs" dxfId="207" priority="22" stopIfTrue="1" operator="lessThanOrEqual">
      <formula>44.49</formula>
    </cfRule>
    <cfRule type="cellIs" dxfId="206" priority="23" stopIfTrue="1" operator="greaterThanOrEqual">
      <formula>85.5</formula>
    </cfRule>
    <cfRule type="cellIs" dxfId="205" priority="24" stopIfTrue="1" operator="between">
      <formula>44.5</formula>
      <formula>60.49</formula>
    </cfRule>
  </conditionalFormatting>
  <conditionalFormatting sqref="D225:G229">
    <cfRule type="cellIs" dxfId="204" priority="19" stopIfTrue="1" operator="lessThanOrEqual">
      <formula>44.49</formula>
    </cfRule>
    <cfRule type="cellIs" dxfId="203" priority="20" stopIfTrue="1" operator="greaterThanOrEqual">
      <formula>85.5</formula>
    </cfRule>
    <cfRule type="cellIs" dxfId="202" priority="21" stopIfTrue="1" operator="between">
      <formula>44.5</formula>
      <formula>60.49</formula>
    </cfRule>
  </conditionalFormatting>
  <conditionalFormatting sqref="C285:L289">
    <cfRule type="cellIs" dxfId="201" priority="16" stopIfTrue="1" operator="lessThanOrEqual">
      <formula>44.49</formula>
    </cfRule>
    <cfRule type="cellIs" dxfId="200" priority="17" stopIfTrue="1" operator="greaterThanOrEqual">
      <formula>85.5</formula>
    </cfRule>
    <cfRule type="cellIs" dxfId="199" priority="18" stopIfTrue="1" operator="between">
      <formula>44.5</formula>
      <formula>60.49</formula>
    </cfRule>
  </conditionalFormatting>
  <conditionalFormatting sqref="C345:H349">
    <cfRule type="cellIs" dxfId="198" priority="13" stopIfTrue="1" operator="lessThanOrEqual">
      <formula>44.49</formula>
    </cfRule>
    <cfRule type="cellIs" dxfId="197" priority="14" stopIfTrue="1" operator="greaterThanOrEqual">
      <formula>85.5</formula>
    </cfRule>
    <cfRule type="cellIs" dxfId="196" priority="15" stopIfTrue="1" operator="between">
      <formula>44.5</formula>
      <formula>60.49</formula>
    </cfRule>
  </conditionalFormatting>
  <conditionalFormatting sqref="C405:N409 P405:P409">
    <cfRule type="cellIs" dxfId="195" priority="10" stopIfTrue="1" operator="lessThanOrEqual">
      <formula>44.49</formula>
    </cfRule>
    <cfRule type="cellIs" dxfId="194" priority="11" stopIfTrue="1" operator="greaterThanOrEqual">
      <formula>85.5</formula>
    </cfRule>
    <cfRule type="cellIs" dxfId="193" priority="12" stopIfTrue="1" operator="between">
      <formula>44.5</formula>
      <formula>60.49</formula>
    </cfRule>
  </conditionalFormatting>
  <conditionalFormatting sqref="C465:F469">
    <cfRule type="cellIs" dxfId="192" priority="7" stopIfTrue="1" operator="lessThanOrEqual">
      <formula>44.49</formula>
    </cfRule>
    <cfRule type="cellIs" dxfId="191" priority="8" stopIfTrue="1" operator="greaterThanOrEqual">
      <formula>85.5</formula>
    </cfRule>
    <cfRule type="cellIs" dxfId="190" priority="9" stopIfTrue="1" operator="between">
      <formula>44.5</formula>
      <formula>60.49</formula>
    </cfRule>
  </conditionalFormatting>
  <conditionalFormatting sqref="C525:G529">
    <cfRule type="cellIs" dxfId="189" priority="4" stopIfTrue="1" operator="lessThanOrEqual">
      <formula>44.49</formula>
    </cfRule>
    <cfRule type="cellIs" dxfId="188" priority="5" stopIfTrue="1" operator="greaterThanOrEqual">
      <formula>85.5</formula>
    </cfRule>
    <cfRule type="cellIs" dxfId="187" priority="6" stopIfTrue="1" operator="between">
      <formula>44.5</formula>
      <formula>60.49</formula>
    </cfRule>
  </conditionalFormatting>
  <conditionalFormatting sqref="C585:F589">
    <cfRule type="cellIs" dxfId="186" priority="1" stopIfTrue="1" operator="lessThanOrEqual">
      <formula>44.49</formula>
    </cfRule>
    <cfRule type="cellIs" dxfId="185" priority="2" stopIfTrue="1" operator="greaterThanOrEqual">
      <formula>85.5</formula>
    </cfRule>
    <cfRule type="cellIs" dxfId="184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210:I279"/>
  <sheetViews>
    <sheetView tabSelected="1" topLeftCell="A253" workbookViewId="0">
      <selection activeCell="B270" sqref="B270:I279"/>
    </sheetView>
  </sheetViews>
  <sheetFormatPr baseColWidth="10" defaultRowHeight="15"/>
  <cols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</cols>
  <sheetData>
    <row r="210" spans="2:9">
      <c r="B210" s="313" t="s">
        <v>62</v>
      </c>
      <c r="C210" s="315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313"/>
      <c r="C211" s="316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313"/>
      <c r="C212" s="315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314"/>
      <c r="C213" s="316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313" t="s">
        <v>69</v>
      </c>
      <c r="C214" s="315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313"/>
      <c r="C215" s="315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313"/>
      <c r="C216" s="316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313"/>
      <c r="C217" s="315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313"/>
      <c r="C218" s="316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314"/>
      <c r="C219" s="194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313" t="s">
        <v>79</v>
      </c>
      <c r="C220" s="315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313"/>
      <c r="C221" s="315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313"/>
      <c r="C222" s="316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314"/>
      <c r="C223" s="194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289" t="s">
        <v>87</v>
      </c>
      <c r="C225" s="306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290"/>
      <c r="C226" s="293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290"/>
      <c r="C227" s="292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291"/>
      <c r="C228" s="293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289" t="s">
        <v>94</v>
      </c>
      <c r="C229" s="292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291"/>
      <c r="C230" s="293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289" t="s">
        <v>98</v>
      </c>
      <c r="C231" s="292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290"/>
      <c r="C232" s="292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290"/>
      <c r="C233" s="293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290"/>
      <c r="C234" s="292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290"/>
      <c r="C235" s="292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290"/>
      <c r="C236" s="292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291"/>
      <c r="C237" s="293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281" t="s">
        <v>109</v>
      </c>
      <c r="C240" s="297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281"/>
      <c r="C241" s="284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281"/>
      <c r="C242" s="283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282"/>
      <c r="C243" s="298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302" t="s">
        <v>116</v>
      </c>
      <c r="C244" s="302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303"/>
      <c r="C245" s="303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304"/>
      <c r="C246" s="304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280" t="s">
        <v>120</v>
      </c>
      <c r="C247" s="283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281"/>
      <c r="C248" s="284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281"/>
      <c r="C249" s="284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281"/>
      <c r="C250" s="284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282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258" t="s">
        <v>129</v>
      </c>
      <c r="C255" s="259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262"/>
      <c r="C256" s="263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258" t="s">
        <v>132</v>
      </c>
      <c r="C257" s="259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262"/>
      <c r="C258" s="263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258" t="s">
        <v>135</v>
      </c>
      <c r="C259" s="259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260"/>
      <c r="C260" s="261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260"/>
      <c r="C261" s="261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262"/>
      <c r="C262" s="263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255" t="s">
        <v>141</v>
      </c>
      <c r="C270" s="255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255"/>
      <c r="C271" s="255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256"/>
      <c r="C272" s="256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9">
      <c r="B273" s="241" t="s">
        <v>145</v>
      </c>
      <c r="C273" s="244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9" ht="15.75" thickBot="1">
      <c r="B274" s="242"/>
      <c r="C274" s="245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9">
      <c r="B275" s="242"/>
      <c r="C275" s="244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9" ht="29.25" thickBot="1">
      <c r="B276" s="243"/>
      <c r="C276" s="246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9">
      <c r="B277" s="254" t="s">
        <v>152</v>
      </c>
      <c r="C277" s="254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9">
      <c r="B278" s="255"/>
      <c r="C278" s="255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9" ht="15.75" thickBot="1">
      <c r="B279" s="256"/>
      <c r="C279" s="256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</sheetData>
  <mergeCells count="30">
    <mergeCell ref="B270:C272"/>
    <mergeCell ref="B273:B276"/>
    <mergeCell ref="C273:C274"/>
    <mergeCell ref="C275:C276"/>
    <mergeCell ref="B277:C279"/>
    <mergeCell ref="B244:C246"/>
    <mergeCell ref="B247:B251"/>
    <mergeCell ref="C247:C250"/>
    <mergeCell ref="B255:C256"/>
    <mergeCell ref="B257:C258"/>
    <mergeCell ref="B259:C262"/>
    <mergeCell ref="B231:B237"/>
    <mergeCell ref="C231:C233"/>
    <mergeCell ref="C234:C237"/>
    <mergeCell ref="B240:B243"/>
    <mergeCell ref="C240:C241"/>
    <mergeCell ref="C242:C243"/>
    <mergeCell ref="B220:B223"/>
    <mergeCell ref="C220:C222"/>
    <mergeCell ref="B225:B228"/>
    <mergeCell ref="C225:C226"/>
    <mergeCell ref="C227:C228"/>
    <mergeCell ref="B229:B230"/>
    <mergeCell ref="C229:C230"/>
    <mergeCell ref="B210:B213"/>
    <mergeCell ref="C210:C211"/>
    <mergeCell ref="C212:C213"/>
    <mergeCell ref="B214:B219"/>
    <mergeCell ref="C214:C216"/>
    <mergeCell ref="C217:C218"/>
  </mergeCells>
  <conditionalFormatting sqref="F210:F223">
    <cfRule type="expression" dxfId="79" priority="76">
      <formula>F210=""</formula>
    </cfRule>
    <cfRule type="expression" dxfId="78" priority="77">
      <formula>F210&lt;44.5</formula>
    </cfRule>
    <cfRule type="expression" dxfId="77" priority="78">
      <formula>F210&lt;60.5</formula>
    </cfRule>
    <cfRule type="expression" dxfId="76" priority="79">
      <formula>F210&lt;85.5</formula>
    </cfRule>
    <cfRule type="expression" dxfId="75" priority="80">
      <formula>F210&gt;85.5</formula>
    </cfRule>
  </conditionalFormatting>
  <conditionalFormatting sqref="H210:I223 F210:F223">
    <cfRule type="expression" dxfId="74" priority="71">
      <formula>F210=""</formula>
    </cfRule>
    <cfRule type="expression" dxfId="73" priority="72">
      <formula>F210&lt;44.5</formula>
    </cfRule>
    <cfRule type="expression" dxfId="72" priority="73">
      <formula>F210&lt;60.5</formula>
    </cfRule>
    <cfRule type="expression" dxfId="71" priority="74">
      <formula>F210&lt;85.5</formula>
    </cfRule>
    <cfRule type="expression" dxfId="70" priority="75">
      <formula>F210&gt;85.5</formula>
    </cfRule>
  </conditionalFormatting>
  <conditionalFormatting sqref="G210:G223">
    <cfRule type="expression" dxfId="69" priority="66">
      <formula>G210=""</formula>
    </cfRule>
    <cfRule type="expression" dxfId="68" priority="67">
      <formula>G210&lt;44.5</formula>
    </cfRule>
    <cfRule type="expression" dxfId="67" priority="68">
      <formula>G210&lt;60.5</formula>
    </cfRule>
    <cfRule type="expression" dxfId="66" priority="69">
      <formula>G210&lt;85.5</formula>
    </cfRule>
    <cfRule type="expression" dxfId="65" priority="70">
      <formula>G210&gt;85.5</formula>
    </cfRule>
  </conditionalFormatting>
  <conditionalFormatting sqref="G210:G223">
    <cfRule type="expression" dxfId="64" priority="61">
      <formula>G210=""</formula>
    </cfRule>
    <cfRule type="expression" dxfId="63" priority="62">
      <formula>G210&lt;44.5</formula>
    </cfRule>
    <cfRule type="expression" dxfId="62" priority="63">
      <formula>G210&lt;60.5</formula>
    </cfRule>
    <cfRule type="expression" dxfId="61" priority="64">
      <formula>G210&lt;85.5</formula>
    </cfRule>
    <cfRule type="expression" dxfId="60" priority="65">
      <formula>G210&gt;85.5</formula>
    </cfRule>
  </conditionalFormatting>
  <conditionalFormatting sqref="F225:F237">
    <cfRule type="expression" dxfId="59" priority="56">
      <formula>F225=""</formula>
    </cfRule>
    <cfRule type="expression" dxfId="58" priority="57">
      <formula>F225&lt;44.5</formula>
    </cfRule>
    <cfRule type="expression" dxfId="57" priority="58">
      <formula>F225&lt;60.5</formula>
    </cfRule>
    <cfRule type="expression" dxfId="56" priority="59">
      <formula>F225&lt;85.5</formula>
    </cfRule>
    <cfRule type="expression" dxfId="55" priority="60">
      <formula>F225&gt;85.5</formula>
    </cfRule>
  </conditionalFormatting>
  <conditionalFormatting sqref="H225:I237">
    <cfRule type="expression" dxfId="54" priority="51">
      <formula>H225=""</formula>
    </cfRule>
    <cfRule type="expression" dxfId="53" priority="52">
      <formula>H225&lt;44.5</formula>
    </cfRule>
    <cfRule type="expression" dxfId="52" priority="53">
      <formula>H225&lt;60.5</formula>
    </cfRule>
    <cfRule type="expression" dxfId="51" priority="54">
      <formula>H225&lt;85.5</formula>
    </cfRule>
    <cfRule type="expression" dxfId="50" priority="55">
      <formula>H225&gt;85.5</formula>
    </cfRule>
  </conditionalFormatting>
  <conditionalFormatting sqref="G225:G237">
    <cfRule type="expression" dxfId="49" priority="46">
      <formula>G225=""</formula>
    </cfRule>
    <cfRule type="expression" dxfId="48" priority="47">
      <formula>G225&lt;44.5</formula>
    </cfRule>
    <cfRule type="expression" dxfId="47" priority="48">
      <formula>G225&lt;60.5</formula>
    </cfRule>
    <cfRule type="expression" dxfId="46" priority="49">
      <formula>G225&lt;85.5</formula>
    </cfRule>
    <cfRule type="expression" dxfId="45" priority="50">
      <formula>G225&gt;85.5</formula>
    </cfRule>
  </conditionalFormatting>
  <conditionalFormatting sqref="F240:F251">
    <cfRule type="expression" dxfId="44" priority="41">
      <formula>F240=""</formula>
    </cfRule>
    <cfRule type="expression" dxfId="43" priority="42">
      <formula>F240&lt;44.5</formula>
    </cfRule>
    <cfRule type="expression" dxfId="42" priority="43">
      <formula>F240&lt;60.5</formula>
    </cfRule>
    <cfRule type="expression" dxfId="41" priority="44">
      <formula>F240&lt;85.5</formula>
    </cfRule>
    <cfRule type="expression" dxfId="40" priority="45">
      <formula>F240&gt;85.5</formula>
    </cfRule>
  </conditionalFormatting>
  <conditionalFormatting sqref="H240:I251">
    <cfRule type="expression" dxfId="39" priority="36">
      <formula>H240=""</formula>
    </cfRule>
    <cfRule type="expression" dxfId="38" priority="37">
      <formula>H240&lt;44.5</formula>
    </cfRule>
    <cfRule type="expression" dxfId="37" priority="38">
      <formula>H240&lt;60.5</formula>
    </cfRule>
    <cfRule type="expression" dxfId="36" priority="39">
      <formula>H240&lt;85.5</formula>
    </cfRule>
    <cfRule type="expression" dxfId="35" priority="40">
      <formula>H240&gt;85.5</formula>
    </cfRule>
  </conditionalFormatting>
  <conditionalFormatting sqref="G240:G251">
    <cfRule type="expression" dxfId="34" priority="31">
      <formula>G240=""</formula>
    </cfRule>
    <cfRule type="expression" dxfId="33" priority="32">
      <formula>G240&lt;44.5</formula>
    </cfRule>
    <cfRule type="expression" dxfId="32" priority="33">
      <formula>G240&lt;60.5</formula>
    </cfRule>
    <cfRule type="expression" dxfId="31" priority="34">
      <formula>G240&lt;85.5</formula>
    </cfRule>
    <cfRule type="expression" dxfId="30" priority="35">
      <formula>G240&gt;85.5</formula>
    </cfRule>
  </conditionalFormatting>
  <conditionalFormatting sqref="F255:F262">
    <cfRule type="expression" dxfId="29" priority="26">
      <formula>F255=""</formula>
    </cfRule>
    <cfRule type="expression" dxfId="28" priority="27">
      <formula>F255&lt;44.5</formula>
    </cfRule>
    <cfRule type="expression" dxfId="27" priority="28">
      <formula>F255&lt;60.5</formula>
    </cfRule>
    <cfRule type="expression" dxfId="26" priority="29">
      <formula>F255&lt;85.5</formula>
    </cfRule>
    <cfRule type="expression" dxfId="25" priority="30">
      <formula>F255&gt;85.5</formula>
    </cfRule>
  </conditionalFormatting>
  <conditionalFormatting sqref="H255:I262">
    <cfRule type="expression" dxfId="24" priority="21">
      <formula>H255=""</formula>
    </cfRule>
    <cfRule type="expression" dxfId="23" priority="22">
      <formula>H255&lt;44.5</formula>
    </cfRule>
    <cfRule type="expression" dxfId="22" priority="23">
      <formula>H255&lt;60.5</formula>
    </cfRule>
    <cfRule type="expression" dxfId="21" priority="24">
      <formula>H255&lt;85.5</formula>
    </cfRule>
    <cfRule type="expression" dxfId="20" priority="25">
      <formula>H255&gt;85.5</formula>
    </cfRule>
  </conditionalFormatting>
  <conditionalFormatting sqref="G255:G262">
    <cfRule type="expression" dxfId="19" priority="16">
      <formula>G255=""</formula>
    </cfRule>
    <cfRule type="expression" dxfId="18" priority="17">
      <formula>G255&lt;44.5</formula>
    </cfRule>
    <cfRule type="expression" dxfId="17" priority="18">
      <formula>G255&lt;60.5</formula>
    </cfRule>
    <cfRule type="expression" dxfId="16" priority="19">
      <formula>G255&lt;85.5</formula>
    </cfRule>
    <cfRule type="expression" dxfId="15" priority="20">
      <formula>G255&gt;85.5</formula>
    </cfRule>
  </conditionalFormatting>
  <conditionalFormatting sqref="F270:F279">
    <cfRule type="expression" dxfId="14" priority="11">
      <formula>F270=""</formula>
    </cfRule>
    <cfRule type="expression" dxfId="13" priority="12">
      <formula>F270&lt;44.5</formula>
    </cfRule>
    <cfRule type="expression" dxfId="12" priority="13">
      <formula>F270&lt;60.5</formula>
    </cfRule>
    <cfRule type="expression" dxfId="11" priority="14">
      <formula>F270&lt;85.5</formula>
    </cfRule>
    <cfRule type="expression" dxfId="10" priority="15">
      <formula>F270&gt;85.5</formula>
    </cfRule>
  </conditionalFormatting>
  <conditionalFormatting sqref="H270:I279">
    <cfRule type="expression" dxfId="9" priority="6">
      <formula>H270=""</formula>
    </cfRule>
    <cfRule type="expression" dxfId="8" priority="7">
      <formula>H270&lt;44.5</formula>
    </cfRule>
    <cfRule type="expression" dxfId="7" priority="8">
      <formula>H270&lt;60.5</formula>
    </cfRule>
    <cfRule type="expression" dxfId="6" priority="9">
      <formula>H270&lt;85.5</formula>
    </cfRule>
    <cfRule type="expression" dxfId="5" priority="10">
      <formula>H270&gt;85.5</formula>
    </cfRule>
  </conditionalFormatting>
  <conditionalFormatting sqref="G270:G279">
    <cfRule type="expression" dxfId="4" priority="1">
      <formula>G270=""</formula>
    </cfRule>
    <cfRule type="expression" dxfId="3" priority="2">
      <formula>G270&lt;44.5</formula>
    </cfRule>
    <cfRule type="expression" dxfId="2" priority="3">
      <formula>G270&lt;60.5</formula>
    </cfRule>
    <cfRule type="expression" dxfId="1" priority="4">
      <formula>G270&lt;85.5</formula>
    </cfRule>
    <cfRule type="expression" dxfId="0" priority="5">
      <formula>G270&gt;85.5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2017-03-29T05:29:39Z</dcterms:modified>
</cp:coreProperties>
</file>