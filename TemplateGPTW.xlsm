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activeTab="5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Demografias" sheetId="77" r:id="rId5"/>
    <sheet name="Graficos" sheetId="80" r:id="rId6"/>
  </sheets>
  <functionGroups builtInGroupCount="18"/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<sst xmlns="http://schemas.openxmlformats.org/spreadsheetml/2006/main" count="536" uniqueCount="315">
  <si>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</si>
  <si>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</si>
  <si>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</si>
  <si>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</si>
  <si>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</si>
  <si>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</si>
  <si>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</si>
  <si>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</si>
  <si>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</si>
  <si>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</si>
  <si>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</si>
  <si>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</si>
  <si>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</si>
  <si>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</si>
  <si>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</si>
  <si>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</si>
  <si>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</si>
  <si>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</si>
  <si>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</si>
  <si>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</si>
  <si>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</si>
  <si>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</si>
  <si>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</si>
  <si>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</si>
  <si>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</si>
  <si>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</si>
  <si>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</si>
  <si>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</si>
  <si>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</si>
  <si>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</si>
  <si>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</si>
  <si>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</si>
  <si>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</si>
  <si>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</si>
  <si>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</si>
  <si>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</si>
  <si>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</si>
  <si>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</si>
  <si>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</si>
  <si>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</si>
  <si>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</si>
  <si>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</si>
  <si>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</si>
  <si>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</si>
  <si>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</si>
  <si>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</si>
  <si>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</si>
  <si>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</si>
  <si>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</si>
  <si>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</si>
  <si>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</si>
  <si>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</si>
  <si>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</si>
  <si>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</si>
  <si>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</si>
  <si>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</si>
  <si>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</si>
  <si>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</si>
  <si>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</si>
  <si>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</si>
  <si>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</si>
  <si>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</si>
  <si>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</si>
  <si>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</si>
  <si>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</si>
  <si>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</si>
  <si>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</si>
  <si>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</si>
  <si>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</si>
  <si>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</si>
  <si>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</si>
  <si>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</si>
  <si>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</si>
  <si>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</si>
  <si>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</si>
  <si>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</si>
  <si>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</si>
  <si>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</si>
  <si>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</si>
  <si>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</si>
  <si>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</si>
  <si>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</si>
  <si>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</si>
  <si>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</si>
  <si>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</si>
  <si>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</si>
  <si>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</si>
  <si>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</si>
  <si>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</si>
  <si>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</si>
  <si>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</si>
  <si>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</si>
  <si>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</si>
  <si>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</si>
  <si>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</si>
  <si>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</si>
  <si>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</si>
  <si>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</si>
  <si>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</si>
  <si>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</si>
  <si>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</si>
  <si>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</si>
  <si>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</si>
  <si>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</si>
  <si>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</si>
  <si>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</si>
  <si>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</si>
  <si>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</si>
  <si>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</si>
  <si>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</si>
  <si>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</si>
  <si>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</si>
  <si>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</si>
  <si>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</si>
  <si>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</si>
  <si>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</si>
  <si>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</si>
  <si>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</si>
  <si>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</si>
  <si>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</si>
  <si>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</si>
  <si>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</si>
  <si>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</si>
  <si>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</si>
  <si>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</si>
  <si>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</si>
  <si>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</si>
  <si>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</si>
  <si>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</si>
  <si>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</si>
  <si>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</si>
  <si>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</si>
  <si>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</si>
  <si>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</si>
  <si>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</si>
  <si>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</si>
  <si>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</si>
  <si>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</si>
  <si>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</si>
  <si>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</si>
  <si>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</si>
  <si>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</si>
  <si>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</si>
  <si>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</si>
  <si>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</si>
  <si>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</si>
  <si>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</si>
  <si>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</si>
  <si>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</si>
  <si>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</si>
  <si>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</si>
  <si>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</si>
  <si>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</si>
  <si>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</si>
  <si>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</si>
  <si>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</si>
  <si>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</si>
  <si>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</si>
  <si>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</si>
  <si>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</si>
  <si>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</si>
  <si>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</si>
  <si>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</si>
  <si>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</si>
  <si>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</si>
  <si>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</si>
  <si>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</si>
  <si>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</si>
  <si>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</si>
  <si>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</si>
  <si>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</si>
  <si>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</si>
  <si>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</si>
  <si>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</si>
  <si>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</si>
  <si>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Año 2016</t>
  </si>
  <si>
    <t>Promedios</t>
  </si>
  <si>
    <t>Edad</t>
  </si>
  <si>
    <t>Género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</si>
  <si>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</si>
  <si>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</si>
  <si>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</si>
  <si>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</si>
  <si>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</si>
  <si>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</si>
  <si>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</si>
  <si>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</si>
  <si>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</si>
  <si>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</si>
  <si>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</si>
  <si>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</si>
  <si>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</si>
  <si>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</si>
  <si>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</si>
  <si>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</si>
  <si>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</si>
  <si>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</si>
  <si>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</si>
  <si>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</si>
  <si>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</si>
  <si>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</si>
  <si>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</si>
  <si>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</si>
  <si>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</si>
  <si>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</si>
  <si>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</si>
  <si>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</si>
  <si>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</si>
  <si>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</si>
  <si>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</si>
  <si>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</si>
  <si>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</si>
  <si>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</si>
  <si>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</si>
  <si>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</si>
  <si>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</si>
  <si>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</si>
  <si>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</si>
  <si>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</si>
  <si>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</si>
  <si>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</si>
  <si>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</si>
  <si>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</si>
  <si>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</si>
  <si>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</si>
  <si>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</si>
  <si>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</si>
  <si>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</si>
  <si>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</si>
  <si>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</si>
  <si>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</si>
  <si>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</si>
  <si>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</si>
  <si>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</si>
  <si>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</si>
  <si>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</si>
  <si>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</si>
  <si>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</si>
  <si>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</si>
  <si>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</si>
  <si>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</si>
  <si>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</si>
  <si>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</si>
  <si>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</si>
  <si>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</si>
  <si>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</si>
  <si>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</si>
  <si>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</si>
  <si>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</si>
  <si>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</si>
  <si>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</si>
  <si>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</si>
  <si>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</si>
  <si>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</si>
  <si>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Habilitado</t>
  </si>
  <si>
    <t>AA2</t>
  </si>
  <si>
    <t>AJ2</t>
  </si>
  <si>
    <t>L2</t>
  </si>
  <si>
    <t>P2</t>
  </si>
  <si>
    <t>AA17</t>
  </si>
  <si>
    <t>AJ17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</si>
  <si>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</si>
  <si>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</si>
  <si>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</si>
  <si>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</si>
  <si>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</si>
  <si>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</si>
  <si>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</si>
  <si>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</si>
  <si>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</si>
  <si>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</si>
  <si>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AL2</t>
  </si>
  <si>
    <t>AQ2</t>
  </si>
  <si>
    <t>AL17</t>
  </si>
  <si>
    <t>AQ17</t>
  </si>
  <si>
    <t>AS2</t>
  </si>
  <si>
    <t>BF2</t>
  </si>
  <si>
    <t>AS17</t>
  </si>
  <si>
    <t>BF17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</si>
  <si>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</si>
  <si>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</si>
  <si>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</si>
  <si>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</si>
  <si>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</si>
  <si>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</si>
  <si>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</si>
  <si>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</si>
  <si>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</si>
  <si>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</si>
  <si>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</si>
  <si>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</si>
  <si>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</si>
  <si>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</si>
  <si>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</si>
  <si>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</si>
  <si>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</si>
  <si>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</si>
  <si>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</si>
  <si>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</si>
  <si>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</si>
  <si>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</si>
  <si>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BH2</t>
  </si>
  <si>
    <t>BK2</t>
  </si>
  <si>
    <t>BH17</t>
  </si>
  <si>
    <t>BK17</t>
  </si>
  <si>
    <t>GrafDemo9</t>
  </si>
  <si>
    <t>BM2</t>
  </si>
  <si>
    <t>BQ2</t>
  </si>
  <si>
    <t>BM17</t>
  </si>
  <si>
    <t>BQ17</t>
  </si>
  <si>
    <t>GrafDemo10</t>
  </si>
  <si>
    <t>BS2</t>
  </si>
  <si>
    <t>BV2</t>
  </si>
  <si>
    <t>BS17</t>
  </si>
  <si>
    <t>BV17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</si>
</sst>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298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42" fillId="5" borderId="0" xfId="0" applyFont="1" applyFill="1" applyAlignment="1">
      <alignment horizontal="right" vertical="center" wrapText="1"/>
    </xf>
    <xf numFmtId="0" fontId="43" fillId="42" borderId="69" xfId="0" applyFont="1" applyFill="1" applyBorder="1" applyAlignment="1">
      <alignment vertical="center" wrapText="1"/>
    </xf>
    <xf numFmtId="0" fontId="45" fillId="0" borderId="6" xfId="0" applyFont="1" applyBorder="1" applyAlignment="1">
      <alignment horizontal="center" vertical="center" textRotation="90" wrapText="1"/>
    </xf>
    <xf numFmtId="0" fontId="45" fillId="0" borderId="6" xfId="0" applyFont="1" applyFill="1" applyBorder="1" applyAlignment="1">
      <alignment horizontal="center" vertical="center" textRotation="90" wrapText="1"/>
    </xf>
    <xf numFmtId="0" fontId="46" fillId="41" borderId="68" xfId="0" applyFont="1" applyFill="1" applyBorder="1" applyAlignment="1">
      <alignment horizontal="right" vertical="center"/>
    </xf>
    <xf numFmtId="0" fontId="8" fillId="41" borderId="5" xfId="0" applyFont="1" applyFill="1" applyBorder="1" applyAlignment="1">
      <alignment horizontal="right" vertical="center"/>
    </xf>
    <xf numFmtId="0" fontId="8" fillId="41" borderId="6" xfId="0" applyFont="1" applyFill="1" applyBorder="1" applyAlignment="1">
      <alignment horizontal="center" vertical="center" wrapText="1"/>
    </xf>
    <xf numFmtId="0" fontId="46" fillId="43" borderId="68" xfId="0" applyFont="1" applyFill="1" applyBorder="1" applyAlignment="1">
      <alignment horizontal="right" vertical="center"/>
    </xf>
    <xf numFmtId="0" fontId="8" fillId="43" borderId="5" xfId="0" applyFont="1" applyFill="1" applyBorder="1" applyAlignment="1">
      <alignment horizontal="right" vertical="center"/>
    </xf>
    <xf numFmtId="0" fontId="8" fillId="43" borderId="6" xfId="0" applyFont="1" applyFill="1" applyBorder="1" applyAlignment="1">
      <alignment horizontal="center" vertical="center" wrapText="1"/>
    </xf>
    <xf numFmtId="0" fontId="47" fillId="6" borderId="68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8" fillId="5" borderId="69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9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2" fillId="41" borderId="7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1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3" fillId="42" borderId="69" xfId="0" applyNumberFormat="1" applyFont="1" applyFill="1" applyBorder="1" applyAlignment="1">
      <alignment vertical="center" wrapText="1"/>
    </xf>
    <xf numFmtId="167" fontId="8" fillId="43" borderId="6" xfId="1" applyNumberFormat="1" applyFont="1" applyFill="1" applyBorder="1" applyAlignment="1">
      <alignment horizontal="center" vertical="center" wrapText="1"/>
    </xf>
    <xf numFmtId="167" fontId="10" fillId="43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27" fillId="19" borderId="21" xfId="0" applyFont="1" applyFill="1" applyBorder="1" applyAlignment="1">
      <alignment horizontal="center" vertical="center" wrapText="1"/>
    </xf>
    <xf numFmtId="0" fontId="52" fillId="50" borderId="73" xfId="0" applyFont="1" applyFill="1" applyBorder="1" applyAlignment="1">
      <alignment horizontal="center" vertical="center"/>
    </xf>
    <xf numFmtId="0" fontId="53" fillId="49" borderId="37" xfId="0" applyFont="1" applyFill="1" applyBorder="1" applyAlignment="1">
      <alignment horizontal="center" vertical="center"/>
    </xf>
    <xf numFmtId="0" fontId="52" fillId="50" borderId="74" xfId="0" applyFont="1" applyFill="1" applyBorder="1" applyAlignment="1">
      <alignment horizontal="center" vertical="center"/>
    </xf>
    <xf numFmtId="0" fontId="52" fillId="50" borderId="8" xfId="0" applyFont="1" applyFill="1" applyBorder="1" applyAlignment="1">
      <alignment horizontal="center" vertical="center"/>
    </xf>
    <xf numFmtId="0" fontId="52" fillId="50" borderId="37" xfId="0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/>
    </xf>
    <xf numFmtId="0" fontId="42" fillId="41" borderId="4" xfId="0" applyFont="1" applyFill="1" applyBorder="1" applyAlignment="1">
      <alignment horizontal="center" vertical="center" wrapText="1"/>
    </xf>
    <xf numFmtId="0" fontId="42" fillId="41" borderId="68" xfId="0" applyFont="1" applyFill="1" applyBorder="1" applyAlignment="1">
      <alignment horizontal="center" vertical="center" wrapText="1"/>
    </xf>
    <xf numFmtId="0" fontId="42" fillId="41" borderId="5" xfId="0" applyFont="1" applyFill="1" applyBorder="1" applyAlignment="1">
      <alignment horizontal="center" vertical="center" wrapText="1"/>
    </xf>
    <xf numFmtId="0" fontId="44" fillId="5" borderId="70" xfId="0" applyFont="1" applyFill="1" applyBorder="1" applyAlignment="1">
      <alignment horizontal="left" vertical="center" wrapText="1"/>
    </xf>
    <xf numFmtId="0" fontId="44" fillId="5" borderId="71" xfId="0" applyFont="1" applyFill="1" applyBorder="1" applyAlignment="1">
      <alignment horizontal="left" vertical="center" wrapText="1"/>
    </xf>
    <xf numFmtId="0" fontId="42" fillId="5" borderId="0" xfId="0" applyFont="1" applyFill="1" applyAlignment="1">
      <alignment horizontal="left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68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68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0" fillId="44" borderId="4" xfId="0" applyFont="1" applyFill="1" applyBorder="1" applyAlignment="1">
      <alignment horizontal="right" vertical="center" wrapText="1"/>
    </xf>
    <xf numFmtId="0" fontId="50" fillId="44" borderId="68" xfId="0" applyFont="1" applyFill="1" applyBorder="1" applyAlignment="1">
      <alignment horizontal="right" vertical="center" wrapText="1"/>
    </xf>
    <xf numFmtId="0" fontId="50" fillId="44" borderId="5" xfId="0" applyFont="1" applyFill="1" applyBorder="1" applyAlignment="1">
      <alignment horizontal="right" vertical="center" wrapText="1"/>
    </xf>
    <xf numFmtId="0" fontId="50" fillId="45" borderId="4" xfId="0" applyFont="1" applyFill="1" applyBorder="1" applyAlignment="1">
      <alignment horizontal="right" vertical="center" wrapText="1"/>
    </xf>
    <xf numFmtId="0" fontId="50" fillId="45" borderId="68" xfId="0" applyFont="1" applyFill="1" applyBorder="1" applyAlignment="1">
      <alignment horizontal="right" vertical="center" wrapText="1"/>
    </xf>
    <xf numFmtId="0" fontId="50" fillId="45" borderId="5" xfId="0" applyFont="1" applyFill="1" applyBorder="1" applyAlignment="1">
      <alignment horizontal="right" vertical="center" wrapText="1"/>
    </xf>
    <xf numFmtId="0" fontId="50" fillId="46" borderId="4" xfId="0" applyFont="1" applyFill="1" applyBorder="1" applyAlignment="1">
      <alignment horizontal="right" vertical="center" wrapText="1"/>
    </xf>
    <xf numFmtId="0" fontId="50" fillId="46" borderId="68" xfId="0" applyFont="1" applyFill="1" applyBorder="1" applyAlignment="1">
      <alignment horizontal="right" vertical="center" wrapText="1"/>
    </xf>
    <xf numFmtId="0" fontId="50" fillId="46" borderId="5" xfId="0" applyFont="1" applyFill="1" applyBorder="1" applyAlignment="1">
      <alignment horizontal="right" vertical="center" wrapText="1"/>
    </xf>
    <xf numFmtId="0" fontId="50" fillId="47" borderId="4" xfId="0" applyFont="1" applyFill="1" applyBorder="1" applyAlignment="1">
      <alignment horizontal="right" vertical="center" wrapText="1"/>
    </xf>
    <xf numFmtId="0" fontId="50" fillId="47" borderId="68" xfId="0" applyFont="1" applyFill="1" applyBorder="1" applyAlignment="1">
      <alignment horizontal="right" vertical="center" wrapText="1"/>
    </xf>
    <xf numFmtId="0" fontId="50" fillId="47" borderId="5" xfId="0" applyFont="1" applyFill="1" applyBorder="1" applyAlignment="1">
      <alignment horizontal="right" vertical="center" wrapText="1"/>
    </xf>
    <xf numFmtId="0" fontId="8" fillId="41" borderId="4" xfId="0" applyFont="1" applyFill="1" applyBorder="1" applyAlignment="1">
      <alignment horizontal="center" vertical="center" wrapText="1"/>
    </xf>
    <xf numFmtId="0" fontId="8" fillId="41" borderId="68" xfId="0" applyFont="1" applyFill="1" applyBorder="1" applyAlignment="1">
      <alignment horizontal="center" vertical="center" wrapText="1"/>
    </xf>
    <xf numFmtId="0" fontId="8" fillId="41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8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3" fillId="48" borderId="37" xfId="0" applyFont="1" applyFill="1" applyBorder="1" applyAlignment="1">
      <alignment horizontal="center" vertical="center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49"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30079552"/>
        <c:axId val="223842208"/>
      </c:barChart>
      <c:catAx>
        <c:axId val="23007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3842208"/>
        <c:crosses val="autoZero"/>
        <c:auto val="1"/>
        <c:lblAlgn val="ctr"/>
        <c:lblOffset val="100"/>
        <c:noMultiLvlLbl val="0"/>
      </c:catAx>
      <c:valAx>
        <c:axId val="22384220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3007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3845568"/>
        <c:axId val="226012080"/>
      </c:barChart>
      <c:catAx>
        <c:axId val="223845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6012080"/>
        <c:crosses val="autoZero"/>
        <c:auto val="1"/>
        <c:lblAlgn val="ctr"/>
        <c:lblOffset val="100"/>
        <c:noMultiLvlLbl val="0"/>
      </c:catAx>
      <c:valAx>
        <c:axId val="22601208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384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7314576"/>
        <c:axId val="227315136"/>
      </c:barChart>
      <c:catAx>
        <c:axId val="227314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7315136"/>
        <c:crosses val="autoZero"/>
        <c:auto val="1"/>
        <c:lblAlgn val="ctr"/>
        <c:lblOffset val="100"/>
        <c:noMultiLvlLbl val="0"/>
      </c:catAx>
      <c:valAx>
        <c:axId val="22731513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731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6378448"/>
        <c:axId val="226379008"/>
      </c:barChart>
      <c:catAx>
        <c:axId val="226378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6379008"/>
        <c:crosses val="autoZero"/>
        <c:auto val="1"/>
        <c:lblAlgn val="ctr"/>
        <c:lblOffset val="100"/>
        <c:noMultiLvlLbl val="0"/>
      </c:catAx>
      <c:valAx>
        <c:axId val="22637900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637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9887424"/>
        <c:axId val="229887984"/>
      </c:barChart>
      <c:catAx>
        <c:axId val="2298874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9887984"/>
        <c:crosses val="autoZero"/>
        <c:auto val="1"/>
        <c:lblAlgn val="ctr"/>
        <c:lblOffset val="100"/>
        <c:noMultiLvlLbl val="0"/>
      </c:catAx>
      <c:valAx>
        <c:axId val="22988798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988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sel="2" val="0">
  <itemLst>
    <item val="Barras"/>
    <item val="Tort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Style="combo" dx="16" fmlaLink="I7" noThreeD="1" sel="2" val="0">
  <itemLst>
    <item val="Barras"/>
    <item val="Tort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Barras"/>
    <item val="Tort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Barras"/>
    <item val="Tort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Barras"/>
    <item val="Tort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3489" name="DropDowns_Demo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63490" name="CheckBox_Demo1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63491" name="DropDowns_Demo2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63492" name="CheckBox_Demo2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3493" name="DropDowns_Demo3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63494" name="CheckBox_Demo3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63495" name="DropDowns_Demo4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63496" name="CheckBox_Demo4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3497" name="DropDowns_Demo5" hidden="1">
              <a:extLst>
                <a:ext uri="{63B3BB69-23CF-44E3-9099-C40C66FF867C}">
                  <a14:compatExt spid="_x0000_s6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63498" name="CheckBox_Demo5" hidden="1">
              <a:extLst>
                <a:ext uri="{63B3BB69-23CF-44E3-9099-C40C66FF867C}">
                  <a14:compatExt spid="_x0000_s6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3499" name="DropDowns_Demo6" hidden="1">
              <a:extLst>
                <a:ext uri="{63B3BB69-23CF-44E3-9099-C40C66FF867C}">
                  <a14:compatExt spid="_x0000_s6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63500" name="CheckBox_Demo6" hidden="1">
              <a:extLst>
                <a:ext uri="{63B3BB69-23CF-44E3-9099-C40C66FF867C}">
                  <a14:compatExt spid="_x0000_s6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63501" name="DropDowns_Demo7" hidden="1">
              <a:extLst>
                <a:ext uri="{63B3BB69-23CF-44E3-9099-C40C66FF867C}">
                  <a14:compatExt spid="_x0000_s6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63502" name="CheckBox_Demo7" hidden="1">
              <a:extLst>
                <a:ext uri="{63B3BB69-23CF-44E3-9099-C40C66FF867C}">
                  <a14:compatExt spid="_x0000_s6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63503" name="DropDowns_Demo8" hidden="1">
              <a:extLst>
                <a:ext uri="{63B3BB69-23CF-44E3-9099-C40C66FF867C}">
                  <a14:compatExt spid="_x0000_s6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63504" name="CheckBox_Demo8" hidden="1">
              <a:extLst>
                <a:ext uri="{63B3BB69-23CF-44E3-9099-C40C66FF867C}">
                  <a14:compatExt spid="_x0000_s6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63505" name="DropDowns_Demo9" hidden="1">
              <a:extLst>
                <a:ext uri="{63B3BB69-23CF-44E3-9099-C40C66FF867C}">
                  <a14:compatExt spid="_x0000_s6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63506" name="CheckBox_Demo9" hidden="1">
              <a:extLst>
                <a:ext uri="{63B3BB69-23CF-44E3-9099-C40C66FF867C}">
                  <a14:compatExt spid="_x0000_s6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63507" name="DropDowns_Demo10" hidden="1">
              <a:extLst>
                <a:ext uri="{63B3BB69-23CF-44E3-9099-C40C66FF867C}">
                  <a14:compatExt spid="_x0000_s6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63508" name="CheckBox_Demo10" hidden="1">
              <a:extLst>
                <a:ext uri="{63B3BB69-23CF-44E3-9099-C40C66FF867C}">
                  <a14:compatExt spid="_x0000_s6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8</xdr:col>
      <xdr:colOff>266700</xdr:colOff>
      <xdr:row>26</xdr:row>
      <xdr:rowOff>127000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33</xdr:row>
      <xdr:rowOff>63500</xdr:rowOff>
    </xdr:from>
    <xdr:to>
      <xdr:col>8</xdr:col>
      <xdr:colOff>266700</xdr:colOff>
      <xdr:row>60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</xdr:colOff>
      <xdr:row>66</xdr:row>
      <xdr:rowOff>127000</xdr:rowOff>
    </xdr:from>
    <xdr:to>
      <xdr:col>8</xdr:col>
      <xdr:colOff>266700</xdr:colOff>
      <xdr:row>93</xdr:row>
      <xdr:rowOff>63500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100</xdr:row>
      <xdr:rowOff>0</xdr:rowOff>
    </xdr:from>
    <xdr:to>
      <xdr:col>8</xdr:col>
      <xdr:colOff>266700</xdr:colOff>
      <xdr:row>126</xdr:row>
      <xdr:rowOff>127000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133</xdr:row>
      <xdr:rowOff>63500</xdr:rowOff>
    </xdr:from>
    <xdr:to>
      <xdr:col>8</xdr:col>
      <xdr:colOff>266700</xdr:colOff>
      <xdr:row>160</xdr:row>
      <xdr:rowOff>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</xdr:colOff>
      <xdr:row>166</xdr:row>
      <xdr:rowOff>127000</xdr:rowOff>
    </xdr:from>
    <xdr:to>
      <xdr:col>8</xdr:col>
      <xdr:colOff>266700</xdr:colOff>
      <xdr:row>193</xdr:row>
      <xdr:rowOff>63500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ctrlProp" Target="../ctrlProps/ctrlProp5.xml"/><Relationship Id="rId21" Type="http://schemas.openxmlformats.org/officeDocument/2006/relationships/ctrlProp" Target="../ctrlProps/ctrlProp23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/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3" t="s">
        <v>6</v>
      </c>
      <c r="G2" s="153"/>
      <c r="H2" s="153"/>
      <c r="J2" s="153" t="s">
        <v>7</v>
      </c>
      <c r="K2" s="153"/>
      <c r="L2" s="15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281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B1" workbookViewId="0">
      <selection activeCell="L2" sqref="L2:P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59" t="s">
        <v>175</v>
      </c>
      <c r="B1" s="159"/>
      <c r="C1" s="109"/>
      <c r="D1" s="154" t="s">
        <v>176</v>
      </c>
      <c r="E1" s="155"/>
      <c r="F1" s="155"/>
      <c r="G1" s="155"/>
      <c r="H1" s="155"/>
      <c r="I1" s="155"/>
      <c r="J1" s="155"/>
      <c r="K1" s="110"/>
      <c r="L1" s="154" t="s">
        <v>177</v>
      </c>
      <c r="M1" s="155"/>
      <c r="N1" s="155"/>
      <c r="O1" s="155"/>
      <c r="P1" s="156"/>
      <c r="Q1" s="110"/>
      <c r="R1" s="154" t="s">
        <v>178</v>
      </c>
      <c r="S1" s="156"/>
      <c r="T1" s="110"/>
      <c r="U1" s="154" t="s">
        <v>179</v>
      </c>
      <c r="V1" s="155"/>
      <c r="W1" s="155"/>
      <c r="X1" s="155"/>
      <c r="Y1" s="156"/>
      <c r="Z1" s="110"/>
      <c r="AA1" s="154" t="s">
        <v>180</v>
      </c>
      <c r="AB1" s="155"/>
      <c r="AC1" s="155"/>
      <c r="AD1" s="155"/>
      <c r="AE1" s="155"/>
      <c r="AF1" s="155"/>
      <c r="AG1" s="155"/>
      <c r="AH1" s="155"/>
      <c r="AI1" s="155"/>
      <c r="AJ1" s="156"/>
      <c r="AK1" s="110"/>
      <c r="AL1" s="154" t="s">
        <v>181</v>
      </c>
      <c r="AM1" s="155"/>
      <c r="AN1" s="155"/>
      <c r="AO1" s="155"/>
      <c r="AP1" s="155"/>
      <c r="AQ1" s="156"/>
      <c r="AR1" s="110"/>
      <c r="AS1" s="154" t="s">
        <v>182</v>
      </c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6"/>
      <c r="BG1" s="110"/>
      <c r="BH1" s="154" t="s">
        <v>183</v>
      </c>
      <c r="BI1" s="155"/>
      <c r="BJ1" s="155"/>
      <c r="BK1" s="156"/>
      <c r="BL1" s="110"/>
      <c r="BM1" s="154" t="s">
        <v>184</v>
      </c>
      <c r="BN1" s="155"/>
      <c r="BO1" s="155"/>
      <c r="BP1" s="155"/>
      <c r="BQ1" s="156"/>
      <c r="BR1" s="110"/>
      <c r="BS1" s="154" t="s">
        <v>185</v>
      </c>
      <c r="BT1" s="155"/>
      <c r="BU1" s="155"/>
      <c r="BV1" s="156"/>
    </row>
    <row r="2" spans="1:74" ht="273.75">
      <c r="A2" s="157" t="s">
        <v>186</v>
      </c>
      <c r="B2" s="157"/>
      <c r="C2" s="158"/>
      <c r="D2" s="111">
        <v>2016</v>
      </c>
      <c r="E2" s="111">
        <v>2015</v>
      </c>
      <c r="F2" s="111" t="s">
        <v>187</v>
      </c>
      <c r="G2" s="111" t="s">
        <v>188</v>
      </c>
      <c r="H2" s="111" t="s">
        <v>189</v>
      </c>
      <c r="I2" s="111" t="s">
        <v>190</v>
      </c>
      <c r="J2" s="111" t="s">
        <v>191</v>
      </c>
      <c r="K2" s="110"/>
      <c r="L2" s="111" t="s">
        <v>192</v>
      </c>
      <c r="M2" s="111" t="s">
        <v>193</v>
      </c>
      <c r="N2" s="111" t="s">
        <v>194</v>
      </c>
      <c r="O2" s="111" t="s">
        <v>195</v>
      </c>
      <c r="P2" s="111" t="s">
        <v>196</v>
      </c>
      <c r="Q2" s="110"/>
      <c r="R2" s="111" t="s">
        <v>197</v>
      </c>
      <c r="S2" s="111" t="s">
        <v>198</v>
      </c>
      <c r="T2" s="110"/>
      <c r="U2" s="111" t="s">
        <v>199</v>
      </c>
      <c r="V2" s="111" t="s">
        <v>200</v>
      </c>
      <c r="W2" s="111" t="s">
        <v>201</v>
      </c>
      <c r="X2" s="111" t="s">
        <v>202</v>
      </c>
      <c r="Y2" s="111" t="s">
        <v>203</v>
      </c>
      <c r="Z2" s="110"/>
      <c r="AA2" s="112" t="s">
        <v>204</v>
      </c>
      <c r="AB2" s="112" t="s">
        <v>205</v>
      </c>
      <c r="AC2" s="112" t="s">
        <v>206</v>
      </c>
      <c r="AD2" s="112" t="s">
        <v>207</v>
      </c>
      <c r="AE2" s="112" t="s">
        <v>208</v>
      </c>
      <c r="AF2" s="112" t="s">
        <v>209</v>
      </c>
      <c r="AG2" s="112" t="s">
        <v>210</v>
      </c>
      <c r="AH2" s="112" t="s">
        <v>211</v>
      </c>
      <c r="AI2" s="112" t="s">
        <v>212</v>
      </c>
      <c r="AJ2" s="112" t="s">
        <v>213</v>
      </c>
      <c r="AK2" s="110"/>
      <c r="AL2" s="111" t="s">
        <v>214</v>
      </c>
      <c r="AM2" s="111" t="s">
        <v>215</v>
      </c>
      <c r="AN2" s="111" t="s">
        <v>216</v>
      </c>
      <c r="AO2" s="111" t="s">
        <v>217</v>
      </c>
      <c r="AP2" s="111" t="s">
        <v>218</v>
      </c>
      <c r="AQ2" s="111" t="s">
        <v>219</v>
      </c>
      <c r="AR2" s="110"/>
      <c r="AS2" s="111" t="s">
        <v>220</v>
      </c>
      <c r="AT2" s="111" t="s">
        <v>221</v>
      </c>
      <c r="AU2" s="111" t="s">
        <v>222</v>
      </c>
      <c r="AV2" s="111" t="s">
        <v>223</v>
      </c>
      <c r="AW2" s="111" t="s">
        <v>224</v>
      </c>
      <c r="AX2" s="111" t="s">
        <v>225</v>
      </c>
      <c r="AY2" s="111" t="s">
        <v>226</v>
      </c>
      <c r="AZ2" s="111" t="s">
        <v>227</v>
      </c>
      <c r="BA2" s="111" t="s">
        <v>228</v>
      </c>
      <c r="BB2" s="111" t="s">
        <v>229</v>
      </c>
      <c r="BC2" s="111" t="s">
        <v>230</v>
      </c>
      <c r="BD2" s="111" t="s">
        <v>231</v>
      </c>
      <c r="BE2" s="111" t="s">
        <v>232</v>
      </c>
      <c r="BF2" s="111" t="s">
        <v>233</v>
      </c>
      <c r="BG2" s="110"/>
      <c r="BH2" s="111" t="s">
        <v>234</v>
      </c>
      <c r="BI2" s="111" t="s">
        <v>235</v>
      </c>
      <c r="BJ2" s="111" t="s">
        <v>236</v>
      </c>
      <c r="BK2" s="111" t="s">
        <v>237</v>
      </c>
      <c r="BL2" s="110"/>
      <c r="BM2" s="111" t="s">
        <v>238</v>
      </c>
      <c r="BN2" s="111" t="s">
        <v>239</v>
      </c>
      <c r="BO2" s="111" t="s">
        <v>240</v>
      </c>
      <c r="BP2" s="111" t="s">
        <v>241</v>
      </c>
      <c r="BQ2" s="111" t="s">
        <v>242</v>
      </c>
      <c r="BR2" s="110"/>
      <c r="BS2" s="111" t="s">
        <v>243</v>
      </c>
      <c r="BT2" s="111" t="s">
        <v>235</v>
      </c>
      <c r="BU2" s="111" t="s">
        <v>236</v>
      </c>
      <c r="BV2" s="111" t="s">
        <v>237</v>
      </c>
    </row>
    <row r="3" spans="1:74">
      <c r="A3" s="113"/>
      <c r="B3" s="113"/>
      <c r="C3" s="114" t="s">
        <v>10</v>
      </c>
      <c r="D3" s="115">
        <v>4886</v>
      </c>
      <c r="E3" s="115">
        <v>4735</v>
      </c>
      <c r="F3" s="115"/>
      <c r="G3" s="115"/>
      <c r="H3" s="115"/>
      <c r="I3" s="115"/>
      <c r="J3" s="115"/>
      <c r="K3" s="110"/>
      <c r="L3" s="115">
        <v>292</v>
      </c>
      <c r="M3" s="115">
        <v>1996</v>
      </c>
      <c r="N3" s="115">
        <v>1426</v>
      </c>
      <c r="O3" s="115">
        <v>736</v>
      </c>
      <c r="P3" s="115">
        <v>248</v>
      </c>
      <c r="Q3" s="110"/>
      <c r="R3" s="115">
        <v>2476</v>
      </c>
      <c r="S3" s="115">
        <v>2191</v>
      </c>
      <c r="T3" s="110"/>
      <c r="U3" s="115">
        <v>12</v>
      </c>
      <c r="V3" s="115">
        <v>360</v>
      </c>
      <c r="W3" s="115">
        <v>2276</v>
      </c>
      <c r="X3" s="115">
        <v>1542</v>
      </c>
      <c r="Y3" s="115">
        <v>500</v>
      </c>
      <c r="Z3" s="110"/>
      <c r="AA3" s="115">
        <v>74</v>
      </c>
      <c r="AB3" s="115">
        <v>139</v>
      </c>
      <c r="AC3" s="115">
        <v>979</v>
      </c>
      <c r="AD3" s="115">
        <v>794</v>
      </c>
      <c r="AE3" s="115">
        <v>386</v>
      </c>
      <c r="AF3" s="115">
        <v>426</v>
      </c>
      <c r="AG3" s="115">
        <v>536</v>
      </c>
      <c r="AH3" s="115">
        <v>877</v>
      </c>
      <c r="AI3" s="115">
        <v>396</v>
      </c>
      <c r="AJ3" s="115">
        <v>42</v>
      </c>
      <c r="AK3" s="110"/>
      <c r="AL3" s="115">
        <v>425</v>
      </c>
      <c r="AM3" s="115">
        <v>1125</v>
      </c>
      <c r="AN3" s="115">
        <v>1198</v>
      </c>
      <c r="AO3" s="115">
        <v>412</v>
      </c>
      <c r="AP3" s="115">
        <v>791</v>
      </c>
      <c r="AQ3" s="115">
        <v>719</v>
      </c>
      <c r="AR3" s="110"/>
      <c r="AS3" s="115">
        <v>8</v>
      </c>
      <c r="AT3" s="115">
        <v>14</v>
      </c>
      <c r="AU3" s="115">
        <v>41</v>
      </c>
      <c r="AV3" s="115">
        <v>199</v>
      </c>
      <c r="AW3" s="115">
        <v>2612</v>
      </c>
      <c r="AX3" s="115">
        <v>95</v>
      </c>
      <c r="AY3" s="115">
        <v>21</v>
      </c>
      <c r="AZ3" s="115">
        <v>170</v>
      </c>
      <c r="BA3" s="115">
        <v>102</v>
      </c>
      <c r="BB3" s="115">
        <v>60</v>
      </c>
      <c r="BC3" s="115">
        <v>1478</v>
      </c>
      <c r="BD3" s="115">
        <v>73</v>
      </c>
      <c r="BE3" s="115">
        <v>3</v>
      </c>
      <c r="BF3" s="115">
        <v>10</v>
      </c>
      <c r="BG3" s="110"/>
      <c r="BH3" s="115">
        <v>2444</v>
      </c>
      <c r="BI3" s="115">
        <v>1088</v>
      </c>
      <c r="BJ3" s="115">
        <v>501</v>
      </c>
      <c r="BK3" s="115">
        <v>116</v>
      </c>
      <c r="BL3" s="110"/>
      <c r="BM3" s="115">
        <v>680</v>
      </c>
      <c r="BN3" s="115">
        <v>940</v>
      </c>
      <c r="BO3" s="115">
        <v>101</v>
      </c>
      <c r="BP3" s="115">
        <v>1993</v>
      </c>
      <c r="BQ3" s="115">
        <v>218</v>
      </c>
      <c r="BR3" s="110"/>
      <c r="BS3" s="115">
        <v>789</v>
      </c>
      <c r="BT3" s="115">
        <v>283</v>
      </c>
      <c r="BU3" s="115">
        <v>450</v>
      </c>
      <c r="BV3" s="115">
        <v>317</v>
      </c>
    </row>
    <row r="4" spans="1:74">
      <c r="A4" s="116"/>
      <c r="B4" s="116"/>
      <c r="C4" s="117" t="s">
        <v>244</v>
      </c>
      <c r="D4" s="118">
        <v>5231</v>
      </c>
      <c r="E4" s="118">
        <v>5159</v>
      </c>
      <c r="F4" s="118"/>
      <c r="G4" s="118"/>
      <c r="H4" s="118"/>
      <c r="I4" s="118"/>
      <c r="J4" s="118"/>
      <c r="K4" s="110"/>
      <c r="L4" s="118"/>
      <c r="M4" s="118"/>
      <c r="N4" s="118"/>
      <c r="O4" s="118"/>
      <c r="P4" s="118"/>
      <c r="Q4" s="110"/>
      <c r="R4" s="118"/>
      <c r="S4" s="118"/>
      <c r="T4" s="110"/>
      <c r="U4" s="118"/>
      <c r="V4" s="118"/>
      <c r="W4" s="118"/>
      <c r="X4" s="118"/>
      <c r="Y4" s="118"/>
      <c r="Z4" s="110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0"/>
      <c r="AL4" s="118"/>
      <c r="AM4" s="118"/>
      <c r="AN4" s="118"/>
      <c r="AO4" s="118"/>
      <c r="AP4" s="118"/>
      <c r="AQ4" s="118"/>
      <c r="AR4" s="110"/>
      <c r="AS4" s="118">
        <v>9</v>
      </c>
      <c r="AT4" s="118">
        <v>22</v>
      </c>
      <c r="AU4" s="118">
        <v>43</v>
      </c>
      <c r="AV4" s="118">
        <v>219</v>
      </c>
      <c r="AW4" s="118">
        <v>2790</v>
      </c>
      <c r="AX4" s="118">
        <v>97</v>
      </c>
      <c r="AY4" s="118">
        <v>21</v>
      </c>
      <c r="AZ4" s="118">
        <v>179</v>
      </c>
      <c r="BA4" s="118">
        <v>109</v>
      </c>
      <c r="BB4" s="118">
        <v>62</v>
      </c>
      <c r="BC4" s="118">
        <v>1587</v>
      </c>
      <c r="BD4" s="118">
        <v>77</v>
      </c>
      <c r="BE4" s="118">
        <v>4</v>
      </c>
      <c r="BF4" s="118">
        <v>12</v>
      </c>
      <c r="BG4" s="110"/>
      <c r="BH4" s="118"/>
      <c r="BI4" s="118"/>
      <c r="BJ4" s="118"/>
      <c r="BK4" s="118"/>
      <c r="BL4" s="110"/>
      <c r="BM4" s="118"/>
      <c r="BN4" s="118"/>
      <c r="BO4" s="118"/>
      <c r="BP4" s="118"/>
      <c r="BQ4" s="118"/>
      <c r="BR4" s="110"/>
      <c r="BS4" s="118"/>
      <c r="BT4" s="118"/>
      <c r="BU4" s="118"/>
      <c r="BV4" s="118"/>
    </row>
    <row r="5" spans="1:74">
      <c r="A5" s="119"/>
      <c r="B5" s="119"/>
      <c r="C5" s="120" t="s">
        <v>245</v>
      </c>
      <c r="D5" s="121">
        <v>4735</v>
      </c>
      <c r="E5" s="121">
        <v>4504</v>
      </c>
      <c r="F5" s="121"/>
      <c r="G5" s="121"/>
      <c r="H5" s="121"/>
      <c r="I5" s="121"/>
      <c r="J5" s="121"/>
      <c r="K5" s="110"/>
      <c r="L5" s="121">
        <v>249</v>
      </c>
      <c r="M5" s="121">
        <v>1965</v>
      </c>
      <c r="N5" s="121">
        <v>1426</v>
      </c>
      <c r="O5" s="121">
        <v>733</v>
      </c>
      <c r="P5" s="121">
        <v>256</v>
      </c>
      <c r="Q5" s="110"/>
      <c r="R5" s="121">
        <v>2382</v>
      </c>
      <c r="S5" s="121">
        <v>2218</v>
      </c>
      <c r="T5" s="110"/>
      <c r="U5" s="121">
        <v>14</v>
      </c>
      <c r="V5" s="121">
        <v>413</v>
      </c>
      <c r="W5" s="121">
        <v>2318</v>
      </c>
      <c r="X5" s="121">
        <v>1467</v>
      </c>
      <c r="Y5" s="121">
        <v>425</v>
      </c>
      <c r="Z5" s="110"/>
      <c r="AA5" s="121">
        <v>65</v>
      </c>
      <c r="AB5" s="121">
        <v>121</v>
      </c>
      <c r="AC5" s="121">
        <v>895</v>
      </c>
      <c r="AD5" s="121">
        <v>768</v>
      </c>
      <c r="AE5" s="121">
        <v>265</v>
      </c>
      <c r="AF5" s="121">
        <v>519</v>
      </c>
      <c r="AG5" s="121">
        <v>572</v>
      </c>
      <c r="AH5" s="121">
        <v>937</v>
      </c>
      <c r="AI5" s="121">
        <v>444</v>
      </c>
      <c r="AJ5" s="121" t="s">
        <v>11</v>
      </c>
      <c r="AK5" s="110"/>
      <c r="AL5" s="121">
        <v>305</v>
      </c>
      <c r="AM5" s="121">
        <v>1135</v>
      </c>
      <c r="AN5" s="121">
        <v>1202</v>
      </c>
      <c r="AO5" s="121">
        <v>481</v>
      </c>
      <c r="AP5" s="121">
        <v>715</v>
      </c>
      <c r="AQ5" s="121">
        <v>773</v>
      </c>
      <c r="AR5" s="110"/>
      <c r="AS5" s="121">
        <v>22</v>
      </c>
      <c r="AT5" s="121">
        <v>10</v>
      </c>
      <c r="AU5" s="121">
        <v>47</v>
      </c>
      <c r="AV5" s="121">
        <v>187</v>
      </c>
      <c r="AW5" s="121">
        <v>2535</v>
      </c>
      <c r="AX5" s="121">
        <v>89</v>
      </c>
      <c r="AY5" s="121" t="s">
        <v>11</v>
      </c>
      <c r="AZ5" s="121">
        <v>159</v>
      </c>
      <c r="BA5" s="121">
        <v>99</v>
      </c>
      <c r="BB5" s="121">
        <v>55</v>
      </c>
      <c r="BC5" s="121">
        <v>1432</v>
      </c>
      <c r="BD5" s="121">
        <v>77</v>
      </c>
      <c r="BE5" s="121">
        <v>5</v>
      </c>
      <c r="BF5" s="121">
        <v>11</v>
      </c>
      <c r="BG5" s="110"/>
      <c r="BH5" s="121">
        <v>2773</v>
      </c>
      <c r="BI5" s="121">
        <v>1087</v>
      </c>
      <c r="BJ5" s="121">
        <v>595</v>
      </c>
      <c r="BK5" s="121">
        <v>110</v>
      </c>
      <c r="BL5" s="110"/>
      <c r="BM5" s="121">
        <v>764</v>
      </c>
      <c r="BN5" s="121">
        <v>1235</v>
      </c>
      <c r="BO5" s="121">
        <v>132</v>
      </c>
      <c r="BP5" s="121">
        <v>2149</v>
      </c>
      <c r="BQ5" s="121">
        <v>297</v>
      </c>
      <c r="BR5" s="110"/>
      <c r="BS5" s="121" t="s">
        <v>11</v>
      </c>
      <c r="BT5" s="121" t="s">
        <v>11</v>
      </c>
      <c r="BU5" s="121" t="s">
        <v>11</v>
      </c>
      <c r="BV5" s="121" t="s">
        <v>11</v>
      </c>
    </row>
    <row r="6" spans="1:74">
      <c r="A6" s="122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</row>
    <row r="7" spans="1:74">
      <c r="A7" s="163" t="s">
        <v>12</v>
      </c>
      <c r="B7" s="164"/>
      <c r="C7" s="165"/>
      <c r="D7" s="124">
        <v>85.93</v>
      </c>
      <c r="E7" s="124">
        <v>82.67</v>
      </c>
      <c r="F7" s="124">
        <v>89.46</v>
      </c>
      <c r="G7" s="124">
        <v>79.150000000000006</v>
      </c>
      <c r="H7" s="125">
        <v>3.2600000000000051</v>
      </c>
      <c r="I7" s="125">
        <v>-3.5299999999999869</v>
      </c>
      <c r="J7" s="125">
        <v>6.7800000000000011</v>
      </c>
      <c r="K7" s="110"/>
      <c r="L7" s="124">
        <v>90.45</v>
      </c>
      <c r="M7" s="124">
        <v>86.08</v>
      </c>
      <c r="N7" s="124">
        <v>84.35</v>
      </c>
      <c r="O7" s="124">
        <v>87.74</v>
      </c>
      <c r="P7" s="124">
        <v>90.43</v>
      </c>
      <c r="Q7" s="110"/>
      <c r="R7" s="124">
        <v>86.53</v>
      </c>
      <c r="S7" s="124">
        <v>86.24</v>
      </c>
      <c r="T7" s="110"/>
      <c r="U7" s="124">
        <v>76.19</v>
      </c>
      <c r="V7" s="124">
        <v>87.14</v>
      </c>
      <c r="W7" s="124">
        <v>86.86</v>
      </c>
      <c r="X7" s="124">
        <v>85.18</v>
      </c>
      <c r="Y7" s="124">
        <v>87.05</v>
      </c>
      <c r="Z7" s="110"/>
      <c r="AA7" s="124">
        <v>93.53</v>
      </c>
      <c r="AB7" s="124">
        <v>91.83</v>
      </c>
      <c r="AC7" s="124">
        <v>88.97</v>
      </c>
      <c r="AD7" s="124">
        <v>83.86</v>
      </c>
      <c r="AE7" s="124">
        <v>84.1</v>
      </c>
      <c r="AF7" s="124">
        <v>78.73</v>
      </c>
      <c r="AG7" s="124">
        <v>86.35</v>
      </c>
      <c r="AH7" s="124">
        <v>87.52</v>
      </c>
      <c r="AI7" s="124">
        <v>90.4</v>
      </c>
      <c r="AJ7" s="124">
        <v>79.88</v>
      </c>
      <c r="AK7" s="110"/>
      <c r="AL7" s="124">
        <v>91.75</v>
      </c>
      <c r="AM7" s="124">
        <v>87.14</v>
      </c>
      <c r="AN7" s="124">
        <v>84.41</v>
      </c>
      <c r="AO7" s="124">
        <v>79.94</v>
      </c>
      <c r="AP7" s="124">
        <v>87.42</v>
      </c>
      <c r="AQ7" s="124">
        <v>88.24</v>
      </c>
      <c r="AR7" s="110"/>
      <c r="AS7" s="124">
        <v>70.28</v>
      </c>
      <c r="AT7" s="124">
        <v>93.52</v>
      </c>
      <c r="AU7" s="124">
        <v>81.7</v>
      </c>
      <c r="AV7" s="124">
        <v>85.8</v>
      </c>
      <c r="AW7" s="124">
        <v>86.78</v>
      </c>
      <c r="AX7" s="124">
        <v>83.81</v>
      </c>
      <c r="AY7" s="124">
        <v>96.24</v>
      </c>
      <c r="AZ7" s="124">
        <v>90.49</v>
      </c>
      <c r="BA7" s="124">
        <v>78.42</v>
      </c>
      <c r="BB7" s="124">
        <v>89.17</v>
      </c>
      <c r="BC7" s="124">
        <v>84.63</v>
      </c>
      <c r="BD7" s="124">
        <v>81.78</v>
      </c>
      <c r="BE7" s="124" t="s">
        <v>246</v>
      </c>
      <c r="BF7" s="124">
        <v>97.14</v>
      </c>
      <c r="BG7" s="110"/>
      <c r="BH7" s="124">
        <v>92.06</v>
      </c>
      <c r="BI7" s="124">
        <v>82.99</v>
      </c>
      <c r="BJ7" s="124">
        <v>73.010000000000005</v>
      </c>
      <c r="BK7" s="124">
        <v>58.22</v>
      </c>
      <c r="BL7" s="110"/>
      <c r="BM7" s="124">
        <v>88.46</v>
      </c>
      <c r="BN7" s="124">
        <v>81.81</v>
      </c>
      <c r="BO7" s="124">
        <v>69.47</v>
      </c>
      <c r="BP7" s="124">
        <v>90.75</v>
      </c>
      <c r="BQ7" s="124">
        <v>71.900000000000006</v>
      </c>
      <c r="BR7" s="110"/>
      <c r="BS7" s="124">
        <v>93.66</v>
      </c>
      <c r="BT7" s="124">
        <v>88.03</v>
      </c>
      <c r="BU7" s="124">
        <v>82.62</v>
      </c>
      <c r="BV7" s="124">
        <v>65.010000000000005</v>
      </c>
    </row>
    <row r="8" spans="1:74">
      <c r="A8" s="166" t="s">
        <v>13</v>
      </c>
      <c r="B8" s="167"/>
      <c r="C8" s="168"/>
      <c r="D8" s="124">
        <v>81.56</v>
      </c>
      <c r="E8" s="124">
        <v>77.59</v>
      </c>
      <c r="F8" s="124">
        <v>88.6</v>
      </c>
      <c r="G8" s="124">
        <v>77.23</v>
      </c>
      <c r="H8" s="125">
        <v>3.9699999999999989</v>
      </c>
      <c r="I8" s="125">
        <v>-7.039999999999992</v>
      </c>
      <c r="J8" s="125">
        <v>4.3299999999999983</v>
      </c>
      <c r="K8" s="110"/>
      <c r="L8" s="124">
        <v>84.9</v>
      </c>
      <c r="M8" s="124">
        <v>80.59</v>
      </c>
      <c r="N8" s="124">
        <v>81</v>
      </c>
      <c r="O8" s="124">
        <v>84.36</v>
      </c>
      <c r="P8" s="124">
        <v>87.34</v>
      </c>
      <c r="Q8" s="110"/>
      <c r="R8" s="124">
        <v>82.52</v>
      </c>
      <c r="S8" s="124">
        <v>81.34</v>
      </c>
      <c r="T8" s="110"/>
      <c r="U8" s="124">
        <v>78.209999999999994</v>
      </c>
      <c r="V8" s="124">
        <v>80.63</v>
      </c>
      <c r="W8" s="124">
        <v>81.92</v>
      </c>
      <c r="X8" s="124">
        <v>81.260000000000005</v>
      </c>
      <c r="Y8" s="124">
        <v>85.26</v>
      </c>
      <c r="Z8" s="110"/>
      <c r="AA8" s="124">
        <v>93.66</v>
      </c>
      <c r="AB8" s="124">
        <v>89.43</v>
      </c>
      <c r="AC8" s="124">
        <v>85.92</v>
      </c>
      <c r="AD8" s="124">
        <v>81.99</v>
      </c>
      <c r="AE8" s="124">
        <v>79.41</v>
      </c>
      <c r="AF8" s="124">
        <v>74.709999999999994</v>
      </c>
      <c r="AG8" s="124">
        <v>79.209999999999994</v>
      </c>
      <c r="AH8" s="124">
        <v>81.94</v>
      </c>
      <c r="AI8" s="124">
        <v>82.09</v>
      </c>
      <c r="AJ8" s="124">
        <v>80.540000000000006</v>
      </c>
      <c r="AK8" s="110"/>
      <c r="AL8" s="124">
        <v>87.01</v>
      </c>
      <c r="AM8" s="124">
        <v>82.15</v>
      </c>
      <c r="AN8" s="124">
        <v>78.97</v>
      </c>
      <c r="AO8" s="124">
        <v>76.930000000000007</v>
      </c>
      <c r="AP8" s="124">
        <v>83.93</v>
      </c>
      <c r="AQ8" s="124">
        <v>84.79</v>
      </c>
      <c r="AR8" s="110"/>
      <c r="AS8" s="124">
        <v>62.23</v>
      </c>
      <c r="AT8" s="124">
        <v>94.29</v>
      </c>
      <c r="AU8" s="124">
        <v>80.44</v>
      </c>
      <c r="AV8" s="124">
        <v>83.68</v>
      </c>
      <c r="AW8" s="124">
        <v>81.459999999999994</v>
      </c>
      <c r="AX8" s="124">
        <v>84.28</v>
      </c>
      <c r="AY8" s="124">
        <v>91.48</v>
      </c>
      <c r="AZ8" s="124">
        <v>90.16</v>
      </c>
      <c r="BA8" s="124">
        <v>79.81</v>
      </c>
      <c r="BB8" s="124">
        <v>87.3</v>
      </c>
      <c r="BC8" s="124">
        <v>79.87</v>
      </c>
      <c r="BD8" s="124">
        <v>83.85</v>
      </c>
      <c r="BE8" s="124" t="s">
        <v>246</v>
      </c>
      <c r="BF8" s="124">
        <v>95.38</v>
      </c>
      <c r="BG8" s="110"/>
      <c r="BH8" s="124">
        <v>87.65</v>
      </c>
      <c r="BI8" s="124">
        <v>78.34</v>
      </c>
      <c r="BJ8" s="124">
        <v>69.09</v>
      </c>
      <c r="BK8" s="124">
        <v>54.71</v>
      </c>
      <c r="BL8" s="110"/>
      <c r="BM8" s="124">
        <v>84.45</v>
      </c>
      <c r="BN8" s="124">
        <v>75.67</v>
      </c>
      <c r="BO8" s="124">
        <v>62.34</v>
      </c>
      <c r="BP8" s="124">
        <v>87.24</v>
      </c>
      <c r="BQ8" s="124">
        <v>66.099999999999994</v>
      </c>
      <c r="BR8" s="110"/>
      <c r="BS8" s="124">
        <v>89.83</v>
      </c>
      <c r="BT8" s="124">
        <v>83.54</v>
      </c>
      <c r="BU8" s="124">
        <v>77.73</v>
      </c>
      <c r="BV8" s="124">
        <v>61.02</v>
      </c>
    </row>
    <row r="9" spans="1:74">
      <c r="A9" s="169" t="s">
        <v>14</v>
      </c>
      <c r="B9" s="170"/>
      <c r="C9" s="171"/>
      <c r="D9" s="124">
        <v>77.78</v>
      </c>
      <c r="E9" s="124">
        <v>73.56</v>
      </c>
      <c r="F9" s="124">
        <v>84.91</v>
      </c>
      <c r="G9" s="124">
        <v>75.44</v>
      </c>
      <c r="H9" s="125">
        <v>4.2199999999999989</v>
      </c>
      <c r="I9" s="125">
        <v>-7.1299999999999955</v>
      </c>
      <c r="J9" s="125">
        <v>2.3400000000000034</v>
      </c>
      <c r="K9" s="110"/>
      <c r="L9" s="124">
        <v>85.2</v>
      </c>
      <c r="M9" s="124">
        <v>77.400000000000006</v>
      </c>
      <c r="N9" s="124">
        <v>75.959999999999994</v>
      </c>
      <c r="O9" s="124">
        <v>79.81</v>
      </c>
      <c r="P9" s="124">
        <v>83.12</v>
      </c>
      <c r="Q9" s="110"/>
      <c r="R9" s="124">
        <v>78.27</v>
      </c>
      <c r="S9" s="124">
        <v>78.02</v>
      </c>
      <c r="T9" s="110"/>
      <c r="U9" s="124">
        <v>80.489999999999995</v>
      </c>
      <c r="V9" s="124">
        <v>78.47</v>
      </c>
      <c r="W9" s="124">
        <v>78.739999999999995</v>
      </c>
      <c r="X9" s="124">
        <v>76.790000000000006</v>
      </c>
      <c r="Y9" s="124">
        <v>79.03</v>
      </c>
      <c r="Z9" s="110"/>
      <c r="AA9" s="124">
        <v>87.16</v>
      </c>
      <c r="AB9" s="124">
        <v>83.33</v>
      </c>
      <c r="AC9" s="124">
        <v>81.790000000000006</v>
      </c>
      <c r="AD9" s="124">
        <v>75.37</v>
      </c>
      <c r="AE9" s="124">
        <v>74.319999999999993</v>
      </c>
      <c r="AF9" s="124">
        <v>69.97</v>
      </c>
      <c r="AG9" s="124">
        <v>77.64</v>
      </c>
      <c r="AH9" s="124">
        <v>79.180000000000007</v>
      </c>
      <c r="AI9" s="124">
        <v>83.27</v>
      </c>
      <c r="AJ9" s="124">
        <v>72.260000000000005</v>
      </c>
      <c r="AK9" s="110"/>
      <c r="AL9" s="124">
        <v>87.17</v>
      </c>
      <c r="AM9" s="124">
        <v>79.760000000000005</v>
      </c>
      <c r="AN9" s="124">
        <v>74.66</v>
      </c>
      <c r="AO9" s="124">
        <v>72.42</v>
      </c>
      <c r="AP9" s="124">
        <v>77.63</v>
      </c>
      <c r="AQ9" s="124">
        <v>80.38</v>
      </c>
      <c r="AR9" s="110"/>
      <c r="AS9" s="124">
        <v>67.959999999999994</v>
      </c>
      <c r="AT9" s="124">
        <v>91.07</v>
      </c>
      <c r="AU9" s="124">
        <v>74.040000000000006</v>
      </c>
      <c r="AV9" s="124">
        <v>74.45</v>
      </c>
      <c r="AW9" s="124">
        <v>78.72</v>
      </c>
      <c r="AX9" s="124">
        <v>76.58</v>
      </c>
      <c r="AY9" s="124">
        <v>81.349999999999994</v>
      </c>
      <c r="AZ9" s="124">
        <v>80.63</v>
      </c>
      <c r="BA9" s="124">
        <v>70.56</v>
      </c>
      <c r="BB9" s="124">
        <v>81.760000000000005</v>
      </c>
      <c r="BC9" s="124">
        <v>76.849999999999994</v>
      </c>
      <c r="BD9" s="124">
        <v>73.540000000000006</v>
      </c>
      <c r="BE9" s="124" t="s">
        <v>246</v>
      </c>
      <c r="BF9" s="124">
        <v>85</v>
      </c>
      <c r="BG9" s="110"/>
      <c r="BH9" s="124">
        <v>83.2</v>
      </c>
      <c r="BI9" s="124">
        <v>74.31</v>
      </c>
      <c r="BJ9" s="124">
        <v>66.7</v>
      </c>
      <c r="BK9" s="124">
        <v>56.94</v>
      </c>
      <c r="BL9" s="110"/>
      <c r="BM9" s="124">
        <v>79.25</v>
      </c>
      <c r="BN9" s="124">
        <v>73.47</v>
      </c>
      <c r="BO9" s="124">
        <v>59.43</v>
      </c>
      <c r="BP9" s="124">
        <v>82.97</v>
      </c>
      <c r="BQ9" s="124">
        <v>62.41</v>
      </c>
      <c r="BR9" s="110"/>
      <c r="BS9" s="124">
        <v>85.29</v>
      </c>
      <c r="BT9" s="124">
        <v>79.36</v>
      </c>
      <c r="BU9" s="124">
        <v>73.209999999999994</v>
      </c>
      <c r="BV9" s="124">
        <v>61.49</v>
      </c>
    </row>
    <row r="10" spans="1:74">
      <c r="A10" s="172" t="s">
        <v>15</v>
      </c>
      <c r="B10" s="173"/>
      <c r="C10" s="174"/>
      <c r="D10" s="124">
        <v>83.3</v>
      </c>
      <c r="E10" s="124">
        <v>78.540000000000006</v>
      </c>
      <c r="F10" s="124">
        <v>90.36</v>
      </c>
      <c r="G10" s="124">
        <v>80.28</v>
      </c>
      <c r="H10" s="125">
        <v>4.7599999999999909</v>
      </c>
      <c r="I10" s="125">
        <v>-7.0600000000000023</v>
      </c>
      <c r="J10" s="125">
        <v>3.019999999999996</v>
      </c>
      <c r="K10" s="110"/>
      <c r="L10" s="124">
        <v>83.54</v>
      </c>
      <c r="M10" s="124">
        <v>81.03</v>
      </c>
      <c r="N10" s="124">
        <v>83.26</v>
      </c>
      <c r="O10" s="124">
        <v>88.56</v>
      </c>
      <c r="P10" s="124">
        <v>91.07</v>
      </c>
      <c r="Q10" s="110"/>
      <c r="R10" s="124">
        <v>83.68</v>
      </c>
      <c r="S10" s="124">
        <v>83.52</v>
      </c>
      <c r="T10" s="110"/>
      <c r="U10" s="124">
        <v>84.38</v>
      </c>
      <c r="V10" s="124">
        <v>84.66</v>
      </c>
      <c r="W10" s="124">
        <v>83.78</v>
      </c>
      <c r="X10" s="124">
        <v>82.02</v>
      </c>
      <c r="Y10" s="124">
        <v>86.82</v>
      </c>
      <c r="Z10" s="110"/>
      <c r="AA10" s="124">
        <v>94.93</v>
      </c>
      <c r="AB10" s="124">
        <v>92.27</v>
      </c>
      <c r="AC10" s="124">
        <v>89.09</v>
      </c>
      <c r="AD10" s="124">
        <v>82.97</v>
      </c>
      <c r="AE10" s="124">
        <v>81.58</v>
      </c>
      <c r="AF10" s="124">
        <v>76.73</v>
      </c>
      <c r="AG10" s="124">
        <v>80.61</v>
      </c>
      <c r="AH10" s="124">
        <v>83.49</v>
      </c>
      <c r="AI10" s="124">
        <v>80.66</v>
      </c>
      <c r="AJ10" s="124">
        <v>76.23</v>
      </c>
      <c r="AK10" s="110"/>
      <c r="AL10" s="124">
        <v>86.67</v>
      </c>
      <c r="AM10" s="124">
        <v>82.73</v>
      </c>
      <c r="AN10" s="124">
        <v>79.88</v>
      </c>
      <c r="AO10" s="124">
        <v>80.069999999999993</v>
      </c>
      <c r="AP10" s="124">
        <v>86.61</v>
      </c>
      <c r="AQ10" s="124">
        <v>88.62</v>
      </c>
      <c r="AR10" s="110"/>
      <c r="AS10" s="124">
        <v>72.989999999999995</v>
      </c>
      <c r="AT10" s="124">
        <v>99.04</v>
      </c>
      <c r="AU10" s="124">
        <v>80</v>
      </c>
      <c r="AV10" s="124">
        <v>84.75</v>
      </c>
      <c r="AW10" s="124">
        <v>83.95</v>
      </c>
      <c r="AX10" s="124">
        <v>89.61</v>
      </c>
      <c r="AY10" s="124">
        <v>93.45</v>
      </c>
      <c r="AZ10" s="124">
        <v>88.73</v>
      </c>
      <c r="BA10" s="124">
        <v>76.319999999999993</v>
      </c>
      <c r="BB10" s="124">
        <v>90.11</v>
      </c>
      <c r="BC10" s="124">
        <v>80.97</v>
      </c>
      <c r="BD10" s="124">
        <v>81.84</v>
      </c>
      <c r="BE10" s="124" t="s">
        <v>246</v>
      </c>
      <c r="BF10" s="124">
        <v>96.25</v>
      </c>
      <c r="BG10" s="110"/>
      <c r="BH10" s="124">
        <v>87.6</v>
      </c>
      <c r="BI10" s="124">
        <v>81.8</v>
      </c>
      <c r="BJ10" s="124">
        <v>71.7</v>
      </c>
      <c r="BK10" s="124">
        <v>66.19</v>
      </c>
      <c r="BL10" s="110"/>
      <c r="BM10" s="124">
        <v>84.85</v>
      </c>
      <c r="BN10" s="124">
        <v>75.930000000000007</v>
      </c>
      <c r="BO10" s="124">
        <v>67.13</v>
      </c>
      <c r="BP10" s="124">
        <v>89.76</v>
      </c>
      <c r="BQ10" s="124">
        <v>66.989999999999995</v>
      </c>
      <c r="BR10" s="110"/>
      <c r="BS10" s="124">
        <v>89.45</v>
      </c>
      <c r="BT10" s="124">
        <v>84.49</v>
      </c>
      <c r="BU10" s="124">
        <v>80.319999999999993</v>
      </c>
      <c r="BV10" s="124">
        <v>67.36</v>
      </c>
    </row>
    <row r="11" spans="1:74">
      <c r="A11" s="175" t="s">
        <v>16</v>
      </c>
      <c r="B11" s="176"/>
      <c r="C11" s="177"/>
      <c r="D11" s="124">
        <v>86.19</v>
      </c>
      <c r="E11" s="124">
        <v>81.86</v>
      </c>
      <c r="F11" s="124">
        <v>92.63</v>
      </c>
      <c r="G11" s="124">
        <v>83.31</v>
      </c>
      <c r="H11" s="125">
        <v>4.3299999999999983</v>
      </c>
      <c r="I11" s="125">
        <v>-6.4399999999999977</v>
      </c>
      <c r="J11" s="125">
        <v>2.8799999999999955</v>
      </c>
      <c r="K11" s="110"/>
      <c r="L11" s="124">
        <v>90.58</v>
      </c>
      <c r="M11" s="124">
        <v>85.89</v>
      </c>
      <c r="N11" s="124">
        <v>85.08</v>
      </c>
      <c r="O11" s="124">
        <v>88.42</v>
      </c>
      <c r="P11" s="124">
        <v>90.24</v>
      </c>
      <c r="Q11" s="110"/>
      <c r="R11" s="124">
        <v>86.39</v>
      </c>
      <c r="S11" s="124">
        <v>86.83</v>
      </c>
      <c r="T11" s="110"/>
      <c r="U11" s="124">
        <v>78.33</v>
      </c>
      <c r="V11" s="124">
        <v>85.6</v>
      </c>
      <c r="W11" s="124">
        <v>86.75</v>
      </c>
      <c r="X11" s="124">
        <v>85.69</v>
      </c>
      <c r="Y11" s="124">
        <v>89.35</v>
      </c>
      <c r="Z11" s="110"/>
      <c r="AA11" s="124">
        <v>94.86</v>
      </c>
      <c r="AB11" s="124">
        <v>92.88</v>
      </c>
      <c r="AC11" s="124">
        <v>90.23</v>
      </c>
      <c r="AD11" s="124">
        <v>86.42</v>
      </c>
      <c r="AE11" s="124">
        <v>83.34</v>
      </c>
      <c r="AF11" s="124">
        <v>79.400000000000006</v>
      </c>
      <c r="AG11" s="124">
        <v>84.13</v>
      </c>
      <c r="AH11" s="124">
        <v>86.8</v>
      </c>
      <c r="AI11" s="124">
        <v>89.26</v>
      </c>
      <c r="AJ11" s="124">
        <v>80.28</v>
      </c>
      <c r="AK11" s="110"/>
      <c r="AL11" s="124">
        <v>91.77</v>
      </c>
      <c r="AM11" s="124">
        <v>87.67</v>
      </c>
      <c r="AN11" s="124">
        <v>83.75</v>
      </c>
      <c r="AO11" s="124">
        <v>81.36</v>
      </c>
      <c r="AP11" s="124">
        <v>88.32</v>
      </c>
      <c r="AQ11" s="124">
        <v>88.26</v>
      </c>
      <c r="AR11" s="110"/>
      <c r="AS11" s="124">
        <v>60.71</v>
      </c>
      <c r="AT11" s="124">
        <v>98.57</v>
      </c>
      <c r="AU11" s="124">
        <v>79.77</v>
      </c>
      <c r="AV11" s="124">
        <v>87.66</v>
      </c>
      <c r="AW11" s="124">
        <v>86.3</v>
      </c>
      <c r="AX11" s="124">
        <v>90.11</v>
      </c>
      <c r="AY11" s="124">
        <v>93.76</v>
      </c>
      <c r="AZ11" s="124">
        <v>92.57</v>
      </c>
      <c r="BA11" s="124">
        <v>79.37</v>
      </c>
      <c r="BB11" s="124">
        <v>91.39</v>
      </c>
      <c r="BC11" s="124">
        <v>85.14</v>
      </c>
      <c r="BD11" s="124">
        <v>86.85</v>
      </c>
      <c r="BE11" s="124" t="s">
        <v>246</v>
      </c>
      <c r="BF11" s="124">
        <v>91</v>
      </c>
      <c r="BG11" s="110"/>
      <c r="BH11" s="124">
        <v>90.98</v>
      </c>
      <c r="BI11" s="124">
        <v>84.03</v>
      </c>
      <c r="BJ11" s="124">
        <v>75.88</v>
      </c>
      <c r="BK11" s="124">
        <v>65.92</v>
      </c>
      <c r="BL11" s="110"/>
      <c r="BM11" s="124">
        <v>88.44</v>
      </c>
      <c r="BN11" s="124">
        <v>81.05</v>
      </c>
      <c r="BO11" s="124">
        <v>68.94</v>
      </c>
      <c r="BP11" s="124">
        <v>91.63</v>
      </c>
      <c r="BQ11" s="124">
        <v>70.739999999999995</v>
      </c>
      <c r="BR11" s="110"/>
      <c r="BS11" s="124">
        <v>93.27</v>
      </c>
      <c r="BT11" s="124">
        <v>88.22</v>
      </c>
      <c r="BU11" s="124">
        <v>84</v>
      </c>
      <c r="BV11" s="124">
        <v>70.72</v>
      </c>
    </row>
    <row r="12" spans="1:74">
      <c r="A12" s="126" t="s">
        <v>247</v>
      </c>
      <c r="B12" s="127">
        <v>58</v>
      </c>
      <c r="C12" s="128" t="s">
        <v>17</v>
      </c>
      <c r="D12" s="129">
        <v>84.08</v>
      </c>
      <c r="E12" s="129">
        <v>79.319999999999993</v>
      </c>
      <c r="F12" s="129">
        <v>91.62</v>
      </c>
      <c r="G12" s="129">
        <v>82.28</v>
      </c>
      <c r="H12" s="130">
        <v>4.7600000000000051</v>
      </c>
      <c r="I12" s="130">
        <v>-7.5400000000000063</v>
      </c>
      <c r="J12" s="130">
        <v>1.7999999999999972</v>
      </c>
      <c r="K12" s="110"/>
      <c r="L12" s="129">
        <v>87.33</v>
      </c>
      <c r="M12" s="129">
        <v>82.4</v>
      </c>
      <c r="N12" s="129">
        <v>83.7</v>
      </c>
      <c r="O12" s="129">
        <v>87.89</v>
      </c>
      <c r="P12" s="129">
        <v>93.55</v>
      </c>
      <c r="Q12" s="110"/>
      <c r="R12" s="129">
        <v>85.32</v>
      </c>
      <c r="S12" s="129">
        <v>83.78</v>
      </c>
      <c r="T12" s="110"/>
      <c r="U12" s="129">
        <v>75</v>
      </c>
      <c r="V12" s="129">
        <v>86.11</v>
      </c>
      <c r="W12" s="129">
        <v>84.66</v>
      </c>
      <c r="X12" s="129">
        <v>82.38</v>
      </c>
      <c r="Y12" s="129">
        <v>89.58</v>
      </c>
      <c r="Z12" s="110"/>
      <c r="AA12" s="129">
        <v>98.65</v>
      </c>
      <c r="AB12" s="129">
        <v>94.24</v>
      </c>
      <c r="AC12" s="129">
        <v>89.27</v>
      </c>
      <c r="AD12" s="129">
        <v>85.34</v>
      </c>
      <c r="AE12" s="129">
        <v>81.61</v>
      </c>
      <c r="AF12" s="129">
        <v>80</v>
      </c>
      <c r="AG12" s="129">
        <v>81.459999999999994</v>
      </c>
      <c r="AH12" s="129">
        <v>82.78</v>
      </c>
      <c r="AI12" s="129">
        <v>82.83</v>
      </c>
      <c r="AJ12" s="129">
        <v>76.19</v>
      </c>
      <c r="AK12" s="110"/>
      <c r="AL12" s="129">
        <v>90.59</v>
      </c>
      <c r="AM12" s="129">
        <v>84.53</v>
      </c>
      <c r="AN12" s="129">
        <v>80.75</v>
      </c>
      <c r="AO12" s="129">
        <v>79.08</v>
      </c>
      <c r="AP12" s="129">
        <v>86.71</v>
      </c>
      <c r="AQ12" s="129">
        <v>89.28</v>
      </c>
      <c r="AR12" s="110"/>
      <c r="AS12" s="129">
        <v>75</v>
      </c>
      <c r="AT12" s="129">
        <v>100</v>
      </c>
      <c r="AU12" s="129">
        <v>75.61</v>
      </c>
      <c r="AV12" s="129">
        <v>86.36</v>
      </c>
      <c r="AW12" s="129">
        <v>83.41</v>
      </c>
      <c r="AX12" s="129">
        <v>91.58</v>
      </c>
      <c r="AY12" s="129">
        <v>100</v>
      </c>
      <c r="AZ12" s="129">
        <v>91.12</v>
      </c>
      <c r="BA12" s="129">
        <v>81.37</v>
      </c>
      <c r="BB12" s="129">
        <v>91.53</v>
      </c>
      <c r="BC12" s="129">
        <v>83.23</v>
      </c>
      <c r="BD12" s="129">
        <v>87.67</v>
      </c>
      <c r="BE12" s="129" t="s">
        <v>246</v>
      </c>
      <c r="BF12" s="129">
        <v>100</v>
      </c>
      <c r="BG12" s="110"/>
      <c r="BH12" s="129">
        <v>89.51</v>
      </c>
      <c r="BI12" s="129">
        <v>82.26</v>
      </c>
      <c r="BJ12" s="129">
        <v>70.599999999999994</v>
      </c>
      <c r="BK12" s="129">
        <v>68.099999999999994</v>
      </c>
      <c r="BL12" s="110"/>
      <c r="BM12" s="129">
        <v>87.3</v>
      </c>
      <c r="BN12" s="129">
        <v>77.290000000000006</v>
      </c>
      <c r="BO12" s="129">
        <v>65.349999999999994</v>
      </c>
      <c r="BP12" s="129">
        <v>91.62</v>
      </c>
      <c r="BQ12" s="129">
        <v>61.47</v>
      </c>
      <c r="BR12" s="110"/>
      <c r="BS12" s="129">
        <v>93.54</v>
      </c>
      <c r="BT12" s="129">
        <v>87.99</v>
      </c>
      <c r="BU12" s="129">
        <v>81.739999999999995</v>
      </c>
      <c r="BV12" s="129">
        <v>63.29</v>
      </c>
    </row>
    <row r="13" spans="1:74">
      <c r="A13" s="160" t="s">
        <v>18</v>
      </c>
      <c r="B13" s="161"/>
      <c r="C13" s="16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1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10"/>
      <c r="R13" s="2">
        <v>83.48</v>
      </c>
      <c r="S13" s="2">
        <v>83.12</v>
      </c>
      <c r="T13" s="11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1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1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1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246</v>
      </c>
      <c r="BF13" s="2">
        <v>93.1</v>
      </c>
      <c r="BG13" s="11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1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1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19"/>
      <c r="B14" s="119"/>
      <c r="C14" s="120" t="s">
        <v>248</v>
      </c>
      <c r="D14" s="131">
        <v>78.88</v>
      </c>
      <c r="E14" s="131">
        <v>73.930000000000007</v>
      </c>
      <c r="F14" s="131"/>
      <c r="G14" s="131"/>
      <c r="H14" s="131"/>
      <c r="I14" s="131"/>
      <c r="J14" s="131"/>
      <c r="K14" s="132"/>
      <c r="L14" s="131">
        <v>82.41</v>
      </c>
      <c r="M14" s="131">
        <v>77.44</v>
      </c>
      <c r="N14" s="131">
        <v>78.069999999999993</v>
      </c>
      <c r="O14" s="131">
        <v>82.57</v>
      </c>
      <c r="P14" s="131">
        <v>86.36</v>
      </c>
      <c r="Q14" s="132"/>
      <c r="R14" s="131">
        <v>79.62</v>
      </c>
      <c r="S14" s="131">
        <v>78.790000000000006</v>
      </c>
      <c r="T14" s="132"/>
      <c r="U14" s="131">
        <v>68.069999999999993</v>
      </c>
      <c r="V14" s="131">
        <v>79.69</v>
      </c>
      <c r="W14" s="131">
        <v>79.13</v>
      </c>
      <c r="X14" s="131">
        <v>78.17</v>
      </c>
      <c r="Y14" s="131">
        <v>82.9</v>
      </c>
      <c r="Z14" s="132"/>
      <c r="AA14" s="131">
        <v>91.91</v>
      </c>
      <c r="AB14" s="131">
        <v>88.05</v>
      </c>
      <c r="AC14" s="131">
        <v>86.33</v>
      </c>
      <c r="AD14" s="131">
        <v>77.510000000000005</v>
      </c>
      <c r="AE14" s="131">
        <v>73.2</v>
      </c>
      <c r="AF14" s="131">
        <v>71.02</v>
      </c>
      <c r="AG14" s="131">
        <v>74.760000000000005</v>
      </c>
      <c r="AH14" s="131">
        <v>80.2</v>
      </c>
      <c r="AI14" s="131">
        <v>80.39</v>
      </c>
      <c r="AJ14" s="131" t="s">
        <v>246</v>
      </c>
      <c r="AK14" s="132"/>
      <c r="AL14" s="131">
        <v>83.99</v>
      </c>
      <c r="AM14" s="131">
        <v>78.19</v>
      </c>
      <c r="AN14" s="131">
        <v>76.42</v>
      </c>
      <c r="AO14" s="131">
        <v>76.36</v>
      </c>
      <c r="AP14" s="131">
        <v>80.75</v>
      </c>
      <c r="AQ14" s="131">
        <v>84.02</v>
      </c>
      <c r="AR14" s="132"/>
      <c r="AS14" s="131">
        <v>71.709999999999994</v>
      </c>
      <c r="AT14" s="131">
        <v>94.66</v>
      </c>
      <c r="AU14" s="131">
        <v>78.58</v>
      </c>
      <c r="AV14" s="131">
        <v>74.38</v>
      </c>
      <c r="AW14" s="131">
        <v>80.41</v>
      </c>
      <c r="AX14" s="131">
        <v>84.16</v>
      </c>
      <c r="AY14" s="131" t="s">
        <v>246</v>
      </c>
      <c r="AZ14" s="131">
        <v>87.49</v>
      </c>
      <c r="BA14" s="131">
        <v>80.099999999999994</v>
      </c>
      <c r="BB14" s="131">
        <v>77.22</v>
      </c>
      <c r="BC14" s="131">
        <v>75.45</v>
      </c>
      <c r="BD14" s="131">
        <v>82.2</v>
      </c>
      <c r="BE14" s="131" t="s">
        <v>246</v>
      </c>
      <c r="BF14" s="131">
        <v>91.82</v>
      </c>
      <c r="BG14" s="132"/>
      <c r="BH14" s="131">
        <v>84.86</v>
      </c>
      <c r="BI14" s="131">
        <v>74.510000000000005</v>
      </c>
      <c r="BJ14" s="131">
        <v>66.599999999999994</v>
      </c>
      <c r="BK14" s="131">
        <v>55.18</v>
      </c>
      <c r="BL14" s="132"/>
      <c r="BM14" s="131">
        <v>80.739999999999995</v>
      </c>
      <c r="BN14" s="131">
        <v>74.11</v>
      </c>
      <c r="BO14" s="131">
        <v>60.51</v>
      </c>
      <c r="BP14" s="131">
        <v>85.59</v>
      </c>
      <c r="BQ14" s="131">
        <v>59.82</v>
      </c>
      <c r="BR14" s="132"/>
      <c r="BS14" s="131" t="s">
        <v>246</v>
      </c>
      <c r="BT14" s="131" t="s">
        <v>246</v>
      </c>
      <c r="BU14" s="131" t="s">
        <v>246</v>
      </c>
      <c r="BV14" s="131" t="s">
        <v>246</v>
      </c>
    </row>
    <row r="16" spans="1:74">
      <c r="A16" s="113"/>
      <c r="B16" s="113"/>
      <c r="C16" s="114" t="s">
        <v>249</v>
      </c>
      <c r="D16" s="115"/>
      <c r="E16" s="115"/>
      <c r="F16" s="115"/>
      <c r="G16" s="115"/>
      <c r="H16" s="115"/>
      <c r="I16" s="115"/>
      <c r="J16" s="115"/>
      <c r="K16" s="110"/>
      <c r="L16" s="178">
        <f>+SUM(L3:P3)</f>
        <v>4698</v>
      </c>
      <c r="M16" s="179"/>
      <c r="N16" s="179"/>
      <c r="O16" s="179"/>
      <c r="P16" s="180"/>
      <c r="Q16" s="110"/>
      <c r="R16" s="178">
        <f>+SUM(R3:S3)</f>
        <v>4667</v>
      </c>
      <c r="S16" s="180"/>
      <c r="T16" s="110"/>
      <c r="U16" s="178">
        <f>+SUM(U3:Y3)</f>
        <v>4690</v>
      </c>
      <c r="V16" s="179"/>
      <c r="W16" s="179"/>
      <c r="X16" s="179"/>
      <c r="Y16" s="180"/>
      <c r="Z16" s="110"/>
      <c r="AA16" s="178">
        <f>+SUM(AA3:AJ3)</f>
        <v>4649</v>
      </c>
      <c r="AB16" s="179"/>
      <c r="AC16" s="179"/>
      <c r="AD16" s="179"/>
      <c r="AE16" s="179"/>
      <c r="AF16" s="179"/>
      <c r="AG16" s="179"/>
      <c r="AH16" s="179"/>
      <c r="AI16" s="179"/>
      <c r="AJ16" s="180"/>
      <c r="AK16" s="110"/>
      <c r="AL16" s="178">
        <f>+SUM(AL3:AQ3)</f>
        <v>4670</v>
      </c>
      <c r="AM16" s="179"/>
      <c r="AN16" s="179"/>
      <c r="AO16" s="179"/>
      <c r="AP16" s="179"/>
      <c r="AQ16" s="180"/>
      <c r="AR16" s="110"/>
      <c r="AS16" s="178">
        <f>+SUM(AS3:BF3)</f>
        <v>4886</v>
      </c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80"/>
      <c r="BG16" s="110"/>
      <c r="BH16" s="178">
        <f>+SUM(BH3:BK3)</f>
        <v>4149</v>
      </c>
      <c r="BI16" s="179"/>
      <c r="BJ16" s="179"/>
      <c r="BK16" s="180"/>
      <c r="BL16" s="110"/>
      <c r="BM16" s="178">
        <f>+SUM(BM3:BQ3)</f>
        <v>3932</v>
      </c>
      <c r="BN16" s="179"/>
      <c r="BO16" s="179"/>
      <c r="BP16" s="179"/>
      <c r="BQ16" s="180"/>
      <c r="BR16" s="110"/>
      <c r="BS16" s="178">
        <f>+SUM(BS3:BV3)</f>
        <v>1839</v>
      </c>
      <c r="BT16" s="179"/>
      <c r="BU16" s="179"/>
      <c r="BV16" s="180"/>
    </row>
    <row r="17" spans="1:74">
      <c r="A17" s="116"/>
      <c r="B17" s="116"/>
      <c r="C17" s="117" t="s">
        <v>250</v>
      </c>
      <c r="D17" s="118"/>
      <c r="E17" s="118"/>
      <c r="F17" s="118"/>
      <c r="G17" s="118"/>
      <c r="H17" s="118"/>
      <c r="I17" s="118"/>
      <c r="J17" s="118"/>
      <c r="K17" s="110"/>
      <c r="L17" s="133">
        <f>+L3/$L$16</f>
        <v>6.2154108131119629E-2</v>
      </c>
      <c r="M17" s="133">
        <f t="shared" ref="M17:P17" si="0">+M3/$L$16</f>
        <v>0.42486164325244785</v>
      </c>
      <c r="N17" s="133">
        <f t="shared" si="0"/>
        <v>0.30353341847594723</v>
      </c>
      <c r="O17" s="133">
        <f t="shared" si="0"/>
        <v>0.15666240953597274</v>
      </c>
      <c r="P17" s="133">
        <f t="shared" si="0"/>
        <v>5.2788420604512561E-2</v>
      </c>
      <c r="Q17" s="110"/>
      <c r="R17" s="133">
        <f>+R3/$R$16</f>
        <v>0.53053353331904862</v>
      </c>
      <c r="S17" s="133">
        <f>+S3/$R$16</f>
        <v>0.46946646668095138</v>
      </c>
      <c r="T17" s="110"/>
      <c r="U17" s="133">
        <f>+U3/$U$16</f>
        <v>2.5586353944562902E-3</v>
      </c>
      <c r="V17" s="133">
        <f t="shared" ref="V17:Y17" si="1">+V3/$U$16</f>
        <v>7.6759061833688705E-2</v>
      </c>
      <c r="W17" s="133">
        <f t="shared" si="1"/>
        <v>0.48528784648187634</v>
      </c>
      <c r="X17" s="133">
        <f t="shared" si="1"/>
        <v>0.32878464818763325</v>
      </c>
      <c r="Y17" s="133">
        <f t="shared" si="1"/>
        <v>0.10660980810234541</v>
      </c>
      <c r="Z17" s="110"/>
      <c r="AA17" s="133">
        <f>+AA3/$AA$16</f>
        <v>1.5917401591740158E-2</v>
      </c>
      <c r="AB17" s="133">
        <f t="shared" ref="AB17:AJ17" si="2">+AB3/$AA$16</f>
        <v>2.98989029898903E-2</v>
      </c>
      <c r="AC17" s="133">
        <f t="shared" si="2"/>
        <v>0.2105829210582921</v>
      </c>
      <c r="AD17" s="133">
        <f t="shared" si="2"/>
        <v>0.17078941707894171</v>
      </c>
      <c r="AE17" s="133">
        <f t="shared" si="2"/>
        <v>8.3028608302860823E-2</v>
      </c>
      <c r="AF17" s="133">
        <f t="shared" si="2"/>
        <v>9.1632609163260922E-2</v>
      </c>
      <c r="AG17" s="133">
        <f t="shared" si="2"/>
        <v>0.11529361152936116</v>
      </c>
      <c r="AH17" s="133">
        <f t="shared" si="2"/>
        <v>0.18864271886427189</v>
      </c>
      <c r="AI17" s="133">
        <f t="shared" si="2"/>
        <v>8.5179608517960859E-2</v>
      </c>
      <c r="AJ17" s="133">
        <f t="shared" si="2"/>
        <v>9.0342009034200896E-3</v>
      </c>
      <c r="AK17" s="110"/>
      <c r="AL17" s="133">
        <f>+AL3/$AL$16</f>
        <v>9.1006423982869372E-2</v>
      </c>
      <c r="AM17" s="133">
        <f t="shared" ref="AM17:AQ17" si="3">+AM3/$AL$16</f>
        <v>0.24089935760171305</v>
      </c>
      <c r="AN17" s="133">
        <f t="shared" si="3"/>
        <v>0.25653104925053533</v>
      </c>
      <c r="AO17" s="133">
        <f t="shared" si="3"/>
        <v>8.8222698072805139E-2</v>
      </c>
      <c r="AP17" s="133">
        <f t="shared" si="3"/>
        <v>0.16937901498929336</v>
      </c>
      <c r="AQ17" s="133">
        <f t="shared" si="3"/>
        <v>0.15396145610278372</v>
      </c>
      <c r="AR17" s="110"/>
      <c r="AS17" s="133">
        <f>+AS3/$AS$16</f>
        <v>1.637331150225133E-3</v>
      </c>
      <c r="AT17" s="133">
        <f t="shared" ref="AT17:BF17" si="4">+AT3/$AS$16</f>
        <v>2.8653295128939827E-3</v>
      </c>
      <c r="AU17" s="133">
        <f t="shared" si="4"/>
        <v>8.3913221449038074E-3</v>
      </c>
      <c r="AV17" s="133">
        <f t="shared" si="4"/>
        <v>4.0728612361850186E-2</v>
      </c>
      <c r="AW17" s="133">
        <f t="shared" si="4"/>
        <v>0.53458862054850598</v>
      </c>
      <c r="AX17" s="133">
        <f t="shared" si="4"/>
        <v>1.9443307408923454E-2</v>
      </c>
      <c r="AY17" s="133">
        <f t="shared" si="4"/>
        <v>4.2979942693409743E-3</v>
      </c>
      <c r="AZ17" s="133">
        <f t="shared" si="4"/>
        <v>3.4793286942284077E-2</v>
      </c>
      <c r="BA17" s="133">
        <f t="shared" si="4"/>
        <v>2.0875972165370446E-2</v>
      </c>
      <c r="BB17" s="133">
        <f t="shared" si="4"/>
        <v>1.2279983626688497E-2</v>
      </c>
      <c r="BC17" s="133">
        <f t="shared" si="4"/>
        <v>0.30249693000409333</v>
      </c>
      <c r="BD17" s="133">
        <f t="shared" si="4"/>
        <v>1.4940646745804339E-2</v>
      </c>
      <c r="BE17" s="133">
        <f t="shared" si="4"/>
        <v>6.1399918133442485E-4</v>
      </c>
      <c r="BF17" s="133">
        <f t="shared" si="4"/>
        <v>2.0466639377814161E-3</v>
      </c>
      <c r="BG17" s="110"/>
      <c r="BH17" s="133">
        <f>+BH3/$BH$16</f>
        <v>0.58905760424198605</v>
      </c>
      <c r="BI17" s="133">
        <f t="shared" ref="BI17:BJ17" si="5">+BI3/$BH$16</f>
        <v>0.26223186309954205</v>
      </c>
      <c r="BJ17" s="133">
        <f t="shared" si="5"/>
        <v>0.12075198843094721</v>
      </c>
      <c r="BK17" s="133">
        <f>+BK3/$BH$16</f>
        <v>2.7958544227524706E-2</v>
      </c>
      <c r="BL17" s="110"/>
      <c r="BM17" s="133">
        <f>+BM3/$BM$16</f>
        <v>0.17293997965412003</v>
      </c>
      <c r="BN17" s="133">
        <f t="shared" ref="BN17:BP17" si="6">+BN3/$BM$16</f>
        <v>0.23906408952187183</v>
      </c>
      <c r="BO17" s="133">
        <f t="shared" si="6"/>
        <v>2.5686673448626653E-2</v>
      </c>
      <c r="BP17" s="133">
        <f t="shared" si="6"/>
        <v>0.50686673448626651</v>
      </c>
      <c r="BQ17" s="133">
        <f>+BQ3/$BM$16</f>
        <v>5.5442522889114956E-2</v>
      </c>
      <c r="BR17" s="110"/>
      <c r="BS17" s="133">
        <f>+BS3/$BS$16</f>
        <v>0.4290375203915171</v>
      </c>
      <c r="BT17" s="133">
        <f t="shared" ref="BT17:BV17" si="7">+BT3/$BS$16</f>
        <v>0.15388798259923872</v>
      </c>
      <c r="BU17" s="133">
        <f t="shared" si="7"/>
        <v>0.24469820554649266</v>
      </c>
      <c r="BV17" s="133">
        <f t="shared" si="7"/>
        <v>0.17237629146275149</v>
      </c>
    </row>
    <row r="18" spans="1:74">
      <c r="A18" s="116"/>
      <c r="B18" s="116"/>
      <c r="C18" s="117" t="s">
        <v>251</v>
      </c>
      <c r="D18" s="118"/>
      <c r="E18" s="118"/>
      <c r="F18" s="118"/>
      <c r="G18" s="118"/>
      <c r="H18" s="118"/>
      <c r="I18" s="118"/>
      <c r="J18" s="118"/>
      <c r="K18" s="110"/>
      <c r="L18" s="118"/>
      <c r="M18" s="118"/>
      <c r="N18" s="118"/>
      <c r="O18" s="118"/>
      <c r="P18" s="118"/>
      <c r="Q18" s="110"/>
      <c r="R18" s="118"/>
      <c r="S18" s="118"/>
      <c r="T18" s="110"/>
      <c r="U18" s="118"/>
      <c r="V18" s="118"/>
      <c r="W18" s="118"/>
      <c r="X18" s="118"/>
      <c r="Y18" s="118"/>
      <c r="Z18" s="110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0"/>
      <c r="AL18" s="118"/>
      <c r="AM18" s="118"/>
      <c r="AN18" s="118"/>
      <c r="AO18" s="118"/>
      <c r="AP18" s="118"/>
      <c r="AQ18" s="118"/>
      <c r="AR18" s="110"/>
      <c r="AS18" s="134">
        <f>+AS3/AS4</f>
        <v>0.88888888888888884</v>
      </c>
      <c r="AT18" s="134">
        <f t="shared" ref="AT18:BF18" si="8">+AT3/AT4</f>
        <v>0.63636363636363635</v>
      </c>
      <c r="AU18" s="134">
        <f t="shared" si="8"/>
        <v>0.95348837209302328</v>
      </c>
      <c r="AV18" s="134">
        <f t="shared" si="8"/>
        <v>0.908675799086758</v>
      </c>
      <c r="AW18" s="134">
        <f t="shared" si="8"/>
        <v>0.93620071684587813</v>
      </c>
      <c r="AX18" s="134">
        <f t="shared" si="8"/>
        <v>0.97938144329896903</v>
      </c>
      <c r="AY18" s="134">
        <f t="shared" si="8"/>
        <v>1</v>
      </c>
      <c r="AZ18" s="134">
        <f t="shared" si="8"/>
        <v>0.94972067039106145</v>
      </c>
      <c r="BA18" s="134">
        <f t="shared" si="8"/>
        <v>0.93577981651376152</v>
      </c>
      <c r="BB18" s="134">
        <f t="shared" si="8"/>
        <v>0.967741935483871</v>
      </c>
      <c r="BC18" s="134">
        <f t="shared" si="8"/>
        <v>0.93131695022054195</v>
      </c>
      <c r="BD18" s="134">
        <f t="shared" si="8"/>
        <v>0.94805194805194803</v>
      </c>
      <c r="BE18" s="134">
        <f t="shared" si="8"/>
        <v>0.75</v>
      </c>
      <c r="BF18" s="134">
        <f t="shared" si="8"/>
        <v>0.83333333333333337</v>
      </c>
      <c r="BG18" s="110"/>
      <c r="BH18" s="118"/>
      <c r="BI18" s="118"/>
      <c r="BJ18" s="118"/>
      <c r="BK18" s="118"/>
      <c r="BL18" s="110"/>
      <c r="BM18" s="118"/>
      <c r="BN18" s="118"/>
      <c r="BO18" s="118"/>
      <c r="BP18" s="118"/>
      <c r="BQ18" s="118"/>
      <c r="BR18" s="110"/>
      <c r="BS18" s="118"/>
      <c r="BT18" s="118"/>
      <c r="BU18" s="118"/>
      <c r="BV18" s="118"/>
    </row>
    <row r="19" spans="1:74">
      <c r="A19" s="119"/>
      <c r="B19" s="119"/>
      <c r="C19" s="120" t="s">
        <v>252</v>
      </c>
      <c r="D19" s="121"/>
      <c r="E19" s="121"/>
      <c r="F19" s="121"/>
      <c r="G19" s="121"/>
      <c r="H19" s="121"/>
      <c r="I19" s="121"/>
      <c r="J19" s="121"/>
      <c r="K19" s="110"/>
      <c r="L19" s="121"/>
      <c r="M19" s="121"/>
      <c r="N19" s="121"/>
      <c r="O19" s="121"/>
      <c r="P19" s="121"/>
      <c r="Q19" s="110"/>
      <c r="R19" s="121"/>
      <c r="S19" s="121"/>
      <c r="T19" s="110"/>
      <c r="U19" s="121"/>
      <c r="V19" s="121"/>
      <c r="W19" s="121"/>
      <c r="X19" s="121"/>
      <c r="Y19" s="121"/>
      <c r="Z19" s="110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10"/>
      <c r="AL19" s="121"/>
      <c r="AM19" s="121"/>
      <c r="AN19" s="121"/>
      <c r="AO19" s="121"/>
      <c r="AP19" s="121"/>
      <c r="AQ19" s="121"/>
      <c r="AR19" s="110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10"/>
      <c r="BH19" s="121"/>
      <c r="BI19" s="121"/>
      <c r="BJ19" s="121"/>
      <c r="BK19" s="121"/>
      <c r="BL19" s="110"/>
      <c r="BM19" s="181">
        <f>+SUM(BM5:BQ5)</f>
        <v>4577</v>
      </c>
      <c r="BN19" s="182"/>
      <c r="BO19" s="182"/>
      <c r="BP19" s="182"/>
      <c r="BQ19" s="183"/>
      <c r="BR19" s="110"/>
      <c r="BS19" s="121"/>
      <c r="BT19" s="121"/>
      <c r="BU19" s="121"/>
      <c r="BV19" s="121"/>
    </row>
    <row r="20" spans="1:74">
      <c r="A20" s="119"/>
      <c r="B20" s="119"/>
      <c r="C20" s="120" t="s">
        <v>253</v>
      </c>
      <c r="D20" s="121"/>
      <c r="E20" s="121"/>
      <c r="F20" s="121"/>
      <c r="G20" s="121"/>
      <c r="H20" s="121"/>
      <c r="I20" s="121"/>
      <c r="J20" s="121"/>
      <c r="K20" s="110"/>
      <c r="L20" s="121"/>
      <c r="M20" s="121"/>
      <c r="N20" s="121"/>
      <c r="O20" s="121"/>
      <c r="P20" s="121"/>
      <c r="Q20" s="110"/>
      <c r="R20" s="121"/>
      <c r="S20" s="121"/>
      <c r="T20" s="110"/>
      <c r="U20" s="121"/>
      <c r="V20" s="121"/>
      <c r="W20" s="121"/>
      <c r="X20" s="121"/>
      <c r="Y20" s="121"/>
      <c r="Z20" s="110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10"/>
      <c r="AL20" s="121"/>
      <c r="AM20" s="121"/>
      <c r="AN20" s="121"/>
      <c r="AO20" s="121"/>
      <c r="AP20" s="121"/>
      <c r="AQ20" s="121"/>
      <c r="AR20" s="110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10"/>
      <c r="BH20" s="121"/>
      <c r="BI20" s="121"/>
      <c r="BJ20" s="121"/>
      <c r="BK20" s="121"/>
      <c r="BL20" s="110"/>
      <c r="BM20" s="135">
        <f>+BM5/$BM$19</f>
        <v>0.16692156434345642</v>
      </c>
      <c r="BN20" s="135">
        <f t="shared" ref="BN20:BQ20" si="9">+BN5/$BM$19</f>
        <v>0.26982739785885951</v>
      </c>
      <c r="BO20" s="135">
        <f t="shared" si="9"/>
        <v>2.8839851431068386E-2</v>
      </c>
      <c r="BP20" s="135">
        <f t="shared" si="9"/>
        <v>0.46952152064671182</v>
      </c>
      <c r="BQ20" s="135">
        <f t="shared" si="9"/>
        <v>6.4889665719903872E-2</v>
      </c>
      <c r="BR20" s="110"/>
      <c r="BS20" s="121"/>
      <c r="BT20" s="121"/>
      <c r="BU20" s="121"/>
      <c r="BV20" s="121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148" priority="43" stopIfTrue="1" operator="lessThanOrEqual">
      <formula>44.49</formula>
    </cfRule>
    <cfRule type="cellIs" dxfId="147" priority="44" stopIfTrue="1" operator="greaterThanOrEqual">
      <formula>85.5</formula>
    </cfRule>
    <cfRule type="cellIs" dxfId="146" priority="45" stopIfTrue="1" operator="between">
      <formula>44.5</formula>
      <formula>60.49</formula>
    </cfRule>
  </conditionalFormatting>
  <conditionalFormatting sqref="D7:D11">
    <cfRule type="cellIs" dxfId="145" priority="40" stopIfTrue="1" operator="lessThanOrEqual">
      <formula>44.49</formula>
    </cfRule>
    <cfRule type="cellIs" dxfId="144" priority="41" stopIfTrue="1" operator="greaterThanOrEqual">
      <formula>85.5</formula>
    </cfRule>
    <cfRule type="cellIs" dxfId="143" priority="42" stopIfTrue="1" operator="between">
      <formula>44.5</formula>
      <formula>60.49</formula>
    </cfRule>
  </conditionalFormatting>
  <conditionalFormatting sqref="E7:E11">
    <cfRule type="cellIs" dxfId="142" priority="37" stopIfTrue="1" operator="lessThanOrEqual">
      <formula>44.49</formula>
    </cfRule>
    <cfRule type="cellIs" dxfId="141" priority="38" stopIfTrue="1" operator="greaterThanOrEqual">
      <formula>85.5</formula>
    </cfRule>
    <cfRule type="cellIs" dxfId="140" priority="39" stopIfTrue="1" operator="between">
      <formula>44.5</formula>
      <formula>60.49</formula>
    </cfRule>
  </conditionalFormatting>
  <conditionalFormatting sqref="F7:F11">
    <cfRule type="cellIs" dxfId="139" priority="34" stopIfTrue="1" operator="lessThanOrEqual">
      <formula>44.49</formula>
    </cfRule>
    <cfRule type="cellIs" dxfId="138" priority="35" stopIfTrue="1" operator="greaterThanOrEqual">
      <formula>85.5</formula>
    </cfRule>
    <cfRule type="cellIs" dxfId="137" priority="36" stopIfTrue="1" operator="between">
      <formula>44.5</formula>
      <formula>60.49</formula>
    </cfRule>
  </conditionalFormatting>
  <conditionalFormatting sqref="G7:G11">
    <cfRule type="cellIs" dxfId="136" priority="31" stopIfTrue="1" operator="lessThanOrEqual">
      <formula>44.49</formula>
    </cfRule>
    <cfRule type="cellIs" dxfId="135" priority="32" stopIfTrue="1" operator="greaterThanOrEqual">
      <formula>85.5</formula>
    </cfRule>
    <cfRule type="cellIs" dxfId="134" priority="33" stopIfTrue="1" operator="between">
      <formula>44.5</formula>
      <formula>60.49</formula>
    </cfRule>
  </conditionalFormatting>
  <conditionalFormatting sqref="R7:R11">
    <cfRule type="cellIs" dxfId="133" priority="28" stopIfTrue="1" operator="lessThanOrEqual">
      <formula>44.49</formula>
    </cfRule>
    <cfRule type="cellIs" dxfId="132" priority="29" stopIfTrue="1" operator="greaterThanOrEqual">
      <formula>85.5</formula>
    </cfRule>
    <cfRule type="cellIs" dxfId="131" priority="30" stopIfTrue="1" operator="between">
      <formula>44.5</formula>
      <formula>60.49</formula>
    </cfRule>
  </conditionalFormatting>
  <conditionalFormatting sqref="S7:S11">
    <cfRule type="cellIs" dxfId="130" priority="25" stopIfTrue="1" operator="lessThanOrEqual">
      <formula>44.49</formula>
    </cfRule>
    <cfRule type="cellIs" dxfId="129" priority="26" stopIfTrue="1" operator="greaterThanOrEqual">
      <formula>85.5</formula>
    </cfRule>
    <cfRule type="cellIs" dxfId="128" priority="27" stopIfTrue="1" operator="between">
      <formula>44.5</formula>
      <formula>60.49</formula>
    </cfRule>
  </conditionalFormatting>
  <conditionalFormatting sqref="U7:U11">
    <cfRule type="cellIs" dxfId="127" priority="22" stopIfTrue="1" operator="lessThanOrEqual">
      <formula>44.49</formula>
    </cfRule>
    <cfRule type="cellIs" dxfId="126" priority="23" stopIfTrue="1" operator="greaterThanOrEqual">
      <formula>85.5</formula>
    </cfRule>
    <cfRule type="cellIs" dxfId="125" priority="24" stopIfTrue="1" operator="between">
      <formula>44.5</formula>
      <formula>60.49</formula>
    </cfRule>
  </conditionalFormatting>
  <conditionalFormatting sqref="V7:Y11">
    <cfRule type="cellIs" dxfId="124" priority="19" stopIfTrue="1" operator="lessThanOrEqual">
      <formula>44.49</formula>
    </cfRule>
    <cfRule type="cellIs" dxfId="123" priority="20" stopIfTrue="1" operator="greaterThanOrEqual">
      <formula>85.5</formula>
    </cfRule>
    <cfRule type="cellIs" dxfId="122" priority="21" stopIfTrue="1" operator="between">
      <formula>44.5</formula>
      <formula>60.49</formula>
    </cfRule>
  </conditionalFormatting>
  <conditionalFormatting sqref="AA7:AJ11">
    <cfRule type="cellIs" dxfId="121" priority="16" stopIfTrue="1" operator="lessThanOrEqual">
      <formula>44.49</formula>
    </cfRule>
    <cfRule type="cellIs" dxfId="120" priority="17" stopIfTrue="1" operator="greaterThanOrEqual">
      <formula>85.5</formula>
    </cfRule>
    <cfRule type="cellIs" dxfId="119" priority="18" stopIfTrue="1" operator="between">
      <formula>44.5</formula>
      <formula>60.49</formula>
    </cfRule>
  </conditionalFormatting>
  <conditionalFormatting sqref="AL7:AQ11">
    <cfRule type="cellIs" dxfId="118" priority="13" stopIfTrue="1" operator="lessThanOrEqual">
      <formula>44.49</formula>
    </cfRule>
    <cfRule type="cellIs" dxfId="117" priority="14" stopIfTrue="1" operator="greaterThanOrEqual">
      <formula>85.5</formula>
    </cfRule>
    <cfRule type="cellIs" dxfId="116" priority="15" stopIfTrue="1" operator="between">
      <formula>44.5</formula>
      <formula>60.49</formula>
    </cfRule>
  </conditionalFormatting>
  <conditionalFormatting sqref="AS7:BD11 BF7:BF11">
    <cfRule type="cellIs" dxfId="115" priority="10" stopIfTrue="1" operator="lessThanOrEqual">
      <formula>44.49</formula>
    </cfRule>
    <cfRule type="cellIs" dxfId="114" priority="11" stopIfTrue="1" operator="greaterThanOrEqual">
      <formula>85.5</formula>
    </cfRule>
    <cfRule type="cellIs" dxfId="113" priority="12" stopIfTrue="1" operator="between">
      <formula>44.5</formula>
      <formula>60.49</formula>
    </cfRule>
  </conditionalFormatting>
  <conditionalFormatting sqref="BH7:BK11">
    <cfRule type="cellIs" dxfId="112" priority="7" stopIfTrue="1" operator="lessThanOrEqual">
      <formula>44.49</formula>
    </cfRule>
    <cfRule type="cellIs" dxfId="111" priority="8" stopIfTrue="1" operator="greaterThanOrEqual">
      <formula>85.5</formula>
    </cfRule>
    <cfRule type="cellIs" dxfId="110" priority="9" stopIfTrue="1" operator="between">
      <formula>44.5</formula>
      <formula>60.49</formula>
    </cfRule>
  </conditionalFormatting>
  <conditionalFormatting sqref="BM7:BQ11">
    <cfRule type="cellIs" dxfId="109" priority="4" stopIfTrue="1" operator="lessThanOrEqual">
      <formula>44.49</formula>
    </cfRule>
    <cfRule type="cellIs" dxfId="108" priority="5" stopIfTrue="1" operator="greaterThanOrEqual">
      <formula>85.5</formula>
    </cfRule>
    <cfRule type="cellIs" dxfId="107" priority="6" stopIfTrue="1" operator="between">
      <formula>44.5</formula>
      <formula>60.49</formula>
    </cfRule>
  </conditionalFormatting>
  <conditionalFormatting sqref="BS7:BV11">
    <cfRule type="cellIs" dxfId="106" priority="1" stopIfTrue="1" operator="lessThanOrEqual">
      <formula>44.49</formula>
    </cfRule>
    <cfRule type="cellIs" dxfId="105" priority="2" stopIfTrue="1" operator="greaterThanOrEqual">
      <formula>85.5</formula>
    </cfRule>
    <cfRule type="cellIs" dxfId="104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L70" zoomScaleNormal="100" workbookViewId="0">
      <selection activeCell="M73" sqref="M73:P7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3" t="s">
        <v>53</v>
      </c>
      <c r="B1" s="33" t="s">
        <v>54</v>
      </c>
      <c r="C1" s="34">
        <v>2016</v>
      </c>
      <c r="D1" s="34">
        <v>2015</v>
      </c>
      <c r="E1" s="35" t="s">
        <v>55</v>
      </c>
      <c r="F1" s="35" t="s">
        <v>56</v>
      </c>
      <c r="G1" s="34" t="s">
        <v>57</v>
      </c>
      <c r="H1" s="36" t="s">
        <v>58</v>
      </c>
      <c r="I1" s="37" t="s">
        <v>59</v>
      </c>
      <c r="J1" s="38"/>
      <c r="K1" s="38" t="s">
        <v>60</v>
      </c>
      <c r="L1" s="38" t="s">
        <v>61</v>
      </c>
      <c r="M1" s="39">
        <v>2016</v>
      </c>
      <c r="N1" s="39">
        <v>2015</v>
      </c>
      <c r="O1" s="39" t="s">
        <v>55</v>
      </c>
      <c r="P1" s="39" t="s">
        <v>56</v>
      </c>
      <c r="Q1" s="40"/>
    </row>
    <row r="2" spans="1:17">
      <c r="A2" s="267" t="s">
        <v>62</v>
      </c>
      <c r="B2" s="231" t="s">
        <v>63</v>
      </c>
      <c r="C2" s="279">
        <f>+ROUND(AVERAGE(M2:M5),0)</f>
        <v>87</v>
      </c>
      <c r="D2" s="279">
        <f>+ROUND(AVERAGE(N2:N5),0)</f>
        <v>84</v>
      </c>
      <c r="E2" s="279">
        <f>+ROUND(AVERAGE(O2:O5),0)</f>
        <v>89</v>
      </c>
      <c r="F2" s="279">
        <f>+ROUND(AVERAGE(P2:P5),0)</f>
        <v>78</v>
      </c>
      <c r="G2" s="275">
        <f>+C2-E2</f>
        <v>-2</v>
      </c>
      <c r="H2" s="277">
        <f>+C2-F2</f>
        <v>9</v>
      </c>
      <c r="I2" s="271" t="s">
        <v>63</v>
      </c>
      <c r="J2" s="273" t="s">
        <v>64</v>
      </c>
      <c r="K2" s="41">
        <v>1</v>
      </c>
      <c r="L2" s="42" t="s">
        <v>65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</row>
    <row r="3" spans="1:17" ht="15.75" thickBot="1">
      <c r="A3" s="267"/>
      <c r="B3" s="231"/>
      <c r="C3" s="279"/>
      <c r="D3" s="279"/>
      <c r="E3" s="279"/>
      <c r="F3" s="279"/>
      <c r="G3" s="275"/>
      <c r="H3" s="277"/>
      <c r="I3" s="271"/>
      <c r="J3" s="274"/>
      <c r="K3" s="45">
        <v>2</v>
      </c>
      <c r="L3" s="46" t="s">
        <v>66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</row>
    <row r="4" spans="1:17">
      <c r="A4" s="267"/>
      <c r="B4" s="231"/>
      <c r="C4" s="279"/>
      <c r="D4" s="279"/>
      <c r="E4" s="279"/>
      <c r="F4" s="279"/>
      <c r="G4" s="275"/>
      <c r="H4" s="277"/>
      <c r="I4" s="271"/>
      <c r="J4" s="273" t="s">
        <v>67</v>
      </c>
      <c r="K4" s="41">
        <v>3</v>
      </c>
      <c r="L4" s="42" t="s">
        <v>68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</row>
    <row r="5" spans="1:17" ht="15.75" thickBot="1">
      <c r="A5" s="267"/>
      <c r="B5" s="232"/>
      <c r="C5" s="280"/>
      <c r="D5" s="280"/>
      <c r="E5" s="280"/>
      <c r="F5" s="280"/>
      <c r="G5" s="276"/>
      <c r="H5" s="278"/>
      <c r="I5" s="272"/>
      <c r="J5" s="274"/>
      <c r="K5" s="45">
        <v>4</v>
      </c>
      <c r="L5" s="46" t="s">
        <v>69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</row>
    <row r="6" spans="1:17">
      <c r="A6" s="267"/>
      <c r="B6" s="230" t="s">
        <v>70</v>
      </c>
      <c r="C6" s="207">
        <f>+ROUND(AVERAGE(M6:M11),0)</f>
        <v>86</v>
      </c>
      <c r="D6" s="207">
        <f>+ROUND(AVERAGE(N6:N11),0)</f>
        <v>82</v>
      </c>
      <c r="E6" s="207">
        <f>+ROUND(AVERAGE(O6:O11),0)</f>
        <v>89</v>
      </c>
      <c r="F6" s="207">
        <f>+ROUND(AVERAGE(P6:P11),0)</f>
        <v>80</v>
      </c>
      <c r="G6" s="254">
        <f>+C6-E6</f>
        <v>-3</v>
      </c>
      <c r="H6" s="210">
        <f>+C6-F6</f>
        <v>6</v>
      </c>
      <c r="I6" s="271" t="s">
        <v>70</v>
      </c>
      <c r="J6" s="273" t="s">
        <v>71</v>
      </c>
      <c r="K6" s="41">
        <v>5</v>
      </c>
      <c r="L6" s="42" t="s">
        <v>72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</row>
    <row r="7" spans="1:17">
      <c r="A7" s="267"/>
      <c r="B7" s="231"/>
      <c r="C7" s="194"/>
      <c r="D7" s="194"/>
      <c r="E7" s="194"/>
      <c r="F7" s="194"/>
      <c r="G7" s="234"/>
      <c r="H7" s="184"/>
      <c r="I7" s="271"/>
      <c r="J7" s="273"/>
      <c r="K7" s="41">
        <v>6</v>
      </c>
      <c r="L7" s="42" t="s">
        <v>73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</row>
    <row r="8" spans="1:17" ht="15.75" thickBot="1">
      <c r="A8" s="267"/>
      <c r="B8" s="231"/>
      <c r="C8" s="194"/>
      <c r="D8" s="194"/>
      <c r="E8" s="194"/>
      <c r="F8" s="194"/>
      <c r="G8" s="234"/>
      <c r="H8" s="184"/>
      <c r="I8" s="271"/>
      <c r="J8" s="274"/>
      <c r="K8" s="45">
        <v>7</v>
      </c>
      <c r="L8" s="46" t="s">
        <v>74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</row>
    <row r="9" spans="1:17" ht="28.5">
      <c r="A9" s="267"/>
      <c r="B9" s="231"/>
      <c r="C9" s="194"/>
      <c r="D9" s="194"/>
      <c r="E9" s="194"/>
      <c r="F9" s="194"/>
      <c r="G9" s="234"/>
      <c r="H9" s="184"/>
      <c r="I9" s="271"/>
      <c r="J9" s="273" t="s">
        <v>75</v>
      </c>
      <c r="K9" s="41">
        <v>8</v>
      </c>
      <c r="L9" s="42" t="s">
        <v>76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</row>
    <row r="10" spans="1:17" ht="15.75" thickBot="1">
      <c r="A10" s="267"/>
      <c r="B10" s="231"/>
      <c r="C10" s="194"/>
      <c r="D10" s="194"/>
      <c r="E10" s="194"/>
      <c r="F10" s="194"/>
      <c r="G10" s="234"/>
      <c r="H10" s="184"/>
      <c r="I10" s="271"/>
      <c r="J10" s="274"/>
      <c r="K10" s="45">
        <v>9</v>
      </c>
      <c r="L10" s="46" t="s">
        <v>77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</row>
    <row r="11" spans="1:17" ht="15.75" thickBot="1">
      <c r="A11" s="267"/>
      <c r="B11" s="232"/>
      <c r="C11" s="195"/>
      <c r="D11" s="195"/>
      <c r="E11" s="195"/>
      <c r="F11" s="195"/>
      <c r="G11" s="265"/>
      <c r="H11" s="185"/>
      <c r="I11" s="272"/>
      <c r="J11" s="147" t="s">
        <v>78</v>
      </c>
      <c r="K11" s="45">
        <v>10</v>
      </c>
      <c r="L11" s="46" t="s">
        <v>79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</row>
    <row r="12" spans="1:17">
      <c r="A12" s="267"/>
      <c r="B12" s="230" t="s">
        <v>80</v>
      </c>
      <c r="C12" s="207">
        <f>+ROUND(AVERAGE(M12:M15),0)</f>
        <v>86</v>
      </c>
      <c r="D12" s="207">
        <f>+ROUND(AVERAGE(N12:N15),0)</f>
        <v>82</v>
      </c>
      <c r="E12" s="207">
        <f>+ROUND(AVERAGE(O12:O15),0)</f>
        <v>90</v>
      </c>
      <c r="F12" s="207">
        <f>+ROUND(AVERAGE(P12:P15),0)</f>
        <v>79</v>
      </c>
      <c r="G12" s="254">
        <f>+C12-E12</f>
        <v>-4</v>
      </c>
      <c r="H12" s="210">
        <f>+C12-F12</f>
        <v>7</v>
      </c>
      <c r="I12" s="271" t="s">
        <v>80</v>
      </c>
      <c r="J12" s="273" t="s">
        <v>81</v>
      </c>
      <c r="K12" s="41">
        <v>11</v>
      </c>
      <c r="L12" s="42" t="s">
        <v>82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</row>
    <row r="13" spans="1:17">
      <c r="A13" s="267"/>
      <c r="B13" s="231"/>
      <c r="C13" s="194"/>
      <c r="D13" s="194"/>
      <c r="E13" s="194"/>
      <c r="F13" s="194"/>
      <c r="G13" s="234"/>
      <c r="H13" s="184"/>
      <c r="I13" s="271"/>
      <c r="J13" s="273"/>
      <c r="K13" s="41">
        <v>12</v>
      </c>
      <c r="L13" s="42" t="s">
        <v>83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</row>
    <row r="14" spans="1:17" ht="15.75" thickBot="1">
      <c r="A14" s="267"/>
      <c r="B14" s="231"/>
      <c r="C14" s="194"/>
      <c r="D14" s="194"/>
      <c r="E14" s="194"/>
      <c r="F14" s="194"/>
      <c r="G14" s="234"/>
      <c r="H14" s="184"/>
      <c r="I14" s="271"/>
      <c r="J14" s="274"/>
      <c r="K14" s="45">
        <v>13</v>
      </c>
      <c r="L14" s="46" t="s">
        <v>84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</row>
    <row r="15" spans="1:17" ht="15.75" thickBot="1">
      <c r="A15" s="268"/>
      <c r="B15" s="269"/>
      <c r="C15" s="208"/>
      <c r="D15" s="208"/>
      <c r="E15" s="208"/>
      <c r="F15" s="208"/>
      <c r="G15" s="270"/>
      <c r="H15" s="211"/>
      <c r="I15" s="272"/>
      <c r="J15" s="147" t="s">
        <v>85</v>
      </c>
      <c r="K15" s="45">
        <v>14</v>
      </c>
      <c r="L15" s="46" t="s">
        <v>86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</row>
    <row r="16" spans="1:17" ht="43.5" thickBot="1">
      <c r="A16" s="33" t="s">
        <v>53</v>
      </c>
      <c r="B16" s="33" t="s">
        <v>54</v>
      </c>
      <c r="C16" s="34">
        <v>2016</v>
      </c>
      <c r="D16" s="34">
        <v>2015</v>
      </c>
      <c r="E16" s="35" t="s">
        <v>55</v>
      </c>
      <c r="F16" s="35" t="s">
        <v>56</v>
      </c>
      <c r="G16" s="34" t="s">
        <v>57</v>
      </c>
      <c r="H16" s="36" t="s">
        <v>58</v>
      </c>
      <c r="I16" s="37" t="s">
        <v>59</v>
      </c>
      <c r="J16" s="38"/>
      <c r="K16" s="38" t="s">
        <v>60</v>
      </c>
      <c r="L16" s="38" t="s">
        <v>61</v>
      </c>
      <c r="M16" s="39">
        <v>2016</v>
      </c>
      <c r="N16" s="39">
        <v>2015</v>
      </c>
      <c r="O16" s="39" t="s">
        <v>55</v>
      </c>
      <c r="P16" s="39" t="s">
        <v>56</v>
      </c>
      <c r="Q16" s="44"/>
    </row>
    <row r="17" spans="1:17">
      <c r="A17" s="266" t="s">
        <v>87</v>
      </c>
      <c r="B17" s="230" t="s">
        <v>88</v>
      </c>
      <c r="C17" s="207">
        <f>+ROUND(AVERAGE(M17:M20),0)</f>
        <v>82</v>
      </c>
      <c r="D17" s="207">
        <f>+ROUND(AVERAGE(N17:N20),0)</f>
        <v>79</v>
      </c>
      <c r="E17" s="207">
        <f>+ROUND(AVERAGE(O17:O20),0)</f>
        <v>89</v>
      </c>
      <c r="F17" s="207">
        <f>+ROUND(AVERAGE(P17:P20),0)</f>
        <v>77</v>
      </c>
      <c r="G17" s="254">
        <f>+C17-E17</f>
        <v>-7</v>
      </c>
      <c r="H17" s="210">
        <f>+C17-F17</f>
        <v>5</v>
      </c>
      <c r="I17" s="247" t="s">
        <v>88</v>
      </c>
      <c r="J17" s="264" t="s">
        <v>89</v>
      </c>
      <c r="K17" s="50">
        <v>15</v>
      </c>
      <c r="L17" s="51" t="s">
        <v>90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</row>
    <row r="18" spans="1:17" ht="15.75" thickBot="1">
      <c r="A18" s="266"/>
      <c r="B18" s="231"/>
      <c r="C18" s="194"/>
      <c r="D18" s="194"/>
      <c r="E18" s="194"/>
      <c r="F18" s="194"/>
      <c r="G18" s="234"/>
      <c r="H18" s="184"/>
      <c r="I18" s="248"/>
      <c r="J18" s="251"/>
      <c r="K18" s="53">
        <v>16</v>
      </c>
      <c r="L18" s="46" t="s">
        <v>91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</row>
    <row r="19" spans="1:17">
      <c r="A19" s="266"/>
      <c r="B19" s="231"/>
      <c r="C19" s="194"/>
      <c r="D19" s="194"/>
      <c r="E19" s="194"/>
      <c r="F19" s="194"/>
      <c r="G19" s="234"/>
      <c r="H19" s="184"/>
      <c r="I19" s="248"/>
      <c r="J19" s="250" t="s">
        <v>92</v>
      </c>
      <c r="K19" s="55">
        <v>17</v>
      </c>
      <c r="L19" s="42" t="s">
        <v>93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</row>
    <row r="20" spans="1:17" ht="15.75" thickBot="1">
      <c r="A20" s="266"/>
      <c r="B20" s="232"/>
      <c r="C20" s="195"/>
      <c r="D20" s="195"/>
      <c r="E20" s="195"/>
      <c r="F20" s="195"/>
      <c r="G20" s="265"/>
      <c r="H20" s="185"/>
      <c r="I20" s="249"/>
      <c r="J20" s="251"/>
      <c r="K20" s="53">
        <v>18</v>
      </c>
      <c r="L20" s="46" t="s">
        <v>94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</row>
    <row r="21" spans="1:17" ht="28.5">
      <c r="A21" s="266"/>
      <c r="B21" s="230" t="s">
        <v>95</v>
      </c>
      <c r="C21" s="207">
        <f>+ROUND(AVERAGE(M21:M22),0)</f>
        <v>81</v>
      </c>
      <c r="D21" s="207">
        <f>+ROUND(AVERAGE(N21:N22),0)</f>
        <v>77</v>
      </c>
      <c r="E21" s="207">
        <f>+ROUND(AVERAGE(O21:O22),0)</f>
        <v>87</v>
      </c>
      <c r="F21" s="207">
        <f>+ROUND(AVERAGE(P21:P22),0)</f>
        <v>73</v>
      </c>
      <c r="G21" s="254">
        <f>+C21-E21</f>
        <v>-6</v>
      </c>
      <c r="H21" s="210">
        <f>+C21-F21</f>
        <v>8</v>
      </c>
      <c r="I21" s="247" t="s">
        <v>95</v>
      </c>
      <c r="J21" s="250" t="s">
        <v>96</v>
      </c>
      <c r="K21" s="55">
        <v>19</v>
      </c>
      <c r="L21" s="42" t="s">
        <v>97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</row>
    <row r="22" spans="1:17" ht="29.25" thickBot="1">
      <c r="A22" s="266"/>
      <c r="B22" s="232"/>
      <c r="C22" s="195"/>
      <c r="D22" s="195"/>
      <c r="E22" s="195"/>
      <c r="F22" s="195"/>
      <c r="G22" s="265"/>
      <c r="H22" s="185"/>
      <c r="I22" s="249"/>
      <c r="J22" s="251"/>
      <c r="K22" s="53">
        <v>20</v>
      </c>
      <c r="L22" s="46" t="s">
        <v>98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</row>
    <row r="23" spans="1:17">
      <c r="A23" s="266"/>
      <c r="B23" s="230" t="s">
        <v>99</v>
      </c>
      <c r="C23" s="207">
        <f>+ROUND(AVERAGE(M23:M29),0)</f>
        <v>81</v>
      </c>
      <c r="D23" s="207">
        <f>+ROUND(AVERAGE(N23:N29),0)</f>
        <v>77</v>
      </c>
      <c r="E23" s="207">
        <f>+ROUND(AVERAGE(O23:O29),0)</f>
        <v>89</v>
      </c>
      <c r="F23" s="207">
        <f>+ROUND(AVERAGE(P23:P29),0)</f>
        <v>78</v>
      </c>
      <c r="G23" s="254">
        <f>+C23-E23</f>
        <v>-8</v>
      </c>
      <c r="H23" s="210">
        <f>+C23-F23</f>
        <v>3</v>
      </c>
      <c r="I23" s="247" t="s">
        <v>99</v>
      </c>
      <c r="J23" s="250" t="s">
        <v>100</v>
      </c>
      <c r="K23" s="55">
        <v>21</v>
      </c>
      <c r="L23" s="42" t="s">
        <v>101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</row>
    <row r="24" spans="1:17">
      <c r="A24" s="266"/>
      <c r="B24" s="231"/>
      <c r="C24" s="194"/>
      <c r="D24" s="194"/>
      <c r="E24" s="194"/>
      <c r="F24" s="194"/>
      <c r="G24" s="234"/>
      <c r="H24" s="184"/>
      <c r="I24" s="248"/>
      <c r="J24" s="250"/>
      <c r="K24" s="55">
        <v>22</v>
      </c>
      <c r="L24" s="42" t="s">
        <v>102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</row>
    <row r="25" spans="1:17" ht="15.75" thickBot="1">
      <c r="A25" s="266"/>
      <c r="B25" s="231"/>
      <c r="C25" s="194"/>
      <c r="D25" s="194"/>
      <c r="E25" s="194"/>
      <c r="F25" s="194"/>
      <c r="G25" s="234"/>
      <c r="H25" s="184"/>
      <c r="I25" s="248"/>
      <c r="J25" s="251"/>
      <c r="K25" s="53">
        <v>23</v>
      </c>
      <c r="L25" s="46" t="s">
        <v>103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</row>
    <row r="26" spans="1:17">
      <c r="A26" s="266"/>
      <c r="B26" s="231"/>
      <c r="C26" s="194"/>
      <c r="D26" s="194"/>
      <c r="E26" s="194"/>
      <c r="F26" s="194"/>
      <c r="G26" s="234"/>
      <c r="H26" s="184"/>
      <c r="I26" s="248"/>
      <c r="J26" s="250" t="s">
        <v>104</v>
      </c>
      <c r="K26" s="55">
        <v>24</v>
      </c>
      <c r="L26" s="42" t="s">
        <v>105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</row>
    <row r="27" spans="1:17">
      <c r="A27" s="266"/>
      <c r="B27" s="231"/>
      <c r="C27" s="194"/>
      <c r="D27" s="194"/>
      <c r="E27" s="194"/>
      <c r="F27" s="194"/>
      <c r="G27" s="234"/>
      <c r="H27" s="184"/>
      <c r="I27" s="248"/>
      <c r="J27" s="250"/>
      <c r="K27" s="55">
        <v>25</v>
      </c>
      <c r="L27" s="42" t="s">
        <v>106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</row>
    <row r="28" spans="1:17">
      <c r="A28" s="266"/>
      <c r="B28" s="231"/>
      <c r="C28" s="194"/>
      <c r="D28" s="194"/>
      <c r="E28" s="194"/>
      <c r="F28" s="194"/>
      <c r="G28" s="234"/>
      <c r="H28" s="184"/>
      <c r="I28" s="248"/>
      <c r="J28" s="250"/>
      <c r="K28" s="55">
        <v>26</v>
      </c>
      <c r="L28" s="42" t="s">
        <v>107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</row>
    <row r="29" spans="1:17" ht="15.75" thickBot="1">
      <c r="A29" s="266"/>
      <c r="B29" s="269"/>
      <c r="C29" s="208"/>
      <c r="D29" s="208"/>
      <c r="E29" s="208"/>
      <c r="F29" s="208"/>
      <c r="G29" s="270"/>
      <c r="H29" s="211"/>
      <c r="I29" s="249"/>
      <c r="J29" s="251"/>
      <c r="K29" s="53">
        <v>27</v>
      </c>
      <c r="L29" s="46" t="s">
        <v>108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</row>
    <row r="30" spans="1:17" ht="44.25" thickTop="1" thickBot="1">
      <c r="A30" s="33" t="s">
        <v>53</v>
      </c>
      <c r="B30" s="33" t="s">
        <v>54</v>
      </c>
      <c r="C30" s="34">
        <v>2016</v>
      </c>
      <c r="D30" s="34">
        <v>2015</v>
      </c>
      <c r="E30" s="35" t="s">
        <v>55</v>
      </c>
      <c r="F30" s="35" t="s">
        <v>56</v>
      </c>
      <c r="G30" s="34" t="s">
        <v>57</v>
      </c>
      <c r="H30" s="36" t="s">
        <v>58</v>
      </c>
      <c r="I30" s="37" t="s">
        <v>59</v>
      </c>
      <c r="J30" s="38"/>
      <c r="K30" s="38" t="s">
        <v>60</v>
      </c>
      <c r="L30" s="38" t="s">
        <v>61</v>
      </c>
      <c r="M30" s="39">
        <v>2016</v>
      </c>
      <c r="N30" s="39">
        <v>2015</v>
      </c>
      <c r="O30" s="39" t="s">
        <v>55</v>
      </c>
      <c r="P30" s="39" t="s">
        <v>56</v>
      </c>
      <c r="Q30" s="44"/>
    </row>
    <row r="31" spans="1:17">
      <c r="A31" s="252" t="s">
        <v>109</v>
      </c>
      <c r="B31" s="230" t="s">
        <v>110</v>
      </c>
      <c r="C31" s="207">
        <f>+ROUND(AVERAGE(M31:M34),0)</f>
        <v>69</v>
      </c>
      <c r="D31" s="207">
        <f>+ROUND(AVERAGE(N31:N34),0)</f>
        <v>63</v>
      </c>
      <c r="E31" s="207">
        <f>+ROUND(AVERAGE(O31:O34),0)</f>
        <v>77</v>
      </c>
      <c r="F31" s="207">
        <f>+ROUND(AVERAGE(P31:P34),0)</f>
        <v>65</v>
      </c>
      <c r="G31" s="254">
        <f>+C31-E31</f>
        <v>-8</v>
      </c>
      <c r="H31" s="210">
        <f>+C31-F31</f>
        <v>4</v>
      </c>
      <c r="I31" s="239" t="s">
        <v>110</v>
      </c>
      <c r="J31" s="255" t="s">
        <v>111</v>
      </c>
      <c r="K31" s="58">
        <v>28</v>
      </c>
      <c r="L31" s="59" t="s">
        <v>112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</row>
    <row r="32" spans="1:17" ht="15.75" thickBot="1">
      <c r="A32" s="252"/>
      <c r="B32" s="231"/>
      <c r="C32" s="194"/>
      <c r="D32" s="194"/>
      <c r="E32" s="194"/>
      <c r="F32" s="194"/>
      <c r="G32" s="234"/>
      <c r="H32" s="184"/>
      <c r="I32" s="239"/>
      <c r="J32" s="242"/>
      <c r="K32" s="55">
        <v>29</v>
      </c>
      <c r="L32" s="42" t="s">
        <v>113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</row>
    <row r="33" spans="1:17">
      <c r="A33" s="252"/>
      <c r="B33" s="231"/>
      <c r="C33" s="194"/>
      <c r="D33" s="194"/>
      <c r="E33" s="194"/>
      <c r="F33" s="194"/>
      <c r="G33" s="234"/>
      <c r="H33" s="184"/>
      <c r="I33" s="239"/>
      <c r="J33" s="241" t="s">
        <v>114</v>
      </c>
      <c r="K33" s="50">
        <v>30</v>
      </c>
      <c r="L33" s="51" t="s">
        <v>115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</row>
    <row r="34" spans="1:17" ht="15.75" thickBot="1">
      <c r="A34" s="252"/>
      <c r="B34" s="232"/>
      <c r="C34" s="195"/>
      <c r="D34" s="195"/>
      <c r="E34" s="195"/>
      <c r="F34" s="195"/>
      <c r="G34" s="234"/>
      <c r="H34" s="185"/>
      <c r="I34" s="240"/>
      <c r="J34" s="256"/>
      <c r="K34" s="53">
        <v>31</v>
      </c>
      <c r="L34" s="46" t="s">
        <v>116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</row>
    <row r="35" spans="1:17">
      <c r="A35" s="252"/>
      <c r="B35" s="257" t="s">
        <v>117</v>
      </c>
      <c r="C35" s="207">
        <f>+ROUND(AVERAGE(M35:M37),0)</f>
        <v>68</v>
      </c>
      <c r="D35" s="207">
        <f>+ROUND(AVERAGE(N35:N37),0)</f>
        <v>62</v>
      </c>
      <c r="E35" s="207">
        <f>+ROUND(AVERAGE(O35:O37),0)</f>
        <v>78</v>
      </c>
      <c r="F35" s="207">
        <f>+ROUND(AVERAGE(P35:P37),0)</f>
        <v>64</v>
      </c>
      <c r="G35" s="209">
        <f>+C35-E35</f>
        <v>-10</v>
      </c>
      <c r="H35" s="210">
        <f>+C35-F35</f>
        <v>4</v>
      </c>
      <c r="I35" s="260" t="s">
        <v>117</v>
      </c>
      <c r="J35" s="260"/>
      <c r="K35" s="55">
        <v>32</v>
      </c>
      <c r="L35" s="42" t="s">
        <v>118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</row>
    <row r="36" spans="1:17">
      <c r="A36" s="252"/>
      <c r="B36" s="258"/>
      <c r="C36" s="194"/>
      <c r="D36" s="194"/>
      <c r="E36" s="194"/>
      <c r="F36" s="194"/>
      <c r="G36" s="197"/>
      <c r="H36" s="184"/>
      <c r="I36" s="261"/>
      <c r="J36" s="261"/>
      <c r="K36" s="55">
        <v>33</v>
      </c>
      <c r="L36" s="42" t="s">
        <v>119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</row>
    <row r="37" spans="1:17" ht="15.75" thickBot="1">
      <c r="A37" s="252"/>
      <c r="B37" s="259"/>
      <c r="C37" s="195"/>
      <c r="D37" s="195"/>
      <c r="E37" s="195"/>
      <c r="F37" s="195"/>
      <c r="G37" s="198"/>
      <c r="H37" s="185"/>
      <c r="I37" s="262"/>
      <c r="J37" s="262"/>
      <c r="K37" s="53">
        <v>34</v>
      </c>
      <c r="L37" s="46" t="s">
        <v>120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</row>
    <row r="38" spans="1:17">
      <c r="A38" s="252"/>
      <c r="B38" s="230" t="s">
        <v>121</v>
      </c>
      <c r="C38" s="207">
        <f>+ROUND(AVERAGE(M38:M42),0)</f>
        <v>91</v>
      </c>
      <c r="D38" s="207">
        <f>+ROUND(AVERAGE(N38:N42),0)</f>
        <v>89</v>
      </c>
      <c r="E38" s="207">
        <f>+ROUND(AVERAGE(O38:O42),0)</f>
        <v>96</v>
      </c>
      <c r="F38" s="207">
        <f>+ROUND(AVERAGE(P38:P42),0)</f>
        <v>91</v>
      </c>
      <c r="G38" s="233">
        <f>+C38-E38</f>
        <v>-5</v>
      </c>
      <c r="H38" s="210">
        <f>+C38-F38</f>
        <v>0</v>
      </c>
      <c r="I38" s="238" t="s">
        <v>121</v>
      </c>
      <c r="J38" s="241" t="s">
        <v>122</v>
      </c>
      <c r="K38" s="50">
        <v>35</v>
      </c>
      <c r="L38" s="51" t="s">
        <v>123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</row>
    <row r="39" spans="1:17">
      <c r="A39" s="252"/>
      <c r="B39" s="231"/>
      <c r="C39" s="194"/>
      <c r="D39" s="194"/>
      <c r="E39" s="194"/>
      <c r="F39" s="194"/>
      <c r="G39" s="234"/>
      <c r="H39" s="184"/>
      <c r="I39" s="239"/>
      <c r="J39" s="242"/>
      <c r="K39" s="55">
        <v>36</v>
      </c>
      <c r="L39" s="42" t="s">
        <v>124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</row>
    <row r="40" spans="1:17">
      <c r="A40" s="252"/>
      <c r="B40" s="231"/>
      <c r="C40" s="194"/>
      <c r="D40" s="194"/>
      <c r="E40" s="194"/>
      <c r="F40" s="194"/>
      <c r="G40" s="234"/>
      <c r="H40" s="184"/>
      <c r="I40" s="239"/>
      <c r="J40" s="242"/>
      <c r="K40" s="55">
        <v>37</v>
      </c>
      <c r="L40" s="42" t="s">
        <v>125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</row>
    <row r="41" spans="1:17" ht="15.75" thickBot="1">
      <c r="A41" s="252"/>
      <c r="B41" s="231"/>
      <c r="C41" s="194"/>
      <c r="D41" s="194"/>
      <c r="E41" s="194"/>
      <c r="F41" s="194"/>
      <c r="G41" s="234"/>
      <c r="H41" s="184"/>
      <c r="I41" s="239"/>
      <c r="J41" s="242"/>
      <c r="K41" s="55">
        <v>38</v>
      </c>
      <c r="L41" s="46" t="s">
        <v>126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</row>
    <row r="42" spans="1:17" ht="29.25" thickBot="1">
      <c r="A42" s="253"/>
      <c r="B42" s="263"/>
      <c r="C42" s="235"/>
      <c r="D42" s="235"/>
      <c r="E42" s="235"/>
      <c r="F42" s="235"/>
      <c r="G42" s="236"/>
      <c r="H42" s="237"/>
      <c r="I42" s="240"/>
      <c r="J42" s="60" t="s">
        <v>127</v>
      </c>
      <c r="K42" s="61">
        <v>39</v>
      </c>
      <c r="L42" s="46" t="s">
        <v>128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</row>
    <row r="43" spans="1:17" ht="44.25" thickTop="1" thickBot="1">
      <c r="A43" s="33" t="s">
        <v>53</v>
      </c>
      <c r="B43" s="33" t="s">
        <v>54</v>
      </c>
      <c r="C43" s="34">
        <v>2016</v>
      </c>
      <c r="D43" s="34">
        <v>2015</v>
      </c>
      <c r="E43" s="35" t="s">
        <v>55</v>
      </c>
      <c r="F43" s="35" t="s">
        <v>56</v>
      </c>
      <c r="G43" s="34" t="s">
        <v>57</v>
      </c>
      <c r="H43" s="36" t="s">
        <v>58</v>
      </c>
      <c r="I43" s="37" t="s">
        <v>59</v>
      </c>
      <c r="J43" s="38"/>
      <c r="K43" s="38" t="s">
        <v>60</v>
      </c>
      <c r="L43" s="38" t="s">
        <v>61</v>
      </c>
      <c r="M43" s="39">
        <v>2016</v>
      </c>
      <c r="N43" s="39">
        <v>2015</v>
      </c>
      <c r="O43" s="39" t="s">
        <v>55</v>
      </c>
      <c r="P43" s="39" t="s">
        <v>56</v>
      </c>
      <c r="Q43" s="44"/>
    </row>
    <row r="44" spans="1:17">
      <c r="A44" s="243" t="s">
        <v>129</v>
      </c>
      <c r="B44" s="225" t="s">
        <v>130</v>
      </c>
      <c r="C44" s="194">
        <f>+ROUND(AVERAGE(M44:M45),0)</f>
        <v>81</v>
      </c>
      <c r="D44" s="194">
        <f>+ROUND(AVERAGE(N44:N45),0)</f>
        <v>76</v>
      </c>
      <c r="E44" s="194">
        <f>+ROUND(AVERAGE(O44:O45),0)</f>
        <v>88</v>
      </c>
      <c r="F44" s="194">
        <f>+ROUND(AVERAGE(P44:P45),0)</f>
        <v>77</v>
      </c>
      <c r="G44" s="196">
        <f>+C44-E44</f>
        <v>-7</v>
      </c>
      <c r="H44" s="184">
        <f>+C44-F44</f>
        <v>4</v>
      </c>
      <c r="I44" s="216" t="s">
        <v>130</v>
      </c>
      <c r="J44" s="217"/>
      <c r="K44" s="63">
        <v>40</v>
      </c>
      <c r="L44" s="51" t="s">
        <v>131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</row>
    <row r="45" spans="1:17" ht="15.75" thickBot="1">
      <c r="A45" s="243"/>
      <c r="B45" s="245"/>
      <c r="C45" s="195"/>
      <c r="D45" s="195"/>
      <c r="E45" s="195"/>
      <c r="F45" s="195"/>
      <c r="G45" s="246"/>
      <c r="H45" s="185"/>
      <c r="I45" s="220"/>
      <c r="J45" s="221"/>
      <c r="K45" s="45">
        <v>41</v>
      </c>
      <c r="L45" s="46" t="s">
        <v>132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</row>
    <row r="46" spans="1:17">
      <c r="A46" s="243"/>
      <c r="B46" s="224" t="s">
        <v>133</v>
      </c>
      <c r="C46" s="207">
        <f>+ROUND(AVERAGE(M46:M47),0)</f>
        <v>84</v>
      </c>
      <c r="D46" s="207">
        <f>+ROUND(AVERAGE(N46:N47),0)</f>
        <v>79</v>
      </c>
      <c r="E46" s="207">
        <f>+ROUND(AVERAGE(O46:O47),0)</f>
        <v>91</v>
      </c>
      <c r="F46" s="207">
        <f>+ROUND(AVERAGE(P46:P47),0)</f>
        <v>80</v>
      </c>
      <c r="G46" s="228">
        <f>+C46-E46</f>
        <v>-7</v>
      </c>
      <c r="H46" s="210">
        <f>+C46-F46</f>
        <v>4</v>
      </c>
      <c r="I46" s="216" t="s">
        <v>133</v>
      </c>
      <c r="J46" s="217"/>
      <c r="K46" s="63">
        <v>42</v>
      </c>
      <c r="L46" s="51" t="s">
        <v>134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</row>
    <row r="47" spans="1:17" ht="15.75" thickBot="1">
      <c r="A47" s="243"/>
      <c r="B47" s="245"/>
      <c r="C47" s="195"/>
      <c r="D47" s="195"/>
      <c r="E47" s="195"/>
      <c r="F47" s="195"/>
      <c r="G47" s="246"/>
      <c r="H47" s="185"/>
      <c r="I47" s="220"/>
      <c r="J47" s="221"/>
      <c r="K47" s="45">
        <v>43</v>
      </c>
      <c r="L47" s="46" t="s">
        <v>135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</row>
    <row r="48" spans="1:17">
      <c r="A48" s="243"/>
      <c r="B48" s="224" t="s">
        <v>136</v>
      </c>
      <c r="C48" s="207">
        <f>+ROUND(AVERAGE(M48:M51),0)</f>
        <v>84</v>
      </c>
      <c r="D48" s="207">
        <f>+ROUND(AVERAGE(N48:N51),0)</f>
        <v>79</v>
      </c>
      <c r="E48" s="207">
        <f>+ROUND(AVERAGE(O48:O51),0)</f>
        <v>91</v>
      </c>
      <c r="F48" s="207">
        <f>+ROUND(AVERAGE(P48:P51),0)</f>
        <v>82</v>
      </c>
      <c r="G48" s="228">
        <f>+C48-E48</f>
        <v>-7</v>
      </c>
      <c r="H48" s="210">
        <f>+C48-F48</f>
        <v>2</v>
      </c>
      <c r="I48" s="216" t="s">
        <v>136</v>
      </c>
      <c r="J48" s="217"/>
      <c r="K48" s="63">
        <v>44</v>
      </c>
      <c r="L48" s="51" t="s">
        <v>137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</row>
    <row r="49" spans="1:17">
      <c r="A49" s="243"/>
      <c r="B49" s="225"/>
      <c r="C49" s="194"/>
      <c r="D49" s="194"/>
      <c r="E49" s="194"/>
      <c r="F49" s="194"/>
      <c r="G49" s="197"/>
      <c r="H49" s="184"/>
      <c r="I49" s="218"/>
      <c r="J49" s="219"/>
      <c r="K49" s="41">
        <v>45</v>
      </c>
      <c r="L49" s="42" t="s">
        <v>138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</row>
    <row r="50" spans="1:17">
      <c r="A50" s="243"/>
      <c r="B50" s="225"/>
      <c r="C50" s="194"/>
      <c r="D50" s="194"/>
      <c r="E50" s="194"/>
      <c r="F50" s="194"/>
      <c r="G50" s="197"/>
      <c r="H50" s="184"/>
      <c r="I50" s="218"/>
      <c r="J50" s="219"/>
      <c r="K50" s="41">
        <v>46</v>
      </c>
      <c r="L50" s="42" t="s">
        <v>139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</row>
    <row r="51" spans="1:17" ht="15.75" thickBot="1">
      <c r="A51" s="244"/>
      <c r="B51" s="226"/>
      <c r="C51" s="227"/>
      <c r="D51" s="227"/>
      <c r="E51" s="227"/>
      <c r="F51" s="227"/>
      <c r="G51" s="229"/>
      <c r="H51" s="215"/>
      <c r="I51" s="220"/>
      <c r="J51" s="221"/>
      <c r="K51" s="45">
        <v>47</v>
      </c>
      <c r="L51" s="46" t="s">
        <v>140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</row>
    <row r="52" spans="1:17" ht="43.5" thickBot="1">
      <c r="A52" s="33" t="s">
        <v>53</v>
      </c>
      <c r="B52" s="33" t="s">
        <v>54</v>
      </c>
      <c r="C52" s="34">
        <v>2016</v>
      </c>
      <c r="D52" s="34">
        <v>2015</v>
      </c>
      <c r="E52" s="35" t="s">
        <v>55</v>
      </c>
      <c r="F52" s="35" t="s">
        <v>56</v>
      </c>
      <c r="G52" s="34" t="s">
        <v>57</v>
      </c>
      <c r="H52" s="36" t="s">
        <v>58</v>
      </c>
      <c r="I52" s="37" t="s">
        <v>59</v>
      </c>
      <c r="J52" s="38"/>
      <c r="K52" s="38" t="s">
        <v>60</v>
      </c>
      <c r="L52" s="38" t="s">
        <v>61</v>
      </c>
      <c r="M52" s="39">
        <v>2016</v>
      </c>
      <c r="N52" s="39">
        <v>2015</v>
      </c>
      <c r="O52" s="39" t="s">
        <v>55</v>
      </c>
      <c r="P52" s="39" t="s">
        <v>56</v>
      </c>
      <c r="Q52" s="44"/>
    </row>
    <row r="53" spans="1:17">
      <c r="A53" s="222" t="s">
        <v>141</v>
      </c>
      <c r="B53" s="192" t="s">
        <v>142</v>
      </c>
      <c r="C53" s="194">
        <f>+ROUND(AVERAGE(M53:M55),0)</f>
        <v>87</v>
      </c>
      <c r="D53" s="194">
        <f>+ROUND(AVERAGE(N53:N55),0)</f>
        <v>83</v>
      </c>
      <c r="E53" s="194">
        <f>+ROUND(AVERAGE(O53:O55),0)</f>
        <v>93</v>
      </c>
      <c r="F53" s="194">
        <f>+ROUND(AVERAGE(P53:P55),0)</f>
        <v>84</v>
      </c>
      <c r="G53" s="196">
        <f>+C53-E53</f>
        <v>-6</v>
      </c>
      <c r="H53" s="184">
        <f>+C53-F53</f>
        <v>3</v>
      </c>
      <c r="I53" s="213" t="s">
        <v>142</v>
      </c>
      <c r="J53" s="213"/>
      <c r="K53" s="64">
        <v>48</v>
      </c>
      <c r="L53" s="65" t="s">
        <v>143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</row>
    <row r="54" spans="1:17">
      <c r="A54" s="222"/>
      <c r="B54" s="192"/>
      <c r="C54" s="194"/>
      <c r="D54" s="194"/>
      <c r="E54" s="194"/>
      <c r="F54" s="194"/>
      <c r="G54" s="197"/>
      <c r="H54" s="184"/>
      <c r="I54" s="213"/>
      <c r="J54" s="213"/>
      <c r="K54" s="64">
        <v>49</v>
      </c>
      <c r="L54" s="65" t="s">
        <v>144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</row>
    <row r="55" spans="1:17" ht="15.75" thickBot="1">
      <c r="A55" s="222"/>
      <c r="B55" s="193"/>
      <c r="C55" s="195"/>
      <c r="D55" s="195"/>
      <c r="E55" s="195"/>
      <c r="F55" s="195"/>
      <c r="G55" s="198"/>
      <c r="H55" s="185"/>
      <c r="I55" s="214"/>
      <c r="J55" s="214"/>
      <c r="K55" s="66">
        <v>50</v>
      </c>
      <c r="L55" s="67" t="s">
        <v>145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</row>
    <row r="56" spans="1:17">
      <c r="A56" s="222"/>
      <c r="B56" s="230" t="s">
        <v>146</v>
      </c>
      <c r="C56" s="207">
        <f>+ROUND(AVERAGE(M56:M59),0)</f>
        <v>88</v>
      </c>
      <c r="D56" s="207">
        <f>+ROUND(AVERAGE(N56:N59),0)</f>
        <v>84</v>
      </c>
      <c r="E56" s="207">
        <f>+ROUND(AVERAGE(O56:O59),0)</f>
        <v>94</v>
      </c>
      <c r="F56" s="207">
        <f>+ROUND(AVERAGE(P56:P59),0)</f>
        <v>86</v>
      </c>
      <c r="G56" s="233">
        <f>+C56-E56</f>
        <v>-6</v>
      </c>
      <c r="H56" s="210">
        <f>+C56-F56</f>
        <v>2</v>
      </c>
      <c r="I56" s="199" t="s">
        <v>146</v>
      </c>
      <c r="J56" s="202" t="s">
        <v>147</v>
      </c>
      <c r="K56" s="68">
        <v>51</v>
      </c>
      <c r="L56" s="69" t="s">
        <v>148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</row>
    <row r="57" spans="1:17" ht="15.75" thickBot="1">
      <c r="A57" s="222"/>
      <c r="B57" s="231"/>
      <c r="C57" s="194"/>
      <c r="D57" s="194"/>
      <c r="E57" s="194"/>
      <c r="F57" s="194"/>
      <c r="G57" s="234"/>
      <c r="H57" s="184"/>
      <c r="I57" s="200"/>
      <c r="J57" s="203"/>
      <c r="K57" s="66">
        <v>52</v>
      </c>
      <c r="L57" s="67" t="s">
        <v>149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</row>
    <row r="58" spans="1:17">
      <c r="A58" s="222"/>
      <c r="B58" s="231"/>
      <c r="C58" s="194"/>
      <c r="D58" s="194"/>
      <c r="E58" s="194"/>
      <c r="F58" s="194"/>
      <c r="G58" s="234"/>
      <c r="H58" s="184"/>
      <c r="I58" s="200"/>
      <c r="J58" s="202" t="s">
        <v>150</v>
      </c>
      <c r="K58" s="68">
        <v>53</v>
      </c>
      <c r="L58" s="69" t="s">
        <v>151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</row>
    <row r="59" spans="1:17" ht="29.25" thickBot="1">
      <c r="A59" s="222"/>
      <c r="B59" s="232"/>
      <c r="C59" s="195"/>
      <c r="D59" s="195"/>
      <c r="E59" s="195"/>
      <c r="F59" s="195"/>
      <c r="G59" s="234"/>
      <c r="H59" s="185"/>
      <c r="I59" s="201"/>
      <c r="J59" s="204"/>
      <c r="K59" s="64">
        <v>54</v>
      </c>
      <c r="L59" s="65" t="s">
        <v>152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</row>
    <row r="60" spans="1:17">
      <c r="A60" s="222"/>
      <c r="B60" s="205" t="s">
        <v>153</v>
      </c>
      <c r="C60" s="207">
        <f>+ROUND(AVERAGE(M60:M62),0)</f>
        <v>82</v>
      </c>
      <c r="D60" s="207">
        <f>+ROUND(AVERAGE(N60:N62),0)</f>
        <v>78</v>
      </c>
      <c r="E60" s="207">
        <f>+ROUND(AVERAGE(O60:O62),0)</f>
        <v>90</v>
      </c>
      <c r="F60" s="207">
        <f>+ROUND(AVERAGE(P60:P62),0)</f>
        <v>78</v>
      </c>
      <c r="G60" s="209">
        <f>+C60-E60</f>
        <v>-8</v>
      </c>
      <c r="H60" s="210">
        <f>+C60-F60</f>
        <v>4</v>
      </c>
      <c r="I60" s="212" t="s">
        <v>153</v>
      </c>
      <c r="J60" s="212"/>
      <c r="K60" s="68">
        <v>55</v>
      </c>
      <c r="L60" s="69" t="s">
        <v>154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</row>
    <row r="61" spans="1:17">
      <c r="A61" s="222"/>
      <c r="B61" s="192"/>
      <c r="C61" s="194"/>
      <c r="D61" s="194"/>
      <c r="E61" s="194"/>
      <c r="F61" s="194"/>
      <c r="G61" s="197"/>
      <c r="H61" s="184"/>
      <c r="I61" s="213"/>
      <c r="J61" s="213"/>
      <c r="K61" s="64">
        <v>56</v>
      </c>
      <c r="L61" s="65" t="s">
        <v>155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</row>
    <row r="62" spans="1:17" ht="15.75" thickBot="1">
      <c r="A62" s="223"/>
      <c r="B62" s="206"/>
      <c r="C62" s="208"/>
      <c r="D62" s="208"/>
      <c r="E62" s="208"/>
      <c r="F62" s="208"/>
      <c r="G62" s="198"/>
      <c r="H62" s="211"/>
      <c r="I62" s="214"/>
      <c r="J62" s="214"/>
      <c r="K62" s="66">
        <v>57</v>
      </c>
      <c r="L62" s="67" t="s">
        <v>156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</row>
    <row r="63" spans="1:17" ht="43.5" thickBot="1">
      <c r="A63" s="33" t="s">
        <v>53</v>
      </c>
      <c r="B63" s="33" t="s">
        <v>54</v>
      </c>
      <c r="C63" s="34">
        <v>2016</v>
      </c>
      <c r="D63" s="34">
        <v>2015</v>
      </c>
      <c r="E63" s="35" t="s">
        <v>55</v>
      </c>
      <c r="F63" s="35" t="s">
        <v>56</v>
      </c>
      <c r="G63" s="34" t="s">
        <v>57</v>
      </c>
      <c r="H63" s="36" t="s">
        <v>58</v>
      </c>
      <c r="I63" s="37" t="s">
        <v>59</v>
      </c>
      <c r="J63" s="38"/>
      <c r="K63" s="38" t="s">
        <v>60</v>
      </c>
      <c r="L63" s="38" t="s">
        <v>61</v>
      </c>
      <c r="M63" s="39">
        <v>2016</v>
      </c>
      <c r="N63" s="39">
        <v>2015</v>
      </c>
      <c r="O63" s="39" t="s">
        <v>55</v>
      </c>
      <c r="P63" s="39" t="s">
        <v>56</v>
      </c>
      <c r="Q63" s="44"/>
    </row>
    <row r="64" spans="1:17">
      <c r="A64" s="70"/>
      <c r="B64" s="192"/>
      <c r="C64" s="194"/>
      <c r="D64" s="194"/>
      <c r="E64" s="194"/>
      <c r="F64" s="194"/>
      <c r="G64" s="196"/>
      <c r="H64" s="184"/>
      <c r="I64" s="71"/>
      <c r="J64" s="186" t="s">
        <v>157</v>
      </c>
      <c r="K64" s="64">
        <v>59</v>
      </c>
      <c r="L64" s="65" t="s">
        <v>158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</row>
    <row r="65" spans="1:17" ht="28.5">
      <c r="A65" s="70"/>
      <c r="B65" s="192"/>
      <c r="C65" s="194"/>
      <c r="D65" s="194"/>
      <c r="E65" s="194"/>
      <c r="F65" s="194"/>
      <c r="G65" s="196"/>
      <c r="H65" s="184"/>
      <c r="I65" s="71"/>
      <c r="J65" s="187"/>
      <c r="K65" s="64">
        <v>60</v>
      </c>
      <c r="L65" s="65" t="s">
        <v>159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</row>
    <row r="66" spans="1:17" ht="28.5">
      <c r="A66" s="70"/>
      <c r="B66" s="192"/>
      <c r="C66" s="194"/>
      <c r="D66" s="194"/>
      <c r="E66" s="194"/>
      <c r="F66" s="194"/>
      <c r="G66" s="196"/>
      <c r="H66" s="184"/>
      <c r="I66" s="71"/>
      <c r="J66" s="187"/>
      <c r="K66" s="64">
        <v>61</v>
      </c>
      <c r="L66" s="65" t="s">
        <v>160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</row>
    <row r="67" spans="1:17" ht="28.5">
      <c r="A67" s="70"/>
      <c r="B67" s="192"/>
      <c r="C67" s="194"/>
      <c r="D67" s="194"/>
      <c r="E67" s="194"/>
      <c r="F67" s="194"/>
      <c r="G67" s="196"/>
      <c r="H67" s="184"/>
      <c r="I67" s="71"/>
      <c r="J67" s="187"/>
      <c r="K67" s="64">
        <v>62</v>
      </c>
      <c r="L67" s="65" t="s">
        <v>161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</row>
    <row r="68" spans="1:17">
      <c r="A68" s="70"/>
      <c r="B68" s="192"/>
      <c r="C68" s="194"/>
      <c r="D68" s="194"/>
      <c r="E68" s="194"/>
      <c r="F68" s="194"/>
      <c r="G68" s="196"/>
      <c r="H68" s="184"/>
      <c r="I68" s="71"/>
      <c r="J68" s="187"/>
      <c r="K68" s="64">
        <v>63</v>
      </c>
      <c r="L68" s="65" t="s">
        <v>162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</row>
    <row r="69" spans="1:17" ht="28.5">
      <c r="A69" s="70"/>
      <c r="B69" s="192"/>
      <c r="C69" s="194"/>
      <c r="D69" s="194"/>
      <c r="E69" s="194"/>
      <c r="F69" s="194"/>
      <c r="G69" s="197"/>
      <c r="H69" s="184"/>
      <c r="I69" s="71"/>
      <c r="J69" s="187"/>
      <c r="K69" s="64">
        <v>64</v>
      </c>
      <c r="L69" s="65" t="s">
        <v>163</v>
      </c>
      <c r="M69" s="56">
        <v>85.46</v>
      </c>
      <c r="N69" s="56" t="s">
        <v>11</v>
      </c>
      <c r="O69" s="56"/>
      <c r="P69" s="56"/>
      <c r="Q69" s="44" t="s">
        <v>11</v>
      </c>
    </row>
    <row r="70" spans="1:17" ht="29.25" thickBot="1">
      <c r="A70" s="70"/>
      <c r="B70" s="193"/>
      <c r="C70" s="195"/>
      <c r="D70" s="195"/>
      <c r="E70" s="195"/>
      <c r="F70" s="195"/>
      <c r="G70" s="198"/>
      <c r="H70" s="185"/>
      <c r="I70" s="71"/>
      <c r="J70" s="188"/>
      <c r="K70" s="66">
        <v>65</v>
      </c>
      <c r="L70" s="67" t="s">
        <v>164</v>
      </c>
      <c r="M70" s="54">
        <v>80.86</v>
      </c>
      <c r="N70" s="56" t="s">
        <v>11</v>
      </c>
      <c r="O70" s="54"/>
      <c r="P70" s="54"/>
      <c r="Q70" s="44" t="s">
        <v>11</v>
      </c>
    </row>
    <row r="71" spans="1:17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</row>
    <row r="72" spans="1:17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189" t="s">
        <v>165</v>
      </c>
      <c r="K72" s="38" t="s">
        <v>60</v>
      </c>
      <c r="L72" s="38" t="s">
        <v>61</v>
      </c>
      <c r="M72" s="39">
        <v>2016</v>
      </c>
      <c r="N72" s="39">
        <v>2015</v>
      </c>
      <c r="O72" s="39" t="s">
        <v>55</v>
      </c>
      <c r="P72" s="39" t="s">
        <v>56</v>
      </c>
      <c r="Q72" s="75"/>
    </row>
    <row r="73" spans="1:17">
      <c r="A73" s="70"/>
      <c r="B73" s="72"/>
      <c r="C73" s="72"/>
      <c r="D73" s="72"/>
      <c r="E73" s="72"/>
      <c r="F73" s="72"/>
      <c r="G73" s="72"/>
      <c r="H73" s="72"/>
      <c r="I73" s="71"/>
      <c r="J73" s="190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</row>
    <row r="74" spans="1:17">
      <c r="A74" s="70"/>
      <c r="B74" s="72"/>
      <c r="C74" s="72"/>
      <c r="D74" s="72"/>
      <c r="E74" s="72"/>
      <c r="F74" s="72"/>
      <c r="G74" s="72"/>
      <c r="H74" s="72"/>
      <c r="I74" s="71"/>
      <c r="J74" s="190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</row>
    <row r="75" spans="1:17">
      <c r="A75" s="70"/>
      <c r="B75" s="72"/>
      <c r="C75" s="72"/>
      <c r="D75" s="72"/>
      <c r="E75" s="72"/>
      <c r="F75" s="72"/>
      <c r="G75" s="72"/>
      <c r="H75" s="72"/>
      <c r="I75" s="71"/>
      <c r="J75" s="190"/>
      <c r="K75" s="82"/>
      <c r="L75" s="82" t="s">
        <v>166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</row>
    <row r="76" spans="1:17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</row>
    <row r="77" spans="1:17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55</v>
      </c>
      <c r="P77" s="39" t="s">
        <v>56</v>
      </c>
      <c r="Q77" s="75"/>
    </row>
    <row r="78" spans="1:17">
      <c r="A78" s="70"/>
      <c r="B78" s="72"/>
      <c r="C78" s="72"/>
      <c r="D78" s="72"/>
      <c r="E78" s="72"/>
      <c r="F78" s="72"/>
      <c r="G78" s="72"/>
      <c r="H78" s="72"/>
      <c r="I78" s="71"/>
      <c r="J78" s="191" t="s">
        <v>167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</row>
    <row r="79" spans="1:17">
      <c r="A79" s="70"/>
      <c r="B79" s="72"/>
      <c r="C79" s="72"/>
      <c r="D79" s="72"/>
      <c r="E79" s="72"/>
      <c r="F79" s="72"/>
      <c r="G79" s="72"/>
      <c r="H79" s="72"/>
      <c r="I79" s="71"/>
      <c r="J79" s="191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</row>
    <row r="80" spans="1:17">
      <c r="A80" s="70"/>
      <c r="B80" s="72"/>
      <c r="C80" s="72"/>
      <c r="D80" s="72"/>
      <c r="E80" s="72"/>
      <c r="F80" s="72"/>
      <c r="G80" s="72"/>
      <c r="H80" s="72"/>
      <c r="I80" s="71"/>
      <c r="J80" s="191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</row>
    <row r="81" spans="1:17">
      <c r="A81" s="70"/>
      <c r="B81" s="72"/>
      <c r="C81" s="72"/>
      <c r="D81" s="72"/>
      <c r="E81" s="72"/>
      <c r="F81" s="72"/>
      <c r="G81" s="72"/>
      <c r="H81" s="72"/>
      <c r="I81" s="71"/>
      <c r="J81" s="191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</row>
    <row r="82" spans="1:17">
      <c r="A82" s="70"/>
      <c r="B82" s="72"/>
      <c r="C82" s="72"/>
      <c r="D82" s="72"/>
      <c r="E82" s="72"/>
      <c r="F82" s="72"/>
      <c r="G82" s="72"/>
      <c r="H82" s="72"/>
      <c r="I82" s="71"/>
      <c r="J82" s="191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</row>
    <row r="83" spans="1:17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</row>
    <row r="84" spans="1:17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</row>
    <row r="85" spans="1:17" ht="25.5">
      <c r="A85" s="70"/>
      <c r="B85" s="72"/>
      <c r="C85" s="72"/>
      <c r="D85" s="72"/>
      <c r="E85" s="72"/>
      <c r="F85" s="72"/>
      <c r="G85" s="72"/>
      <c r="H85" s="91" t="s">
        <v>168</v>
      </c>
      <c r="I85" s="92"/>
      <c r="J85" s="92" t="s">
        <v>169</v>
      </c>
      <c r="K85" s="92" t="s">
        <v>60</v>
      </c>
      <c r="L85" s="92" t="s">
        <v>61</v>
      </c>
      <c r="M85" s="92">
        <v>2016</v>
      </c>
      <c r="N85" s="92" t="s">
        <v>170</v>
      </c>
      <c r="O85" s="72"/>
      <c r="P85" s="72"/>
      <c r="Q85" s="75"/>
    </row>
    <row r="86" spans="1:17">
      <c r="A86" s="70"/>
      <c r="B86" s="72"/>
      <c r="C86" s="72"/>
      <c r="D86" s="72"/>
      <c r="E86" s="72"/>
      <c r="F86" s="72"/>
      <c r="G86" s="93">
        <v>1</v>
      </c>
      <c r="H86" s="94" t="s">
        <v>171</v>
      </c>
      <c r="I86" s="95"/>
      <c r="J86" s="95" t="s">
        <v>121</v>
      </c>
      <c r="K86" s="96">
        <v>36</v>
      </c>
      <c r="L86" s="96" t="s">
        <v>124</v>
      </c>
      <c r="M86" s="97">
        <v>96.52</v>
      </c>
      <c r="N86" s="98">
        <v>13.61</v>
      </c>
      <c r="O86" s="72"/>
      <c r="P86" s="72"/>
      <c r="Q86" s="75"/>
    </row>
    <row r="87" spans="1:17">
      <c r="A87" s="70"/>
      <c r="B87" s="72"/>
      <c r="C87" s="72"/>
      <c r="D87" s="72"/>
      <c r="E87" s="72"/>
      <c r="F87" s="72"/>
      <c r="G87" s="93">
        <v>2</v>
      </c>
      <c r="H87" s="99" t="s">
        <v>171</v>
      </c>
      <c r="I87" s="100"/>
      <c r="J87" s="100" t="s">
        <v>121</v>
      </c>
      <c r="K87" s="101">
        <v>37</v>
      </c>
      <c r="L87" s="101" t="s">
        <v>125</v>
      </c>
      <c r="M87" s="102">
        <v>94.97</v>
      </c>
      <c r="N87" s="103">
        <v>12.060000000000002</v>
      </c>
      <c r="O87" s="72"/>
      <c r="P87" s="72"/>
      <c r="Q87" s="75"/>
    </row>
    <row r="88" spans="1:17">
      <c r="A88" s="70"/>
      <c r="B88" s="72"/>
      <c r="C88" s="72"/>
      <c r="D88" s="72"/>
      <c r="E88" s="72"/>
      <c r="F88" s="72"/>
      <c r="G88" s="93">
        <v>3</v>
      </c>
      <c r="H88" s="99" t="s">
        <v>171</v>
      </c>
      <c r="I88" s="100"/>
      <c r="J88" s="100" t="s">
        <v>121</v>
      </c>
      <c r="K88" s="101">
        <v>38</v>
      </c>
      <c r="L88" s="101" t="s">
        <v>126</v>
      </c>
      <c r="M88" s="102">
        <v>93.83</v>
      </c>
      <c r="N88" s="103">
        <v>10.920000000000002</v>
      </c>
      <c r="O88" s="72"/>
      <c r="P88" s="72"/>
      <c r="Q88" s="75"/>
    </row>
    <row r="89" spans="1:17">
      <c r="A89" s="70"/>
      <c r="B89" s="72"/>
      <c r="C89" s="72"/>
      <c r="D89" s="72"/>
      <c r="E89" s="72"/>
      <c r="F89" s="72"/>
      <c r="G89" s="93">
        <v>4</v>
      </c>
      <c r="H89" s="99" t="s">
        <v>172</v>
      </c>
      <c r="I89" s="100"/>
      <c r="J89" s="100" t="s">
        <v>80</v>
      </c>
      <c r="K89" s="101">
        <v>14</v>
      </c>
      <c r="L89" s="101" t="s">
        <v>86</v>
      </c>
      <c r="M89" s="102">
        <v>92.33</v>
      </c>
      <c r="N89" s="103">
        <v>9.4200000000000017</v>
      </c>
      <c r="O89" s="72"/>
      <c r="P89" s="72"/>
      <c r="Q89" s="75"/>
    </row>
    <row r="90" spans="1:17">
      <c r="A90" s="70"/>
      <c r="B90" s="72"/>
      <c r="C90" s="72"/>
      <c r="D90" s="72"/>
      <c r="E90" s="72"/>
      <c r="F90" s="72"/>
      <c r="G90" s="93">
        <v>5</v>
      </c>
      <c r="H90" s="99" t="s">
        <v>171</v>
      </c>
      <c r="I90" s="100"/>
      <c r="J90" s="100" t="s">
        <v>110</v>
      </c>
      <c r="K90" s="101">
        <v>31</v>
      </c>
      <c r="L90" s="101" t="s">
        <v>116</v>
      </c>
      <c r="M90" s="102">
        <v>92.08</v>
      </c>
      <c r="N90" s="103">
        <v>9.1700000000000017</v>
      </c>
      <c r="O90" s="72"/>
      <c r="P90" s="72"/>
      <c r="Q90" s="75"/>
    </row>
    <row r="91" spans="1:17" ht="24">
      <c r="A91" s="70"/>
      <c r="B91" s="72"/>
      <c r="C91" s="72"/>
      <c r="D91" s="72"/>
      <c r="E91" s="72"/>
      <c r="F91" s="72"/>
      <c r="G91" s="93">
        <v>6</v>
      </c>
      <c r="H91" s="99" t="s">
        <v>173</v>
      </c>
      <c r="I91" s="100"/>
      <c r="J91" s="100" t="s">
        <v>99</v>
      </c>
      <c r="K91" s="101">
        <v>21</v>
      </c>
      <c r="L91" s="101" t="s">
        <v>101</v>
      </c>
      <c r="M91" s="102">
        <v>91.17</v>
      </c>
      <c r="N91" s="103">
        <v>8.2600000000000051</v>
      </c>
      <c r="O91" s="72"/>
      <c r="P91" s="72"/>
      <c r="Q91" s="75"/>
    </row>
    <row r="92" spans="1:17">
      <c r="A92" s="70"/>
      <c r="B92" s="72"/>
      <c r="C92" s="72"/>
      <c r="D92" s="72"/>
      <c r="E92" s="72"/>
      <c r="F92" s="72"/>
      <c r="G92" s="93">
        <v>7</v>
      </c>
      <c r="H92" s="99" t="s">
        <v>172</v>
      </c>
      <c r="I92" s="100"/>
      <c r="J92" s="100" t="s">
        <v>63</v>
      </c>
      <c r="K92" s="101">
        <v>4</v>
      </c>
      <c r="L92" s="101" t="s">
        <v>69</v>
      </c>
      <c r="M92" s="102">
        <v>89.51</v>
      </c>
      <c r="N92" s="103">
        <v>6.6000000000000085</v>
      </c>
      <c r="O92" s="72"/>
      <c r="P92" s="72"/>
      <c r="Q92" s="75"/>
    </row>
    <row r="93" spans="1:17">
      <c r="A93" s="70"/>
      <c r="B93" s="72"/>
      <c r="C93" s="72"/>
      <c r="D93" s="72"/>
      <c r="E93" s="72"/>
      <c r="F93" s="72"/>
      <c r="G93" s="93">
        <v>8</v>
      </c>
      <c r="H93" s="99" t="s">
        <v>172</v>
      </c>
      <c r="I93" s="100"/>
      <c r="J93" s="100" t="s">
        <v>70</v>
      </c>
      <c r="K93" s="101">
        <v>9</v>
      </c>
      <c r="L93" s="101" t="s">
        <v>77</v>
      </c>
      <c r="M93" s="102">
        <v>89.17</v>
      </c>
      <c r="N93" s="103">
        <v>6.2600000000000051</v>
      </c>
      <c r="O93" s="72"/>
      <c r="P93" s="72"/>
      <c r="Q93" s="75"/>
    </row>
    <row r="94" spans="1:17">
      <c r="A94" s="70"/>
      <c r="B94" s="72"/>
      <c r="C94" s="72"/>
      <c r="D94" s="72"/>
      <c r="E94" s="72"/>
      <c r="F94" s="72"/>
      <c r="G94" s="93">
        <v>9</v>
      </c>
      <c r="H94" s="99" t="s">
        <v>172</v>
      </c>
      <c r="I94" s="100"/>
      <c r="J94" s="100" t="s">
        <v>70</v>
      </c>
      <c r="K94" s="101">
        <v>5</v>
      </c>
      <c r="L94" s="101" t="s">
        <v>72</v>
      </c>
      <c r="M94" s="102">
        <v>89.01</v>
      </c>
      <c r="N94" s="103">
        <v>6.1000000000000085</v>
      </c>
      <c r="O94" s="72"/>
      <c r="P94" s="72"/>
      <c r="Q94" s="75"/>
    </row>
    <row r="95" spans="1:17">
      <c r="A95" s="70"/>
      <c r="B95" s="72"/>
      <c r="C95" s="72"/>
      <c r="D95" s="72"/>
      <c r="E95" s="72"/>
      <c r="F95" s="72"/>
      <c r="G95" s="93">
        <v>10</v>
      </c>
      <c r="H95" s="99" t="s">
        <v>172</v>
      </c>
      <c r="I95" s="100"/>
      <c r="J95" s="100" t="s">
        <v>70</v>
      </c>
      <c r="K95" s="101">
        <v>10</v>
      </c>
      <c r="L95" s="101" t="s">
        <v>79</v>
      </c>
      <c r="M95" s="102">
        <v>88.56</v>
      </c>
      <c r="N95" s="103">
        <v>5.6500000000000057</v>
      </c>
      <c r="O95" s="72"/>
      <c r="P95" s="72"/>
      <c r="Q95" s="75"/>
    </row>
    <row r="96" spans="1:17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</row>
    <row r="97" spans="1:17" ht="25.5">
      <c r="A97" s="70"/>
      <c r="B97" s="72"/>
      <c r="C97" s="72"/>
      <c r="D97" s="72"/>
      <c r="E97" s="72"/>
      <c r="F97" s="72"/>
      <c r="G97" s="72"/>
      <c r="H97" s="91" t="s">
        <v>168</v>
      </c>
      <c r="I97" s="92"/>
      <c r="J97" s="92" t="s">
        <v>169</v>
      </c>
      <c r="K97" s="92" t="s">
        <v>60</v>
      </c>
      <c r="L97" s="92" t="s">
        <v>61</v>
      </c>
      <c r="M97" s="92">
        <v>2016</v>
      </c>
      <c r="N97" s="92" t="s">
        <v>170</v>
      </c>
      <c r="O97" s="72"/>
      <c r="P97" s="72"/>
      <c r="Q97" s="75"/>
    </row>
    <row r="98" spans="1:17">
      <c r="A98" s="70"/>
      <c r="B98" s="72"/>
      <c r="C98" s="72"/>
      <c r="D98" s="72"/>
      <c r="E98" s="72"/>
      <c r="F98" s="72"/>
      <c r="G98" s="93">
        <v>1</v>
      </c>
      <c r="H98" s="94" t="s">
        <v>171</v>
      </c>
      <c r="I98" s="95"/>
      <c r="J98" s="95" t="s">
        <v>110</v>
      </c>
      <c r="K98" s="96">
        <v>29</v>
      </c>
      <c r="L98" s="96" t="s">
        <v>113</v>
      </c>
      <c r="M98" s="97">
        <v>45.85</v>
      </c>
      <c r="N98" s="98">
        <v>-37.059999999999995</v>
      </c>
      <c r="O98" s="72"/>
      <c r="P98" s="72"/>
      <c r="Q98" s="75"/>
    </row>
    <row r="99" spans="1:17" ht="24">
      <c r="A99" s="70"/>
      <c r="B99" s="72"/>
      <c r="C99" s="72"/>
      <c r="D99" s="72"/>
      <c r="E99" s="72"/>
      <c r="F99" s="72"/>
      <c r="G99" s="93">
        <v>2</v>
      </c>
      <c r="H99" s="94" t="s">
        <v>171</v>
      </c>
      <c r="I99" s="95"/>
      <c r="J99" s="95" t="s">
        <v>117</v>
      </c>
      <c r="K99" s="96">
        <v>32</v>
      </c>
      <c r="L99" s="96" t="s">
        <v>118</v>
      </c>
      <c r="M99" s="97">
        <v>58.81</v>
      </c>
      <c r="N99" s="98">
        <v>-24.099999999999994</v>
      </c>
      <c r="O99" s="72"/>
      <c r="P99" s="72"/>
      <c r="Q99" s="75"/>
    </row>
    <row r="100" spans="1:17">
      <c r="A100" s="70"/>
      <c r="B100" s="72"/>
      <c r="C100" s="72"/>
      <c r="D100" s="72"/>
      <c r="E100" s="72"/>
      <c r="F100" s="72"/>
      <c r="G100" s="93">
        <v>3</v>
      </c>
      <c r="H100" s="94" t="s">
        <v>171</v>
      </c>
      <c r="I100" s="95"/>
      <c r="J100" s="95" t="s">
        <v>110</v>
      </c>
      <c r="K100" s="96">
        <v>28</v>
      </c>
      <c r="L100" s="96" t="s">
        <v>112</v>
      </c>
      <c r="M100" s="97">
        <v>63.94</v>
      </c>
      <c r="N100" s="98">
        <v>-18.97</v>
      </c>
      <c r="O100" s="72"/>
      <c r="P100" s="72"/>
      <c r="Q100" s="75"/>
    </row>
    <row r="101" spans="1:17" ht="24">
      <c r="A101" s="70"/>
      <c r="B101" s="72"/>
      <c r="C101" s="72"/>
      <c r="D101" s="72"/>
      <c r="E101" s="72"/>
      <c r="F101" s="72"/>
      <c r="G101" s="93">
        <v>4</v>
      </c>
      <c r="H101" s="94" t="s">
        <v>173</v>
      </c>
      <c r="I101" s="95"/>
      <c r="J101" s="95" t="s">
        <v>99</v>
      </c>
      <c r="K101" s="96">
        <v>22</v>
      </c>
      <c r="L101" s="96" t="s">
        <v>102</v>
      </c>
      <c r="M101" s="97">
        <v>69.52</v>
      </c>
      <c r="N101" s="98">
        <v>-13.39</v>
      </c>
      <c r="O101" s="72"/>
      <c r="P101" s="72"/>
      <c r="Q101" s="75"/>
    </row>
    <row r="102" spans="1:17" ht="24">
      <c r="A102" s="70"/>
      <c r="B102" s="72"/>
      <c r="C102" s="72"/>
      <c r="D102" s="72"/>
      <c r="E102" s="72"/>
      <c r="F102" s="72"/>
      <c r="G102" s="93">
        <v>5</v>
      </c>
      <c r="H102" s="94" t="s">
        <v>171</v>
      </c>
      <c r="I102" s="95"/>
      <c r="J102" s="95" t="s">
        <v>117</v>
      </c>
      <c r="K102" s="96">
        <v>34</v>
      </c>
      <c r="L102" s="96" t="s">
        <v>120</v>
      </c>
      <c r="M102" s="97">
        <v>71.930000000000007</v>
      </c>
      <c r="N102" s="98">
        <v>-10.97999999999999</v>
      </c>
      <c r="O102" s="72"/>
      <c r="P102" s="72"/>
      <c r="Q102" s="75"/>
    </row>
    <row r="103" spans="1:17">
      <c r="A103" s="70"/>
      <c r="B103" s="72"/>
      <c r="C103" s="72"/>
      <c r="D103" s="72"/>
      <c r="E103" s="72"/>
      <c r="F103" s="72"/>
      <c r="G103" s="93">
        <v>6</v>
      </c>
      <c r="H103" s="94" t="s">
        <v>171</v>
      </c>
      <c r="I103" s="95"/>
      <c r="J103" s="95" t="s">
        <v>110</v>
      </c>
      <c r="K103" s="96">
        <v>30</v>
      </c>
      <c r="L103" s="96" t="s">
        <v>115</v>
      </c>
      <c r="M103" s="97">
        <v>72.17</v>
      </c>
      <c r="N103" s="98">
        <v>-10.739999999999995</v>
      </c>
      <c r="O103" s="72"/>
      <c r="P103" s="72"/>
      <c r="Q103" s="75"/>
    </row>
    <row r="104" spans="1:17" ht="24">
      <c r="A104" s="70"/>
      <c r="B104" s="72"/>
      <c r="C104" s="72"/>
      <c r="D104" s="72"/>
      <c r="E104" s="72"/>
      <c r="F104" s="72"/>
      <c r="G104" s="93">
        <v>7</v>
      </c>
      <c r="H104" s="94" t="s">
        <v>171</v>
      </c>
      <c r="I104" s="95"/>
      <c r="J104" s="95" t="s">
        <v>117</v>
      </c>
      <c r="K104" s="96">
        <v>33</v>
      </c>
      <c r="L104" s="96" t="s">
        <v>119</v>
      </c>
      <c r="M104" s="97">
        <v>73.19</v>
      </c>
      <c r="N104" s="98">
        <v>-9.7199999999999989</v>
      </c>
      <c r="O104" s="72"/>
      <c r="P104" s="72"/>
      <c r="Q104" s="75"/>
    </row>
    <row r="105" spans="1:17" ht="24">
      <c r="A105" s="70"/>
      <c r="B105" s="72"/>
      <c r="C105" s="72"/>
      <c r="D105" s="72"/>
      <c r="E105" s="72"/>
      <c r="F105" s="72"/>
      <c r="G105" s="93">
        <v>8</v>
      </c>
      <c r="H105" s="94" t="s">
        <v>173</v>
      </c>
      <c r="I105" s="95"/>
      <c r="J105" s="95" t="s">
        <v>99</v>
      </c>
      <c r="K105" s="96">
        <v>25</v>
      </c>
      <c r="L105" s="96" t="s">
        <v>106</v>
      </c>
      <c r="M105" s="97">
        <v>75.88</v>
      </c>
      <c r="N105" s="98">
        <v>-7.0300000000000011</v>
      </c>
      <c r="O105" s="72"/>
      <c r="P105" s="72"/>
      <c r="Q105" s="75"/>
    </row>
    <row r="106" spans="1:17">
      <c r="A106" s="70"/>
      <c r="B106" s="72"/>
      <c r="C106" s="72"/>
      <c r="D106" s="72"/>
      <c r="E106" s="72"/>
      <c r="F106" s="72"/>
      <c r="G106" s="93">
        <v>9</v>
      </c>
      <c r="H106" s="94" t="s">
        <v>172</v>
      </c>
      <c r="I106" s="95"/>
      <c r="J106" s="95" t="s">
        <v>70</v>
      </c>
      <c r="K106" s="96">
        <v>7</v>
      </c>
      <c r="L106" s="96" t="s">
        <v>74</v>
      </c>
      <c r="M106" s="97">
        <v>76.25</v>
      </c>
      <c r="N106" s="98">
        <v>-6.6599999999999966</v>
      </c>
      <c r="O106" s="72"/>
      <c r="P106" s="72"/>
      <c r="Q106" s="75"/>
    </row>
    <row r="107" spans="1:17">
      <c r="A107" s="70"/>
      <c r="B107" s="72"/>
      <c r="C107" s="72"/>
      <c r="D107" s="72"/>
      <c r="E107" s="72"/>
      <c r="F107" s="72"/>
      <c r="G107" s="93">
        <v>10</v>
      </c>
      <c r="H107" s="94" t="s">
        <v>174</v>
      </c>
      <c r="I107" s="95"/>
      <c r="J107" s="95" t="s">
        <v>174</v>
      </c>
      <c r="K107" s="96" t="s">
        <v>174</v>
      </c>
      <c r="L107" s="96" t="s">
        <v>174</v>
      </c>
      <c r="M107" s="97" t="s">
        <v>174</v>
      </c>
      <c r="N107" s="98" t="s">
        <v>174</v>
      </c>
      <c r="O107" s="72"/>
      <c r="P107" s="72"/>
      <c r="Q107" s="75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103" priority="102" operator="lessThanOrEqual">
      <formula>-5</formula>
    </cfRule>
    <cfRule type="cellIs" dxfId="102" priority="103" operator="greaterThanOrEqual">
      <formula>5</formula>
    </cfRule>
  </conditionalFormatting>
  <conditionalFormatting sqref="M2:M15">
    <cfRule type="expression" dxfId="101" priority="97">
      <formula>M2=""</formula>
    </cfRule>
    <cfRule type="expression" dxfId="100" priority="98">
      <formula>M2&lt;44.5</formula>
    </cfRule>
    <cfRule type="expression" dxfId="99" priority="99">
      <formula>M2&lt;60.5</formula>
    </cfRule>
    <cfRule type="expression" dxfId="98" priority="100">
      <formula>M2&lt;85.5</formula>
    </cfRule>
    <cfRule type="expression" dxfId="97" priority="101">
      <formula>M2&gt;85.5</formula>
    </cfRule>
  </conditionalFormatting>
  <conditionalFormatting sqref="O2:P15 M2:M15">
    <cfRule type="expression" dxfId="96" priority="92">
      <formula>M2=""</formula>
    </cfRule>
    <cfRule type="expression" dxfId="95" priority="93">
      <formula>M2&lt;44.5</formula>
    </cfRule>
    <cfRule type="expression" dxfId="94" priority="94">
      <formula>M2&lt;60.5</formula>
    </cfRule>
    <cfRule type="expression" dxfId="93" priority="95">
      <formula>M2&lt;85.5</formula>
    </cfRule>
    <cfRule type="expression" dxfId="92" priority="96">
      <formula>M2&gt;85.5</formula>
    </cfRule>
  </conditionalFormatting>
  <conditionalFormatting sqref="N2:N15">
    <cfRule type="expression" dxfId="91" priority="87">
      <formula>N2=""</formula>
    </cfRule>
    <cfRule type="expression" dxfId="90" priority="88">
      <formula>N2&lt;44.5</formula>
    </cfRule>
    <cfRule type="expression" dxfId="89" priority="89">
      <formula>N2&lt;60.5</formula>
    </cfRule>
    <cfRule type="expression" dxfId="88" priority="90">
      <formula>N2&lt;85.5</formula>
    </cfRule>
    <cfRule type="expression" dxfId="87" priority="91">
      <formula>N2&gt;85.5</formula>
    </cfRule>
  </conditionalFormatting>
  <conditionalFormatting sqref="N2:N15">
    <cfRule type="expression" dxfId="86" priority="82">
      <formula>N2=""</formula>
    </cfRule>
    <cfRule type="expression" dxfId="85" priority="83">
      <formula>N2&lt;44.5</formula>
    </cfRule>
    <cfRule type="expression" dxfId="84" priority="84">
      <formula>N2&lt;60.5</formula>
    </cfRule>
    <cfRule type="expression" dxfId="83" priority="85">
      <formula>N2&lt;85.5</formula>
    </cfRule>
    <cfRule type="expression" dxfId="82" priority="86">
      <formula>N2&gt;85.5</formula>
    </cfRule>
  </conditionalFormatting>
  <conditionalFormatting sqref="M17:M29">
    <cfRule type="expression" dxfId="81" priority="77">
      <formula>M17=""</formula>
    </cfRule>
    <cfRule type="expression" dxfId="80" priority="78">
      <formula>M17&lt;44.5</formula>
    </cfRule>
    <cfRule type="expression" dxfId="79" priority="79">
      <formula>M17&lt;60.5</formula>
    </cfRule>
    <cfRule type="expression" dxfId="78" priority="80">
      <formula>M17&lt;85.5</formula>
    </cfRule>
    <cfRule type="expression" dxfId="77" priority="81">
      <formula>M17&gt;85.5</formula>
    </cfRule>
  </conditionalFormatting>
  <conditionalFormatting sqref="O17:P29">
    <cfRule type="expression" dxfId="76" priority="72">
      <formula>O17=""</formula>
    </cfRule>
    <cfRule type="expression" dxfId="75" priority="73">
      <formula>O17&lt;44.5</formula>
    </cfRule>
    <cfRule type="expression" dxfId="74" priority="74">
      <formula>O17&lt;60.5</formula>
    </cfRule>
    <cfRule type="expression" dxfId="73" priority="75">
      <formula>O17&lt;85.5</formula>
    </cfRule>
    <cfRule type="expression" dxfId="72" priority="76">
      <formula>O17&gt;85.5</formula>
    </cfRule>
  </conditionalFormatting>
  <conditionalFormatting sqref="N17:N29">
    <cfRule type="expression" dxfId="71" priority="67">
      <formula>N17=""</formula>
    </cfRule>
    <cfRule type="expression" dxfId="70" priority="68">
      <formula>N17&lt;44.5</formula>
    </cfRule>
    <cfRule type="expression" dxfId="69" priority="69">
      <formula>N17&lt;60.5</formula>
    </cfRule>
    <cfRule type="expression" dxfId="68" priority="70">
      <formula>N17&lt;85.5</formula>
    </cfRule>
    <cfRule type="expression" dxfId="67" priority="71">
      <formula>N17&gt;85.5</formula>
    </cfRule>
  </conditionalFormatting>
  <conditionalFormatting sqref="M31:M42">
    <cfRule type="expression" dxfId="66" priority="62">
      <formula>M31=""</formula>
    </cfRule>
    <cfRule type="expression" dxfId="65" priority="63">
      <formula>M31&lt;44.5</formula>
    </cfRule>
    <cfRule type="expression" dxfId="64" priority="64">
      <formula>M31&lt;60.5</formula>
    </cfRule>
    <cfRule type="expression" dxfId="63" priority="65">
      <formula>M31&lt;85.5</formula>
    </cfRule>
    <cfRule type="expression" dxfId="62" priority="66">
      <formula>M31&gt;85.5</formula>
    </cfRule>
  </conditionalFormatting>
  <conditionalFormatting sqref="O31:P42">
    <cfRule type="expression" dxfId="61" priority="57">
      <formula>O31=""</formula>
    </cfRule>
    <cfRule type="expression" dxfId="60" priority="58">
      <formula>O31&lt;44.5</formula>
    </cfRule>
    <cfRule type="expression" dxfId="59" priority="59">
      <formula>O31&lt;60.5</formula>
    </cfRule>
    <cfRule type="expression" dxfId="58" priority="60">
      <formula>O31&lt;85.5</formula>
    </cfRule>
    <cfRule type="expression" dxfId="57" priority="61">
      <formula>O31&gt;85.5</formula>
    </cfRule>
  </conditionalFormatting>
  <conditionalFormatting sqref="N31:N42">
    <cfRule type="expression" dxfId="56" priority="52">
      <formula>N31=""</formula>
    </cfRule>
    <cfRule type="expression" dxfId="55" priority="53">
      <formula>N31&lt;44.5</formula>
    </cfRule>
    <cfRule type="expression" dxfId="54" priority="54">
      <formula>N31&lt;60.5</formula>
    </cfRule>
    <cfRule type="expression" dxfId="53" priority="55">
      <formula>N31&lt;85.5</formula>
    </cfRule>
    <cfRule type="expression" dxfId="52" priority="56">
      <formula>N31&gt;85.5</formula>
    </cfRule>
  </conditionalFormatting>
  <conditionalFormatting sqref="M44:M51">
    <cfRule type="expression" dxfId="51" priority="47">
      <formula>M44=""</formula>
    </cfRule>
    <cfRule type="expression" dxfId="50" priority="48">
      <formula>M44&lt;44.5</formula>
    </cfRule>
    <cfRule type="expression" dxfId="49" priority="49">
      <formula>M44&lt;60.5</formula>
    </cfRule>
    <cfRule type="expression" dxfId="48" priority="50">
      <formula>M44&lt;85.5</formula>
    </cfRule>
    <cfRule type="expression" dxfId="47" priority="51">
      <formula>M44&gt;85.5</formula>
    </cfRule>
  </conditionalFormatting>
  <conditionalFormatting sqref="O44:P51">
    <cfRule type="expression" dxfId="46" priority="42">
      <formula>O44=""</formula>
    </cfRule>
    <cfRule type="expression" dxfId="45" priority="43">
      <formula>O44&lt;44.5</formula>
    </cfRule>
    <cfRule type="expression" dxfId="44" priority="44">
      <formula>O44&lt;60.5</formula>
    </cfRule>
    <cfRule type="expression" dxfId="43" priority="45">
      <formula>O44&lt;85.5</formula>
    </cfRule>
    <cfRule type="expression" dxfId="42" priority="46">
      <formula>O44&gt;85.5</formula>
    </cfRule>
  </conditionalFormatting>
  <conditionalFormatting sqref="N44:N51">
    <cfRule type="expression" dxfId="41" priority="37">
      <formula>N44=""</formula>
    </cfRule>
    <cfRule type="expression" dxfId="40" priority="38">
      <formula>N44&lt;44.5</formula>
    </cfRule>
    <cfRule type="expression" dxfId="39" priority="39">
      <formula>N44&lt;60.5</formula>
    </cfRule>
    <cfRule type="expression" dxfId="38" priority="40">
      <formula>N44&lt;85.5</formula>
    </cfRule>
    <cfRule type="expression" dxfId="37" priority="41">
      <formula>N44&gt;85.5</formula>
    </cfRule>
  </conditionalFormatting>
  <conditionalFormatting sqref="M53:M62">
    <cfRule type="expression" dxfId="36" priority="32">
      <formula>M53=""</formula>
    </cfRule>
    <cfRule type="expression" dxfId="35" priority="33">
      <formula>M53&lt;44.5</formula>
    </cfRule>
    <cfRule type="expression" dxfId="34" priority="34">
      <formula>M53&lt;60.5</formula>
    </cfRule>
    <cfRule type="expression" dxfId="33" priority="35">
      <formula>M53&lt;85.5</formula>
    </cfRule>
    <cfRule type="expression" dxfId="32" priority="36">
      <formula>M53&gt;85.5</formula>
    </cfRule>
  </conditionalFormatting>
  <conditionalFormatting sqref="O53:P62">
    <cfRule type="expression" dxfId="31" priority="27">
      <formula>O53=""</formula>
    </cfRule>
    <cfRule type="expression" dxfId="30" priority="28">
      <formula>O53&lt;44.5</formula>
    </cfRule>
    <cfRule type="expression" dxfId="29" priority="29">
      <formula>O53&lt;60.5</formula>
    </cfRule>
    <cfRule type="expression" dxfId="28" priority="30">
      <formula>O53&lt;85.5</formula>
    </cfRule>
    <cfRule type="expression" dxfId="27" priority="31">
      <formula>O53&gt;85.5</formula>
    </cfRule>
  </conditionalFormatting>
  <conditionalFormatting sqref="N53:N62">
    <cfRule type="expression" dxfId="26" priority="22">
      <formula>N53=""</formula>
    </cfRule>
    <cfRule type="expression" dxfId="25" priority="23">
      <formula>N53&lt;44.5</formula>
    </cfRule>
    <cfRule type="expression" dxfId="24" priority="24">
      <formula>N53&lt;60.5</formula>
    </cfRule>
    <cfRule type="expression" dxfId="23" priority="25">
      <formula>N53&lt;85.5</formula>
    </cfRule>
    <cfRule type="expression" dxfId="22" priority="26">
      <formula>N53&gt;85.5</formula>
    </cfRule>
  </conditionalFormatting>
  <conditionalFormatting sqref="Q63:Q70">
    <cfRule type="cellIs" dxfId="21" priority="20" operator="lessThanOrEqual">
      <formula>-5</formula>
    </cfRule>
    <cfRule type="cellIs" dxfId="20" priority="21" operator="greaterThanOrEqual">
      <formula>5</formula>
    </cfRule>
  </conditionalFormatting>
  <conditionalFormatting sqref="M64:M70">
    <cfRule type="expression" dxfId="19" priority="15">
      <formula>M64=""</formula>
    </cfRule>
    <cfRule type="expression" dxfId="18" priority="16">
      <formula>M64&lt;44.5</formula>
    </cfRule>
    <cfRule type="expression" dxfId="17" priority="17">
      <formula>M64&lt;60.5</formula>
    </cfRule>
    <cfRule type="expression" dxfId="16" priority="18">
      <formula>M64&lt;85.5</formula>
    </cfRule>
    <cfRule type="expression" dxfId="15" priority="19">
      <formula>M64&gt;85.5</formula>
    </cfRule>
  </conditionalFormatting>
  <conditionalFormatting sqref="O64:P70">
    <cfRule type="expression" dxfId="14" priority="10">
      <formula>O64=""</formula>
    </cfRule>
    <cfRule type="expression" dxfId="13" priority="11">
      <formula>O64&lt;44.5</formula>
    </cfRule>
    <cfRule type="expression" dxfId="12" priority="12">
      <formula>O64&lt;60.5</formula>
    </cfRule>
    <cfRule type="expression" dxfId="11" priority="13">
      <formula>O64&lt;85.5</formula>
    </cfRule>
    <cfRule type="expression" dxfId="10" priority="14">
      <formula>O64&gt;85.5</formula>
    </cfRule>
  </conditionalFormatting>
  <conditionalFormatting sqref="N64:N68">
    <cfRule type="expression" dxfId="9" priority="5">
      <formula>N64=""</formula>
    </cfRule>
    <cfRule type="expression" dxfId="8" priority="6">
      <formula>N64&lt;44.5</formula>
    </cfRule>
    <cfRule type="expression" dxfId="7" priority="7">
      <formula>N64&lt;60.5</formula>
    </cfRule>
    <cfRule type="expression" dxfId="6" priority="8">
      <formula>N64&lt;85.5</formula>
    </cfRule>
    <cfRule type="expression" dxfId="5" priority="9">
      <formula>N64&gt;85.5</formula>
    </cfRule>
  </conditionalFormatting>
  <conditionalFormatting sqref="J86 H86">
    <cfRule type="expression" dxfId="4" priority="3">
      <formula>$C86="IMPARCIALIDAD"</formula>
    </cfRule>
  </conditionalFormatting>
  <conditionalFormatting sqref="J98:J107 H98:H107 J86:J96 H86:H96">
    <cfRule type="expression" dxfId="3" priority="4">
      <formula>$C86="RESPETO"</formula>
    </cfRule>
    <cfRule type="expression" dxfId="2" priority="104">
      <formula>$C86="CREDIBILIDAD"</formula>
    </cfRule>
  </conditionalFormatting>
  <conditionalFormatting sqref="I86">
    <cfRule type="expression" dxfId="1" priority="1">
      <formula>$C86="IMPARCIALIDAD"</formula>
    </cfRule>
  </conditionalFormatting>
  <conditionalFormatting sqref="I98:I107 I86:I96">
    <cfRule type="expression" dxfId="0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289" t="s">
        <v>30</v>
      </c>
      <c r="D11" s="290"/>
      <c r="E11" s="290"/>
      <c r="F11" s="290"/>
      <c r="G11" s="290"/>
      <c r="H11" s="11"/>
    </row>
    <row r="12" spans="2:9">
      <c r="H12" s="11"/>
    </row>
    <row r="13" spans="2:9">
      <c r="C13" s="295" t="s">
        <v>31</v>
      </c>
      <c r="D13" s="295"/>
      <c r="E13" s="296"/>
      <c r="G13" s="287" t="s">
        <v>32</v>
      </c>
      <c r="H13" s="287"/>
      <c r="I13" s="11"/>
    </row>
    <row r="14" spans="2:9">
      <c r="C14" s="281" t="s">
        <v>33</v>
      </c>
      <c r="D14" s="282"/>
      <c r="E14" s="136">
        <v>1.96</v>
      </c>
      <c r="G14" s="138" t="s">
        <v>33</v>
      </c>
      <c r="H14" s="138" t="s">
        <v>34</v>
      </c>
      <c r="I14" s="11"/>
    </row>
    <row r="15" spans="2:9">
      <c r="C15" s="293" t="s">
        <v>35</v>
      </c>
      <c r="D15" s="282"/>
      <c r="E15" s="136">
        <v>0.05</v>
      </c>
      <c r="G15" s="139">
        <v>1.282</v>
      </c>
      <c r="H15" s="140">
        <v>0.8</v>
      </c>
      <c r="I15" s="11"/>
    </row>
    <row r="16" spans="2:9">
      <c r="C16" s="281" t="s">
        <v>36</v>
      </c>
      <c r="D16" s="282"/>
      <c r="E16" s="136">
        <v>0.5</v>
      </c>
      <c r="G16" s="139">
        <v>1.44</v>
      </c>
      <c r="H16" s="140">
        <v>0.85</v>
      </c>
      <c r="I16" s="11"/>
    </row>
    <row r="17" spans="3:9">
      <c r="C17" s="281" t="s">
        <v>37</v>
      </c>
      <c r="D17" s="282"/>
      <c r="E17" s="136">
        <v>0.5</v>
      </c>
      <c r="G17" s="139">
        <v>1.65</v>
      </c>
      <c r="H17" s="140">
        <v>0.9</v>
      </c>
      <c r="I17" s="11"/>
    </row>
    <row r="18" spans="3:9">
      <c r="C18" s="294" t="s">
        <v>38</v>
      </c>
      <c r="D18" s="282"/>
      <c r="E18" s="137">
        <v>115</v>
      </c>
      <c r="G18" s="139">
        <v>1.96</v>
      </c>
      <c r="H18" s="140">
        <v>0.95</v>
      </c>
      <c r="I18" s="11"/>
    </row>
    <row r="19" spans="3:9">
      <c r="I19" s="11"/>
    </row>
    <row r="20" spans="3:9">
      <c r="C20" s="287" t="s">
        <v>39</v>
      </c>
      <c r="D20" s="287"/>
      <c r="E20" s="288"/>
      <c r="I20" s="11"/>
    </row>
    <row r="21" spans="3:9">
      <c r="C21" s="281" t="s">
        <v>40</v>
      </c>
      <c r="D21" s="282"/>
      <c r="E21" s="136">
        <f>+(E16*E17)</f>
        <v>0.25</v>
      </c>
      <c r="I21" s="11"/>
    </row>
    <row r="22" spans="3:9">
      <c r="C22" s="281" t="s">
        <v>41</v>
      </c>
      <c r="D22" s="282"/>
      <c r="E22" s="141">
        <f>+E15/E14</f>
        <v>2.5510204081632654E-2</v>
      </c>
      <c r="I22" s="11"/>
    </row>
    <row r="23" spans="3:9">
      <c r="C23" s="281" t="s">
        <v>52</v>
      </c>
      <c r="D23" s="282"/>
      <c r="E23" s="141">
        <f>+E22*E22</f>
        <v>6.5077051228654734E-4</v>
      </c>
      <c r="I23" s="11"/>
    </row>
    <row r="24" spans="3:9">
      <c r="C24" s="281" t="s">
        <v>42</v>
      </c>
      <c r="D24" s="282"/>
      <c r="E24" s="136">
        <f>+E21/E18</f>
        <v>2.1739130434782609E-3</v>
      </c>
      <c r="I24" s="11"/>
    </row>
    <row r="25" spans="3:9" ht="15.75" thickBot="1">
      <c r="C25" s="284" t="s">
        <v>43</v>
      </c>
      <c r="D25" s="282"/>
      <c r="E25" s="142">
        <f>+E21/(E23+E24)</f>
        <v>88.505489221892788</v>
      </c>
      <c r="I25" s="11"/>
    </row>
    <row r="26" spans="3:9" ht="15.75" thickBot="1">
      <c r="C26" s="284" t="s">
        <v>44</v>
      </c>
      <c r="D26" s="282"/>
      <c r="E26" s="142">
        <f>+E25*2</f>
        <v>177.01097844378558</v>
      </c>
      <c r="G26" s="291" t="s">
        <v>45</v>
      </c>
      <c r="H26" s="292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89" t="s">
        <v>46</v>
      </c>
      <c r="D29" s="290"/>
      <c r="E29" s="290"/>
      <c r="F29" s="290"/>
      <c r="G29" s="290"/>
      <c r="H29" s="11"/>
    </row>
    <row r="30" spans="3:9">
      <c r="C30" s="287" t="s">
        <v>31</v>
      </c>
      <c r="D30" s="287"/>
      <c r="E30" s="288"/>
      <c r="G30" s="31"/>
      <c r="H30" s="31"/>
      <c r="I30" s="22"/>
    </row>
    <row r="31" spans="3:9" ht="20.100000000000001" customHeight="1">
      <c r="C31" s="281" t="s">
        <v>33</v>
      </c>
      <c r="D31" s="282"/>
      <c r="E31" s="143">
        <v>1.65</v>
      </c>
      <c r="G31" s="25"/>
      <c r="H31" s="25"/>
      <c r="I31" s="11"/>
    </row>
    <row r="32" spans="3:9">
      <c r="C32" s="281" t="s">
        <v>36</v>
      </c>
      <c r="D32" s="282"/>
      <c r="E32" s="136">
        <v>0.5</v>
      </c>
      <c r="G32" s="25"/>
      <c r="H32" s="25"/>
      <c r="I32" s="11"/>
    </row>
    <row r="33" spans="3:9">
      <c r="C33" s="281" t="s">
        <v>37</v>
      </c>
      <c r="D33" s="282"/>
      <c r="E33" s="136">
        <v>0.5</v>
      </c>
      <c r="G33" s="25"/>
      <c r="H33" s="25"/>
      <c r="I33" s="11"/>
    </row>
    <row r="34" spans="3:9">
      <c r="C34" s="285" t="s">
        <v>38</v>
      </c>
      <c r="D34" s="286"/>
      <c r="E34" s="137">
        <f>$G$3</f>
        <v>5231</v>
      </c>
      <c r="G34" s="26"/>
      <c r="H34" s="26"/>
      <c r="I34" s="11"/>
    </row>
    <row r="35" spans="3:9">
      <c r="C35" s="285" t="s">
        <v>43</v>
      </c>
      <c r="D35" s="286"/>
      <c r="E35" s="137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7" t="s">
        <v>39</v>
      </c>
      <c r="D37" s="287"/>
      <c r="E37" s="288"/>
      <c r="G37" s="31"/>
      <c r="H37" s="31"/>
      <c r="I37" s="11"/>
    </row>
    <row r="38" spans="3:9">
      <c r="C38" s="281" t="s">
        <v>40</v>
      </c>
      <c r="D38" s="282"/>
      <c r="E38" s="144">
        <f>+(E32*E33)</f>
        <v>0.25</v>
      </c>
      <c r="F38" s="23"/>
      <c r="G38" s="25"/>
      <c r="H38" s="28"/>
      <c r="I38" s="11"/>
    </row>
    <row r="39" spans="3:9">
      <c r="C39" s="281" t="s">
        <v>47</v>
      </c>
      <c r="D39" s="282"/>
      <c r="E39" s="141">
        <f>(1/E35)-(1/E34)</f>
        <v>1.3498357073878575E-5</v>
      </c>
      <c r="F39" s="23"/>
      <c r="G39" s="25"/>
      <c r="H39" s="29"/>
      <c r="I39" s="11"/>
    </row>
    <row r="40" spans="3:9">
      <c r="C40" s="281" t="s">
        <v>48</v>
      </c>
      <c r="D40" s="282"/>
      <c r="E40" s="145">
        <f>+E38*E39</f>
        <v>3.3745892684696436E-6</v>
      </c>
      <c r="F40" s="23"/>
      <c r="G40" s="25"/>
      <c r="H40" s="30"/>
      <c r="I40" s="11"/>
    </row>
    <row r="41" spans="3:9" ht="15.75" thickBot="1">
      <c r="C41" s="281" t="s">
        <v>49</v>
      </c>
      <c r="D41" s="283"/>
      <c r="E41" s="145">
        <f>SQRT(E40)</f>
        <v>1.8370055167227027E-3</v>
      </c>
      <c r="F41" s="23"/>
      <c r="G41" s="25"/>
      <c r="H41" s="30"/>
      <c r="I41" s="11"/>
    </row>
    <row r="42" spans="3:9" ht="15.75" thickBot="1">
      <c r="C42" s="284" t="s">
        <v>50</v>
      </c>
      <c r="D42" s="282"/>
      <c r="E42" s="146">
        <f>+E41*E31</f>
        <v>3.0310591025924593E-3</v>
      </c>
      <c r="G42" s="291" t="s">
        <v>51</v>
      </c>
      <c r="H42" s="292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/>
  <dimension ref="B2:J13"/>
  <sheetViews>
    <sheetView topLeftCell="F1" workbookViewId="0">
      <selection activeCell="L19" sqref="L19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297" t="s">
        <v>284</v>
      </c>
      <c r="C2" s="297"/>
      <c r="D2" s="297"/>
      <c r="E2" s="297"/>
      <c r="F2" s="297"/>
      <c r="G2" s="297"/>
      <c r="H2" s="297"/>
      <c r="I2" s="297"/>
      <c r="J2" s="297"/>
    </row>
    <row r="3" spans="2:10" ht="20.100000000000001" customHeight="1">
      <c r="B3" s="149" t="s">
        <v>287</v>
      </c>
      <c r="C3" s="149" t="s">
        <v>282</v>
      </c>
      <c r="D3" s="149" t="s">
        <v>288</v>
      </c>
      <c r="E3" s="149" t="s">
        <v>285</v>
      </c>
      <c r="F3" s="149" t="s">
        <v>286</v>
      </c>
      <c r="G3" s="149" t="s">
        <v>279</v>
      </c>
      <c r="H3" s="149" t="s">
        <v>280</v>
      </c>
      <c r="I3" s="149" t="s">
        <v>283</v>
      </c>
      <c r="J3" s="149" t="s">
        <v>254</v>
      </c>
    </row>
    <row r="4" spans="2:10">
      <c r="B4" s="148" t="s">
        <v>289</v>
      </c>
      <c r="C4" s="148" t="s">
        <v>176</v>
      </c>
      <c r="D4" s="148" t="s">
        <v>281</v>
      </c>
      <c r="E4" s="148" t="s">
        <v>290</v>
      </c>
      <c r="F4" s="148" t="s">
        <v>291</v>
      </c>
      <c r="G4" s="148" t="s">
        <v>292</v>
      </c>
      <c r="H4" s="148" t="s">
        <v>293</v>
      </c>
      <c r="I4" s="148">
        <v>1</v>
      </c>
      <c r="J4" s="152"/>
    </row>
    <row r="5" spans="2:10">
      <c r="B5" s="148" t="s">
        <v>294</v>
      </c>
      <c r="C5" s="148" t="s">
        <v>177</v>
      </c>
      <c r="D5" s="148" t="s">
        <v>281</v>
      </c>
      <c r="E5" s="148" t="s">
        <v>257</v>
      </c>
      <c r="F5" s="148" t="s">
        <v>258</v>
      </c>
      <c r="G5" s="148" t="s">
        <v>261</v>
      </c>
      <c r="H5" s="148" t="s">
        <v>262</v>
      </c>
      <c r="I5" s="148">
        <v>2</v>
      </c>
      <c r="J5" s="152"/>
    </row>
    <row r="6" spans="2:10">
      <c r="B6" s="148" t="s">
        <v>295</v>
      </c>
      <c r="C6" s="148" t="s">
        <v>178</v>
      </c>
      <c r="D6" s="148" t="s">
        <v>281</v>
      </c>
      <c r="E6" s="148" t="s">
        <v>263</v>
      </c>
      <c r="F6" s="148" t="s">
        <v>264</v>
      </c>
      <c r="G6" s="148" t="s">
        <v>265</v>
      </c>
      <c r="H6" s="148" t="s">
        <v>266</v>
      </c>
      <c r="I6" s="148">
        <v>1</v>
      </c>
      <c r="J6" s="152"/>
    </row>
    <row r="7" spans="2:10">
      <c r="B7" s="148" t="s">
        <v>296</v>
      </c>
      <c r="C7" s="148" t="s">
        <v>179</v>
      </c>
      <c r="D7" s="148" t="s">
        <v>281</v>
      </c>
      <c r="E7" s="148" t="s">
        <v>267</v>
      </c>
      <c r="F7" s="148" t="s">
        <v>268</v>
      </c>
      <c r="G7" s="148" t="s">
        <v>269</v>
      </c>
      <c r="H7" s="148" t="s">
        <v>270</v>
      </c>
      <c r="I7" s="148">
        <v>2</v>
      </c>
      <c r="J7" s="152"/>
    </row>
    <row r="8" spans="2:10">
      <c r="B8" s="148" t="s">
        <v>297</v>
      </c>
      <c r="C8" s="148" t="s">
        <v>180</v>
      </c>
      <c r="D8" s="148" t="s">
        <v>281</v>
      </c>
      <c r="E8" s="148" t="s">
        <v>255</v>
      </c>
      <c r="F8" s="148" t="s">
        <v>256</v>
      </c>
      <c r="G8" s="148" t="s">
        <v>259</v>
      </c>
      <c r="H8" s="148" t="s">
        <v>260</v>
      </c>
      <c r="I8" s="148">
        <v>1</v>
      </c>
      <c r="J8" s="152"/>
    </row>
    <row r="9" spans="2:10">
      <c r="B9" s="148" t="s">
        <v>298</v>
      </c>
      <c r="C9" s="148" t="s">
        <v>181</v>
      </c>
      <c r="D9" s="148" t="s">
        <v>281</v>
      </c>
      <c r="E9" s="148" t="s">
        <v>271</v>
      </c>
      <c r="F9" s="148" t="s">
        <v>272</v>
      </c>
      <c r="G9" s="148" t="s">
        <v>273</v>
      </c>
      <c r="H9" s="148" t="s">
        <v>274</v>
      </c>
      <c r="I9" s="148">
        <v>1</v>
      </c>
      <c r="J9" s="152"/>
    </row>
    <row r="10" spans="2:10">
      <c r="B10" s="148" t="s">
        <v>299</v>
      </c>
      <c r="C10" s="148" t="s">
        <v>182</v>
      </c>
      <c r="D10" s="148" t="s">
        <v>281</v>
      </c>
      <c r="E10" s="148" t="s">
        <v>275</v>
      </c>
      <c r="F10" s="148" t="s">
        <v>276</v>
      </c>
      <c r="G10" s="148" t="s">
        <v>277</v>
      </c>
      <c r="H10" s="148" t="s">
        <v>278</v>
      </c>
      <c r="I10" s="148">
        <v>1</v>
      </c>
      <c r="J10" s="152"/>
    </row>
    <row r="11" spans="2:10">
      <c r="B11" s="148" t="s">
        <v>300</v>
      </c>
      <c r="C11" s="148" t="s">
        <v>183</v>
      </c>
      <c r="D11" s="148" t="s">
        <v>281</v>
      </c>
      <c r="E11" s="148" t="s">
        <v>301</v>
      </c>
      <c r="F11" s="148" t="s">
        <v>302</v>
      </c>
      <c r="G11" s="148" t="s">
        <v>303</v>
      </c>
      <c r="H11" s="148" t="s">
        <v>304</v>
      </c>
      <c r="I11" s="148">
        <v>1</v>
      </c>
      <c r="J11" s="152"/>
    </row>
    <row r="12" spans="2:10">
      <c r="B12" s="148" t="s">
        <v>305</v>
      </c>
      <c r="C12" s="148" t="s">
        <v>184</v>
      </c>
      <c r="D12" s="148" t="s">
        <v>281</v>
      </c>
      <c r="E12" s="148" t="s">
        <v>306</v>
      </c>
      <c r="F12" s="148" t="s">
        <v>307</v>
      </c>
      <c r="G12" s="148" t="s">
        <v>308</v>
      </c>
      <c r="H12" s="148" t="s">
        <v>309</v>
      </c>
      <c r="I12" s="148">
        <v>1</v>
      </c>
      <c r="J12" s="152"/>
    </row>
    <row r="13" spans="2:10">
      <c r="B13" s="150" t="s">
        <v>310</v>
      </c>
      <c r="C13" s="150" t="s">
        <v>185</v>
      </c>
      <c r="D13" s="150" t="s">
        <v>281</v>
      </c>
      <c r="E13" s="150" t="s">
        <v>311</v>
      </c>
      <c r="F13" s="150" t="s">
        <v>312</v>
      </c>
      <c r="G13" s="150" t="s">
        <v>313</v>
      </c>
      <c r="H13" s="150" t="s">
        <v>314</v>
      </c>
      <c r="I13" s="150">
        <v>1</v>
      </c>
      <c r="J13" s="151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DropDowns_Demo2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DropDowns_Demo3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DropDowns_Demo4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DropDowns_Demo5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DropDowns_Demo7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8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19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0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1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2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3" name="Button 21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4" name="Button 22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tabSelected="1" workbookViewId="0"/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Referencia Datos</vt:lpstr>
      <vt:lpstr>Demografia</vt:lpstr>
      <vt:lpstr>Indicadores</vt:lpstr>
      <vt:lpstr>Ficha Tecnica</vt:lpstr>
      <vt:lpstr>Cuadro de Mando Demografias</vt:lpstr>
      <vt:lpstr>Graficos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2017-03-12T02:52:21Z</dcterms:modified>
</cp:coreProperties>
</file>