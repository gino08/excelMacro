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activeTab="5"/>
  </bookViews>
  <sheets>
    <sheet name="Referencia Datos" sheetId="1" r:id="rId1"/>
    <sheet name="Demografia" sheetId="2" r:id="rId2"/>
    <sheet name="Indicadores" sheetId="3" r:id="rId3"/>
    <sheet name="Ficha Tecnica" sheetId="5" r:id="rId4"/>
    <sheet name="Cuadro de Mando Demografias" sheetId="259" r:id="rId5"/>
    <sheet name="Graficos" sheetId="260" r:id="rId6"/>
  </sheets>
  <functionGroups builtInGroupCount="18"/>
  <calcPr calcId="152511"/>
</workbook>
</file>

<file path=xl/calcChain.xml><?xml version="1.0" encoding="utf-8"?>
<calcChain xmlns="http://schemas.openxmlformats.org/spreadsheetml/2006/main">
  <c r="BI18" i="2" l="1"/>
  <c r="BH18" i="2"/>
  <c r="BG18" i="2"/>
  <c r="BF18" i="2"/>
  <c r="BE18" i="2"/>
  <c r="BD18" i="2"/>
  <c r="BC18" i="2"/>
  <c r="BA18" i="2"/>
  <c r="AZ18" i="2"/>
  <c r="AY18" i="2"/>
  <c r="AX18" i="2"/>
  <c r="AW18" i="2"/>
  <c r="AV18" i="2"/>
  <c r="AU18" i="2"/>
  <c r="AS18" i="2"/>
  <c r="AR18" i="2"/>
  <c r="AQ18" i="2"/>
  <c r="AP18" i="2"/>
  <c r="AO18" i="2"/>
  <c r="AN18" i="2"/>
  <c r="AM18" i="2"/>
  <c r="BQ17" i="2"/>
  <c r="BO17" i="2"/>
  <c r="BI17" i="2"/>
  <c r="BG17" i="2"/>
  <c r="BE17" i="2"/>
  <c r="BC17" i="2"/>
  <c r="AS17" i="2"/>
  <c r="AQ17" i="2"/>
  <c r="AO17" i="2"/>
  <c r="AM17" i="2"/>
  <c r="AE17" i="2"/>
  <c r="W17" i="2"/>
  <c r="U17" i="2"/>
  <c r="S17" i="2"/>
  <c r="M17" i="2"/>
  <c r="K17" i="2"/>
  <c r="BS16" i="2"/>
  <c r="BU17" i="2" s="1"/>
  <c r="BN16" i="2"/>
  <c r="BP17" i="2" s="1"/>
  <c r="BK16" i="2"/>
  <c r="BK17" i="2" s="1"/>
  <c r="BC16" i="2"/>
  <c r="BH17" i="2" s="1"/>
  <c r="AU16" i="2"/>
  <c r="BA17" i="2" s="1"/>
  <c r="AM16" i="2"/>
  <c r="AR17" i="2" s="1"/>
  <c r="AH16" i="2"/>
  <c r="AK17" i="2" s="1"/>
  <c r="AE16" i="2"/>
  <c r="AF17" i="2" s="1"/>
  <c r="Y16" i="2"/>
  <c r="AC17" i="2" s="1"/>
  <c r="S16" i="2"/>
  <c r="V17" i="2" s="1"/>
  <c r="P16" i="2"/>
  <c r="Q17" i="2" s="1"/>
  <c r="J16" i="2"/>
  <c r="N17" i="2" s="1"/>
  <c r="P17" i="2" l="1"/>
  <c r="Z17" i="2"/>
  <c r="AB17" i="2"/>
  <c r="AH17" i="2"/>
  <c r="AJ17" i="2"/>
  <c r="AV17" i="2"/>
  <c r="AX17" i="2"/>
  <c r="AZ17" i="2"/>
  <c r="BL17" i="2"/>
  <c r="BT17" i="2"/>
  <c r="BV17" i="2"/>
  <c r="J17" i="2"/>
  <c r="L17" i="2"/>
  <c r="T17" i="2"/>
  <c r="Y17" i="2"/>
  <c r="AA17" i="2"/>
  <c r="AI17" i="2"/>
  <c r="AN17" i="2"/>
  <c r="AP17" i="2"/>
  <c r="AU17" i="2"/>
  <c r="AW17" i="2"/>
  <c r="AY17" i="2"/>
  <c r="BD17" i="2"/>
  <c r="BF17" i="2"/>
  <c r="BN17" i="2"/>
  <c r="BS17" i="2"/>
  <c r="I42" i="5" l="1"/>
  <c r="E42" i="5"/>
  <c r="E41" i="5"/>
  <c r="E40" i="5"/>
  <c r="E39" i="5"/>
  <c r="E38" i="5"/>
  <c r="E35" i="5"/>
  <c r="E34" i="5"/>
  <c r="I26" i="5"/>
  <c r="E26" i="5"/>
  <c r="E25" i="5"/>
  <c r="E24" i="5"/>
  <c r="E23" i="5"/>
  <c r="E22" i="5"/>
  <c r="E21" i="5"/>
  <c r="G6" i="5"/>
  <c r="B6" i="5"/>
  <c r="G5" i="5"/>
  <c r="P75" i="3"/>
  <c r="O75" i="3"/>
  <c r="N75" i="3"/>
  <c r="M75" i="3"/>
  <c r="Q68" i="3"/>
  <c r="Q67" i="3"/>
  <c r="Q66" i="3"/>
  <c r="Q65" i="3"/>
  <c r="Q64" i="3"/>
  <c r="Q62" i="3"/>
  <c r="Q61" i="3"/>
  <c r="Q60" i="3"/>
  <c r="H60" i="3"/>
  <c r="G60" i="3"/>
  <c r="F60" i="3"/>
  <c r="E60" i="3"/>
  <c r="D60" i="3"/>
  <c r="C60" i="3"/>
  <c r="Q59" i="3"/>
  <c r="Q58" i="3"/>
  <c r="Q57" i="3"/>
  <c r="Q56" i="3"/>
  <c r="H56" i="3"/>
  <c r="G56" i="3"/>
  <c r="F56" i="3"/>
  <c r="E56" i="3"/>
  <c r="D56" i="3"/>
  <c r="C56" i="3"/>
  <c r="Q55" i="3"/>
  <c r="Q54" i="3"/>
  <c r="Q53" i="3"/>
  <c r="H53" i="3"/>
  <c r="G53" i="3"/>
  <c r="F53" i="3"/>
  <c r="E53" i="3"/>
  <c r="D53" i="3"/>
  <c r="C53" i="3"/>
  <c r="Q51" i="3"/>
  <c r="Q50" i="3"/>
  <c r="Q49" i="3"/>
  <c r="Q48" i="3"/>
  <c r="H48" i="3"/>
  <c r="G48" i="3"/>
  <c r="F48" i="3"/>
  <c r="E48" i="3"/>
  <c r="D48" i="3"/>
  <c r="C48" i="3"/>
  <c r="Q47" i="3"/>
  <c r="Q46" i="3"/>
  <c r="H46" i="3"/>
  <c r="G46" i="3"/>
  <c r="F46" i="3"/>
  <c r="E46" i="3"/>
  <c r="D46" i="3"/>
  <c r="C46" i="3"/>
  <c r="Q45" i="3"/>
  <c r="Q44" i="3"/>
  <c r="H44" i="3"/>
  <c r="G44" i="3"/>
  <c r="F44" i="3"/>
  <c r="E44" i="3"/>
  <c r="D44" i="3"/>
  <c r="C44" i="3"/>
  <c r="Q42" i="3"/>
  <c r="Q41" i="3"/>
  <c r="Q40" i="3"/>
  <c r="Q39" i="3"/>
  <c r="Q38" i="3"/>
  <c r="H38" i="3"/>
  <c r="G38" i="3"/>
  <c r="F38" i="3"/>
  <c r="E38" i="3"/>
  <c r="D38" i="3"/>
  <c r="C38" i="3"/>
  <c r="Q37" i="3"/>
  <c r="Q36" i="3"/>
  <c r="Q35" i="3"/>
  <c r="H35" i="3"/>
  <c r="G35" i="3"/>
  <c r="F35" i="3"/>
  <c r="E35" i="3"/>
  <c r="D35" i="3"/>
  <c r="C35" i="3"/>
  <c r="Q34" i="3"/>
  <c r="Q33" i="3"/>
  <c r="Q32" i="3"/>
  <c r="Q31" i="3"/>
  <c r="H31" i="3"/>
  <c r="G31" i="3"/>
  <c r="F31" i="3"/>
  <c r="E31" i="3"/>
  <c r="D31" i="3"/>
  <c r="C31" i="3"/>
  <c r="Q29" i="3"/>
  <c r="Q28" i="3"/>
  <c r="Q27" i="3"/>
  <c r="Q26" i="3"/>
  <c r="Q25" i="3"/>
  <c r="Q24" i="3"/>
  <c r="Q23" i="3"/>
  <c r="H23" i="3"/>
  <c r="G23" i="3"/>
  <c r="F23" i="3"/>
  <c r="E23" i="3"/>
  <c r="D23" i="3"/>
  <c r="C23" i="3"/>
  <c r="Q22" i="3"/>
  <c r="Q21" i="3"/>
  <c r="H21" i="3"/>
  <c r="G21" i="3"/>
  <c r="F21" i="3"/>
  <c r="E21" i="3"/>
  <c r="D21" i="3"/>
  <c r="C21" i="3"/>
  <c r="Q20" i="3"/>
  <c r="Q19" i="3"/>
  <c r="Q18" i="3"/>
  <c r="Q17" i="3"/>
  <c r="H17" i="3"/>
  <c r="G17" i="3"/>
  <c r="F17" i="3"/>
  <c r="E17" i="3"/>
  <c r="D17" i="3"/>
  <c r="C17" i="3"/>
  <c r="Q15" i="3"/>
  <c r="Q14" i="3"/>
  <c r="Q13" i="3"/>
  <c r="Q12" i="3"/>
  <c r="H12" i="3"/>
  <c r="G12" i="3"/>
  <c r="F12" i="3"/>
  <c r="E12" i="3"/>
  <c r="D12" i="3"/>
  <c r="C12" i="3"/>
  <c r="Q11" i="3"/>
  <c r="Q10" i="3"/>
  <c r="Q9" i="3"/>
  <c r="Q8" i="3"/>
  <c r="Q7" i="3"/>
  <c r="Q6" i="3"/>
  <c r="H6" i="3"/>
  <c r="G6" i="3"/>
  <c r="F6" i="3"/>
  <c r="E6" i="3"/>
  <c r="D6" i="3"/>
  <c r="C6" i="3"/>
  <c r="Q5" i="3"/>
  <c r="Q4" i="3"/>
  <c r="Q3" i="3"/>
  <c r="Q2" i="3"/>
  <c r="H2" i="3"/>
  <c r="G2" i="3"/>
  <c r="F2" i="3"/>
  <c r="E2" i="3"/>
  <c r="D2" i="3"/>
  <c r="C2" i="3"/>
</calcChain>
</file>

<file path=xl/comments1.xml><?xml version="1.0" encoding="utf-8"?>
<comments xmlns="http://schemas.openxmlformats.org/spreadsheetml/2006/main">
  <authors>
    <author>Autor</author>
  </authors>
  <commentList>
    <comment ref="I2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 = PQ / [ (e/z(k/2))^2 + PQ/N ]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 = z x Raíz [ PQ (1/n -1/N) ]</t>
        </r>
      </text>
    </comment>
  </commentList>
</comments>
</file>

<file path=xl/sharedStrings.xml><?xml version="1.0" encoding="utf-8"?>
<sst xmlns="http://schemas.openxmlformats.org/spreadsheetml/2006/main" count="1109" uniqueCount="358">
  <si>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</si>
  <si>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</si>
  <si>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</si>
  <si>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</si>
  <si>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</si>
  <si>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</si>
  <si>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</si>
  <si>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</si>
  <si>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</si>
  <si>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BV20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</si>
  <si>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</si>
  <si>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</si>
  <si>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</si>
  <si>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</si>
  <si>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</si>
  <si>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</si>
  <si>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</si>
  <si>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</si>
  <si>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</si>
  <si>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</si>
  <si>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Q107</t>
  </si>
  <si>
    <t>Indicadores</t>
  </si>
  <si>
    <t>Datos de participación</t>
  </si>
  <si>
    <t>Población encuestada</t>
  </si>
  <si>
    <t>Tasa de Respuesta</t>
  </si>
  <si>
    <t>Cierre de encuesta</t>
  </si>
  <si>
    <t>Septiembre</t>
  </si>
  <si>
    <t>Agosto</t>
  </si>
  <si>
    <t>Tipo de encuesta</t>
  </si>
  <si>
    <t>Online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</si>
  <si>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</si>
  <si>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</si>
  <si>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</si>
  <si>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</si>
  <si>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</si>
  <si>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</si>
  <si>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</si>
  <si>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</si>
  <si>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</si>
  <si>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</si>
  <si>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</si>
  <si>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</si>
  <si>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</si>
  <si>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</si>
  <si>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</si>
  <si>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</si>
  <si>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</si>
  <si>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</si>
  <si>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</si>
  <si>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</si>
  <si>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</si>
  <si>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</si>
  <si>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(e/z(k/2))^2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</si>
  <si>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</si>
  <si>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</si>
  <si>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</si>
  <si>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</si>
  <si>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</si>
  <si>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</si>
  <si>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</si>
  <si>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</si>
  <si>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</si>
  <si>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Resultados Confianza - Dimensión Credibilidad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</si>
  <si>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</si>
  <si>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</si>
  <si>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</si>
  <si>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</si>
  <si>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</si>
  <si>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</si>
  <si>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</si>
  <si>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</si>
  <si>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</si>
  <si>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</si>
  <si>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</si>
  <si>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</si>
  <si>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</si>
  <si>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</si>
  <si>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</si>
  <si>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</si>
  <si>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</si>
  <si>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</si>
  <si>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</si>
  <si>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</si>
  <si>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</si>
  <si>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</si>
  <si>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</si>
  <si>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</si>
  <si>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</si>
  <si>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</si>
  <si>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</si>
  <si>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</si>
  <si>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</si>
  <si>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</si>
  <si>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</si>
  <si>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</si>
  <si>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</si>
  <si>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</si>
  <si>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</si>
  <si>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</si>
  <si>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</si>
  <si>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</si>
  <si>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</si>
  <si>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</si>
  <si>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</si>
  <si>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</si>
  <si>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</si>
  <si>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</si>
  <si>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</si>
  <si>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</si>
  <si>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</si>
  <si>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</si>
  <si>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</si>
  <si>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</si>
  <si>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</si>
  <si>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</si>
  <si>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</si>
  <si>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</si>
  <si>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</si>
  <si>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</si>
  <si>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</si>
  <si>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</si>
  <si>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</si>
  <si>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</si>
  <si>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</si>
  <si>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</si>
  <si>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</si>
  <si>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</si>
  <si>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</si>
  <si>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</si>
  <si>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</si>
  <si>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</si>
  <si>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</si>
  <si>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</si>
  <si>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</si>
  <si>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</si>
  <si>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</si>
  <si>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</si>
  <si>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</si>
  <si>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</si>
  <si>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</si>
  <si>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</si>
  <si>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</si>
  <si>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</si>
  <si>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</si>
  <si>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</si>
  <si>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</si>
  <si>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</si>
  <si>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</si>
  <si>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</si>
  <si>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</si>
  <si>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</si>
  <si>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</si>
  <si>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</si>
  <si>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</si>
  <si>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</si>
  <si>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</si>
  <si>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</si>
  <si>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</si>
  <si>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</si>
  <si>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</si>
  <si>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</si>
  <si>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</si>
  <si>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</si>
  <si>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</si>
  <si>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</si>
  <si>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</si>
  <si>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</si>
  <si>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Resultados por Dimensiones</t>
  </si>
  <si>
    <t>Dimensión</t>
  </si>
  <si>
    <t>Sub-Dimensión</t>
  </si>
  <si>
    <t>2016 - PG</t>
  </si>
  <si>
    <t>IMPARCIALIDAD</t>
  </si>
  <si>
    <t>CREDIBILIDAD</t>
  </si>
  <si>
    <t>RESPETO</t>
  </si>
  <si>
    <t/>
  </si>
  <si>
    <t>Promedios</t>
  </si>
  <si>
    <t>Edad</t>
  </si>
  <si>
    <t>Género</t>
  </si>
  <si>
    <t>Habilitado</t>
  </si>
  <si>
    <t>P2</t>
  </si>
  <si>
    <t>P17</t>
  </si>
  <si>
    <t>S2</t>
  </si>
  <si>
    <t>S17</t>
  </si>
  <si>
    <t>Y2</t>
  </si>
  <si>
    <t>Y17</t>
  </si>
  <si>
    <t>AS2</t>
  </si>
  <si>
    <t>AS17</t>
  </si>
  <si>
    <t>Valor Inicial</t>
  </si>
  <si>
    <t>Valor Final</t>
  </si>
  <si>
    <t>Demografia</t>
  </si>
  <si>
    <t>Grafico</t>
  </si>
  <si>
    <t>Tipo de Grafico</t>
  </si>
  <si>
    <t>Demografias</t>
  </si>
  <si>
    <t>Dimension Inicial</t>
  </si>
  <si>
    <t>Dimension Final</t>
  </si>
  <si>
    <t>Identificador</t>
  </si>
  <si>
    <t>Hoja de Datos</t>
  </si>
  <si>
    <t>GrafDemo1</t>
  </si>
  <si>
    <t>D2</t>
  </si>
  <si>
    <t>J2</t>
  </si>
  <si>
    <t>D17</t>
  </si>
  <si>
    <t>J17</t>
  </si>
  <si>
    <t>GrafDemo2</t>
  </si>
  <si>
    <t>GrafDemo3</t>
  </si>
  <si>
    <t>GrafDemo4</t>
  </si>
  <si>
    <t>GrafDemo5</t>
  </si>
  <si>
    <t>GrafDemo6</t>
  </si>
  <si>
    <t>GrafDemo7</t>
  </si>
  <si>
    <t>GrafDemo8</t>
  </si>
  <si>
    <t>BK2</t>
  </si>
  <si>
    <t>BK17</t>
  </si>
  <si>
    <t>GrafDemo9</t>
  </si>
  <si>
    <t>BQ2</t>
  </si>
  <si>
    <t>BQ17</t>
  </si>
  <si>
    <t>GrafDemo10</t>
  </si>
  <si>
    <t>BS2</t>
  </si>
  <si>
    <t>BV2</t>
  </si>
  <si>
    <t>BS17</t>
  </si>
  <si>
    <t>BV17</t>
  </si>
  <si>
    <t>Nro. de Filmina</t>
  </si>
  <si>
    <t>Posicion</t>
  </si>
  <si>
    <t>(0,0)</t>
  </si>
  <si>
    <t>GrafDemo_Bis1</t>
  </si>
  <si>
    <t>GrafDemo_Bis2</t>
  </si>
  <si>
    <t>GrafDemo_Bis3</t>
  </si>
  <si>
    <t>GrafDemo_Bis4</t>
  </si>
  <si>
    <t>GrafDemo_Bis5</t>
  </si>
  <si>
    <t>GrafDemo_Bis6</t>
  </si>
  <si>
    <t>GrafDemo_Bis7</t>
  </si>
  <si>
    <t>GrafDemo_Bis8</t>
  </si>
  <si>
    <t>GrafDemo_Bis9</t>
  </si>
  <si>
    <t>GrafDemo_Bis10</t>
  </si>
  <si>
    <t>Año 2016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</si>
  <si>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</si>
  <si>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</si>
  <si>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</si>
  <si>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</si>
  <si>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</si>
  <si>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</si>
  <si>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</si>
  <si>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</si>
  <si>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</si>
  <si>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</si>
  <si>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</si>
  <si>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</si>
  <si>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</si>
  <si>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</si>
  <si>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</si>
  <si>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</si>
  <si>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</si>
  <si>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</si>
  <si>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</si>
  <si>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</si>
  <si>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</si>
  <si>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Cargo</t>
  </si>
  <si>
    <t>Antigüedad en la Empresa</t>
  </si>
  <si>
    <t>Jornada Laboral</t>
  </si>
  <si>
    <t>Cantidad de Reuniones de Feedback en FY16</t>
  </si>
  <si>
    <t>Lob1</t>
  </si>
  <si>
    <t>Lob2</t>
  </si>
  <si>
    <t>Lob3</t>
  </si>
  <si>
    <t>Cloud Services</t>
  </si>
  <si>
    <t>Development</t>
  </si>
  <si>
    <t>GBU´s/IBU´S</t>
  </si>
  <si>
    <t>TI ORACLE Argentina</t>
  </si>
  <si>
    <t>BMK Mejores Empresas Argentina 2015</t>
  </si>
  <si>
    <t>Dif. Argentina FY17 - FY16</t>
  </si>
  <si>
    <t xml:space="preserve">Dif. Argentina FY17 - BMK </t>
  </si>
  <si>
    <t>M6 y superiores</t>
  </si>
  <si>
    <t>M5 o M4</t>
  </si>
  <si>
    <t>M3, M2 o M1</t>
  </si>
  <si>
    <t>Individual Contributor</t>
  </si>
  <si>
    <t>e-Talent</t>
  </si>
  <si>
    <t>Menos de 1 año</t>
  </si>
  <si>
    <t>1 a 3 años</t>
  </si>
  <si>
    <t>4 a 6 años</t>
  </si>
  <si>
    <t>7 a 10 años</t>
  </si>
  <si>
    <t>Más de 10 años</t>
  </si>
  <si>
    <t>Jornada Completa</t>
  </si>
  <si>
    <t>Jornada Parcial</t>
  </si>
  <si>
    <t>GBU´s/IBU´S- Bob Weiler´s / Dontatelli´s Org</t>
  </si>
  <si>
    <t>Global G&amp;A/Manufacturing (SSC &amp; Others)</t>
  </si>
  <si>
    <t>Global IT</t>
  </si>
  <si>
    <t>Global Sales CEO Office</t>
  </si>
  <si>
    <t>Product Support</t>
  </si>
  <si>
    <t>Eduardo Lopez´s Org (excl. Consulting)</t>
  </si>
  <si>
    <t>LAD Consulting</t>
  </si>
  <si>
    <t>LAD Customer Services</t>
  </si>
  <si>
    <t>LAD Deal Management</t>
  </si>
  <si>
    <t>LAD Education</t>
  </si>
  <si>
    <t>LAD Facilities</t>
  </si>
  <si>
    <t>LAD Finance &amp; Operations (Cheryl McDowell´s)</t>
  </si>
  <si>
    <t>LAD HR</t>
  </si>
  <si>
    <t>LAD Legal</t>
  </si>
  <si>
    <t>LAD Licenses &amp; Systems</t>
  </si>
  <si>
    <t>LAD LMS</t>
  </si>
  <si>
    <t>LAD Marketing</t>
  </si>
  <si>
    <t>LAD Recruiting</t>
  </si>
  <si>
    <t>LAD Support</t>
  </si>
  <si>
    <t>Cloud Services-Business Development (Tony Gray´s Org)</t>
  </si>
  <si>
    <t>Cloud Services-Solution Management (Bearzi´s Org)</t>
  </si>
  <si>
    <t>Development - Apps (Steve Miranda´s Org)</t>
  </si>
  <si>
    <t>Development - Corporate Arquitect-Screven´s Org</t>
  </si>
  <si>
    <t>Development-All Others</t>
  </si>
  <si>
    <t>Development-Fusion Middleware (Singh Inderjeet´s Org)</t>
  </si>
  <si>
    <t>Coverage Infraestructure (Donatelli´s Org)</t>
  </si>
  <si>
    <t>GBU-All Others</t>
  </si>
  <si>
    <t>GBU-Mike Webster´s Org</t>
  </si>
  <si>
    <t>GBU-Suriano Douglas´s Org</t>
  </si>
  <si>
    <t>H2</t>
  </si>
  <si>
    <t>H17</t>
  </si>
  <si>
    <t>N2</t>
  </si>
  <si>
    <t>N17</t>
  </si>
  <si>
    <t>Q2</t>
  </si>
  <si>
    <t>Q17</t>
  </si>
  <si>
    <t>W2</t>
  </si>
  <si>
    <t>W17</t>
  </si>
  <si>
    <t>AC2</t>
  </si>
  <si>
    <t>AC17</t>
  </si>
  <si>
    <t>AE2</t>
  </si>
  <si>
    <t>AF2</t>
  </si>
  <si>
    <t>AE17</t>
  </si>
  <si>
    <t>AF17</t>
  </si>
  <si>
    <t>AH2</t>
  </si>
  <si>
    <t>AK2</t>
  </si>
  <si>
    <t>AH17</t>
  </si>
  <si>
    <t>AK17</t>
  </si>
  <si>
    <t>AM2</t>
  </si>
  <si>
    <t>AM17</t>
  </si>
  <si>
    <t>AU2</t>
  </si>
  <si>
    <t>BA2</t>
  </si>
  <si>
    <t>AU17</t>
  </si>
  <si>
    <t>BA17</t>
  </si>
  <si>
    <t>BC2</t>
  </si>
  <si>
    <t>BI2</t>
  </si>
  <si>
    <t>BC17</t>
  </si>
  <si>
    <t>BI17</t>
  </si>
  <si>
    <t>GrafDemo11</t>
  </si>
  <si>
    <t>BL2</t>
  </si>
  <si>
    <t>BL17</t>
  </si>
  <si>
    <t>GrafDemo_Bis11</t>
  </si>
  <si>
    <t>GrafDemo12</t>
  </si>
  <si>
    <t>BN2</t>
  </si>
  <si>
    <t>BN17</t>
  </si>
  <si>
    <t>GrafDemo_Bis12</t>
  </si>
  <si>
    <t>GrafDemo13</t>
  </si>
  <si>
    <t>GrafDemo_Bis13</t>
  </si>
  <si>
    <t>Credibilidad</t>
  </si>
  <si>
    <t>Respeto</t>
  </si>
  <si>
    <t>Imparcialidad</t>
  </si>
  <si>
    <t>Orgullo</t>
  </si>
  <si>
    <t>Camaraderia</t>
  </si>
  <si>
    <t>Promedio Actual</t>
  </si>
  <si>
    <t># Resp. Actual</t>
  </si>
  <si>
    <t>Promedio Anterior</t>
  </si>
  <si>
    <t># Resp. Anterior</t>
  </si>
  <si>
    <t>Dimension</t>
  </si>
  <si>
    <t>GPTW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</si>
</sst>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00"/>
    <numFmt numFmtId="166" formatCode="0.0000"/>
    <numFmt numFmtId="167" formatCode="0.0%"/>
  </numFmts>
  <fonts count="6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sz val="11"/>
      <color theme="1"/>
      <name val="HelveticaNeueLT Std Lt"/>
      <family val="2"/>
    </font>
    <font>
      <sz val="12"/>
      <color theme="0"/>
      <name val="HelveticaNeueLT Std"/>
      <family val="2"/>
    </font>
    <font>
      <sz val="12"/>
      <color rgb="FF000000"/>
      <name val="HelveticaNeueLT Std"/>
      <family val="2"/>
    </font>
    <font>
      <b/>
      <i/>
      <sz val="18"/>
      <name val="HelveticaNeueLT Std Lt"/>
      <family val="2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b/>
      <sz val="11"/>
      <name val="HelveticaNeueLT Std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Segoe UI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8"/>
      <color theme="1"/>
      <name val="Arial"/>
      <family val="2"/>
    </font>
    <font>
      <b/>
      <sz val="7"/>
      <color rgb="FF000000"/>
      <name val="Arial"/>
      <family val="2"/>
    </font>
    <font>
      <sz val="7"/>
      <color rgb="FF000000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FFFFCE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49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/>
      <diagonal/>
    </border>
    <border>
      <left style="thin">
        <color rgb="FF808080"/>
      </left>
      <right style="thin">
        <color rgb="FF808080"/>
      </right>
      <top style="thin">
        <color theme="1" tint="0.499984740745262"/>
      </top>
      <bottom style="thin">
        <color rgb="FF808080"/>
      </bottom>
      <diagonal/>
    </border>
    <border>
      <left/>
      <right style="thin">
        <color rgb="FF808080"/>
      </right>
      <top style="thin">
        <color theme="0" tint="-0.499984740745262"/>
      </top>
      <bottom style="thin">
        <color rgb="FF808080"/>
      </bottom>
      <diagonal/>
    </border>
    <border>
      <left style="thin">
        <color rgb="FF808080"/>
      </left>
      <right/>
      <top style="thin">
        <color theme="0" tint="-0.499984740745262"/>
      </top>
      <bottom style="thin">
        <color rgb="FF808080"/>
      </bottom>
      <diagonal/>
    </border>
    <border>
      <left style="thin">
        <color rgb="FF808080"/>
      </left>
      <right/>
      <top/>
      <bottom style="thin">
        <color rgb="FF808080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2" applyNumberFormat="0" applyAlignment="0" applyProtection="0"/>
    <xf numFmtId="0" fontId="7" fillId="0" borderId="3" applyNumberFormat="0" applyFill="0" applyAlignment="0" applyProtection="0"/>
    <xf numFmtId="0" fontId="11" fillId="0" borderId="0"/>
  </cellStyleXfs>
  <cellXfs count="322">
    <xf numFmtId="0" fontId="0" fillId="0" borderId="0" xfId="0"/>
    <xf numFmtId="0" fontId="0" fillId="0" borderId="0" xfId="0" applyAlignment="1">
      <alignment horizontal="center"/>
    </xf>
    <xf numFmtId="1" fontId="8" fillId="8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4" borderId="2" xfId="6" applyAlignment="1">
      <alignment horizontal="center"/>
    </xf>
    <xf numFmtId="0" fontId="3" fillId="10" borderId="8" xfId="3" applyFill="1" applyBorder="1" applyAlignment="1">
      <alignment horizontal="center"/>
    </xf>
    <xf numFmtId="0" fontId="7" fillId="12" borderId="3" xfId="7" applyFill="1"/>
    <xf numFmtId="0" fontId="7" fillId="11" borderId="3" xfId="7" applyFill="1"/>
    <xf numFmtId="0" fontId="6" fillId="12" borderId="2" xfId="6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5" fillId="13" borderId="9" xfId="0" applyFont="1" applyFill="1" applyBorder="1" applyAlignment="1">
      <alignment horizontal="left" vertical="center" wrapText="1" readingOrder="1"/>
    </xf>
    <xf numFmtId="0" fontId="15" fillId="13" borderId="9" xfId="0" applyFont="1" applyFill="1" applyBorder="1" applyAlignment="1">
      <alignment horizontal="center" vertical="center" wrapText="1" readingOrder="1"/>
    </xf>
    <xf numFmtId="0" fontId="16" fillId="0" borderId="9" xfId="0" applyFont="1" applyFill="1" applyBorder="1" applyAlignment="1">
      <alignment horizontal="left" vertical="center" wrapText="1" readingOrder="1"/>
    </xf>
    <xf numFmtId="0" fontId="16" fillId="0" borderId="9" xfId="0" applyFont="1" applyFill="1" applyBorder="1" applyAlignment="1">
      <alignment horizontal="center" vertical="center" wrapText="1" readingOrder="1"/>
    </xf>
    <xf numFmtId="9" fontId="16" fillId="0" borderId="9" xfId="1" applyNumberFormat="1" applyFont="1" applyFill="1" applyBorder="1" applyAlignment="1">
      <alignment horizontal="center" vertical="center" wrapText="1" readingOrder="1"/>
    </xf>
    <xf numFmtId="9" fontId="16" fillId="0" borderId="9" xfId="0" applyNumberFormat="1" applyFont="1" applyFill="1" applyBorder="1" applyAlignment="1">
      <alignment horizontal="center" vertical="center" wrapText="1" readingOrder="1"/>
    </xf>
    <xf numFmtId="10" fontId="16" fillId="0" borderId="9" xfId="1" applyNumberFormat="1" applyFont="1" applyFill="1" applyBorder="1" applyAlignment="1">
      <alignment horizontal="center" vertical="center" wrapText="1" readingOrder="1"/>
    </xf>
    <xf numFmtId="10" fontId="16" fillId="0" borderId="9" xfId="0" applyNumberFormat="1" applyFont="1" applyFill="1" applyBorder="1" applyAlignment="1">
      <alignment horizontal="center" vertical="center" wrapText="1" readingOrder="1"/>
    </xf>
    <xf numFmtId="16" fontId="16" fillId="0" borderId="9" xfId="0" applyNumberFormat="1" applyFont="1" applyFill="1" applyBorder="1" applyAlignment="1">
      <alignment horizontal="center" vertical="center" wrapText="1" readingOrder="1"/>
    </xf>
    <xf numFmtId="0" fontId="14" fillId="0" borderId="0" xfId="0" applyFont="1" applyAlignment="1">
      <alignment horizontal="center"/>
    </xf>
    <xf numFmtId="0" fontId="0" fillId="0" borderId="0" xfId="0" applyFont="1"/>
    <xf numFmtId="166" fontId="19" fillId="2" borderId="11" xfId="4" applyNumberFormat="1" applyFont="1" applyBorder="1"/>
    <xf numFmtId="0" fontId="1" fillId="0" borderId="0" xfId="7" applyFont="1" applyFill="1" applyBorder="1"/>
    <xf numFmtId="0" fontId="7" fillId="0" borderId="0" xfId="7" applyFill="1" applyBorder="1"/>
    <xf numFmtId="0" fontId="0" fillId="0" borderId="0" xfId="0" applyFill="1" applyBorder="1"/>
    <xf numFmtId="2" fontId="1" fillId="0" borderId="0" xfId="7" applyNumberFormat="1" applyFont="1" applyFill="1" applyBorder="1"/>
    <xf numFmtId="164" fontId="1" fillId="0" borderId="0" xfId="7" applyNumberFormat="1" applyFont="1" applyFill="1" applyBorder="1"/>
    <xf numFmtId="165" fontId="1" fillId="0" borderId="0" xfId="7" applyNumberFormat="1" applyFont="1" applyFill="1" applyBorder="1"/>
    <xf numFmtId="0" fontId="18" fillId="0" borderId="0" xfId="5" applyFont="1" applyFill="1" applyBorder="1" applyAlignment="1">
      <alignment horizontal="center"/>
    </xf>
    <xf numFmtId="2" fontId="19" fillId="2" borderId="11" xfId="4" applyNumberFormat="1" applyFont="1" applyBorder="1"/>
    <xf numFmtId="0" fontId="22" fillId="6" borderId="12" xfId="0" applyFont="1" applyFill="1" applyBorder="1" applyAlignment="1">
      <alignment horizontal="left" vertical="center"/>
    </xf>
    <xf numFmtId="0" fontId="23" fillId="14" borderId="13" xfId="8" applyFont="1" applyFill="1" applyBorder="1" applyAlignment="1">
      <alignment horizontal="center" vertical="center"/>
    </xf>
    <xf numFmtId="0" fontId="23" fillId="14" borderId="13" xfId="8" applyFont="1" applyFill="1" applyBorder="1" applyAlignment="1">
      <alignment horizontal="center" vertical="center" wrapText="1"/>
    </xf>
    <xf numFmtId="0" fontId="23" fillId="14" borderId="14" xfId="8" applyFont="1" applyFill="1" applyBorder="1" applyAlignment="1">
      <alignment horizontal="center" vertical="center"/>
    </xf>
    <xf numFmtId="0" fontId="22" fillId="6" borderId="15" xfId="0" applyFont="1" applyFill="1" applyBorder="1" applyAlignment="1">
      <alignment horizontal="left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 wrapText="1"/>
    </xf>
    <xf numFmtId="0" fontId="24" fillId="15" borderId="0" xfId="8" applyFont="1" applyFill="1" applyAlignment="1">
      <alignment horizontal="center" vertical="center"/>
    </xf>
    <xf numFmtId="0" fontId="28" fillId="20" borderId="0" xfId="0" applyFont="1" applyFill="1" applyBorder="1" applyAlignment="1">
      <alignment horizontal="center" vertical="center" wrapText="1"/>
    </xf>
    <xf numFmtId="0" fontId="29" fillId="20" borderId="0" xfId="0" applyFont="1" applyFill="1" applyBorder="1" applyAlignment="1">
      <alignment horizontal="left" vertical="center" wrapText="1"/>
    </xf>
    <xf numFmtId="1" fontId="30" fillId="21" borderId="0" xfId="0" applyNumberFormat="1" applyFont="1" applyFill="1" applyBorder="1" applyAlignment="1">
      <alignment horizontal="center" vertical="center"/>
    </xf>
    <xf numFmtId="1" fontId="24" fillId="15" borderId="0" xfId="8" applyNumberFormat="1" applyFont="1" applyFill="1" applyAlignment="1">
      <alignment horizontal="center" vertical="center"/>
    </xf>
    <xf numFmtId="0" fontId="28" fillId="20" borderId="21" xfId="0" applyFont="1" applyFill="1" applyBorder="1" applyAlignment="1">
      <alignment horizontal="center" vertical="center" wrapText="1"/>
    </xf>
    <xf numFmtId="0" fontId="29" fillId="20" borderId="21" xfId="0" applyFont="1" applyFill="1" applyBorder="1" applyAlignment="1">
      <alignment horizontal="left" vertical="center" wrapText="1"/>
    </xf>
    <xf numFmtId="1" fontId="30" fillId="21" borderId="22" xfId="0" applyNumberFormat="1" applyFont="1" applyFill="1" applyBorder="1" applyAlignment="1">
      <alignment horizontal="center" vertical="center"/>
    </xf>
    <xf numFmtId="1" fontId="30" fillId="21" borderId="21" xfId="0" applyNumberFormat="1" applyFont="1" applyFill="1" applyBorder="1" applyAlignment="1">
      <alignment horizontal="center" vertical="center"/>
    </xf>
    <xf numFmtId="1" fontId="30" fillId="21" borderId="12" xfId="0" applyNumberFormat="1" applyFont="1" applyFill="1" applyBorder="1" applyAlignment="1">
      <alignment horizontal="center" vertical="center"/>
    </xf>
    <xf numFmtId="0" fontId="31" fillId="20" borderId="22" xfId="0" applyFont="1" applyFill="1" applyBorder="1" applyAlignment="1">
      <alignment horizontal="center" vertical="center" wrapText="1"/>
    </xf>
    <xf numFmtId="0" fontId="29" fillId="20" borderId="22" xfId="0" applyFont="1" applyFill="1" applyBorder="1" applyAlignment="1">
      <alignment horizontal="left" vertical="center" wrapText="1"/>
    </xf>
    <xf numFmtId="1" fontId="30" fillId="25" borderId="22" xfId="0" applyNumberFormat="1" applyFont="1" applyFill="1" applyBorder="1" applyAlignment="1">
      <alignment horizontal="center" vertical="center"/>
    </xf>
    <xf numFmtId="0" fontId="31" fillId="20" borderId="21" xfId="0" applyFont="1" applyFill="1" applyBorder="1" applyAlignment="1">
      <alignment horizontal="center" vertical="center" wrapText="1"/>
    </xf>
    <xf numFmtId="1" fontId="30" fillId="25" borderId="21" xfId="0" applyNumberFormat="1" applyFont="1" applyFill="1" applyBorder="1" applyAlignment="1">
      <alignment horizontal="center" vertical="center"/>
    </xf>
    <xf numFmtId="0" fontId="31" fillId="20" borderId="0" xfId="0" applyFont="1" applyFill="1" applyBorder="1" applyAlignment="1">
      <alignment horizontal="center" vertical="center" wrapText="1"/>
    </xf>
    <xf numFmtId="1" fontId="30" fillId="25" borderId="0" xfId="0" applyNumberFormat="1" applyFont="1" applyFill="1" applyBorder="1" applyAlignment="1">
      <alignment horizontal="center" vertical="center"/>
    </xf>
    <xf numFmtId="1" fontId="32" fillId="25" borderId="21" xfId="0" applyNumberFormat="1" applyFont="1" applyFill="1" applyBorder="1" applyAlignment="1">
      <alignment horizontal="center" vertical="center"/>
    </xf>
    <xf numFmtId="0" fontId="31" fillId="20" borderId="35" xfId="0" applyFont="1" applyFill="1" applyBorder="1" applyAlignment="1">
      <alignment horizontal="center" vertical="center" wrapText="1"/>
    </xf>
    <xf numFmtId="0" fontId="29" fillId="20" borderId="35" xfId="0" applyFont="1" applyFill="1" applyBorder="1" applyAlignment="1">
      <alignment horizontal="left" vertical="center" wrapText="1"/>
    </xf>
    <xf numFmtId="0" fontId="26" fillId="28" borderId="12" xfId="0" applyFont="1" applyFill="1" applyBorder="1" applyAlignment="1">
      <alignment horizontal="center" vertical="center" wrapText="1"/>
    </xf>
    <xf numFmtId="0" fontId="31" fillId="20" borderId="12" xfId="0" applyFont="1" applyFill="1" applyBorder="1" applyAlignment="1">
      <alignment horizontal="center" vertical="center" wrapText="1"/>
    </xf>
    <xf numFmtId="1" fontId="30" fillId="25" borderId="12" xfId="0" applyNumberFormat="1" applyFont="1" applyFill="1" applyBorder="1" applyAlignment="1">
      <alignment horizontal="center" vertical="center"/>
    </xf>
    <xf numFmtId="0" fontId="28" fillId="20" borderId="22" xfId="0" applyFont="1" applyFill="1" applyBorder="1" applyAlignment="1">
      <alignment horizontal="center" vertical="center" wrapText="1"/>
    </xf>
    <xf numFmtId="0" fontId="34" fillId="20" borderId="0" xfId="0" applyFont="1" applyFill="1" applyBorder="1" applyAlignment="1">
      <alignment horizontal="center" vertical="center" wrapText="1"/>
    </xf>
    <xf numFmtId="0" fontId="33" fillId="20" borderId="0" xfId="0" applyFont="1" applyFill="1" applyBorder="1" applyAlignment="1">
      <alignment horizontal="left" vertical="center" wrapText="1"/>
    </xf>
    <xf numFmtId="0" fontId="34" fillId="20" borderId="21" xfId="0" applyFont="1" applyFill="1" applyBorder="1" applyAlignment="1">
      <alignment horizontal="center" vertical="center" wrapText="1"/>
    </xf>
    <xf numFmtId="0" fontId="33" fillId="20" borderId="21" xfId="0" applyFont="1" applyFill="1" applyBorder="1" applyAlignment="1">
      <alignment horizontal="left" vertical="center" wrapText="1"/>
    </xf>
    <xf numFmtId="0" fontId="34" fillId="20" borderId="22" xfId="0" applyFont="1" applyFill="1" applyBorder="1" applyAlignment="1">
      <alignment horizontal="center" vertical="center" wrapText="1"/>
    </xf>
    <xf numFmtId="0" fontId="33" fillId="20" borderId="22" xfId="0" applyFont="1" applyFill="1" applyBorder="1" applyAlignment="1">
      <alignment horizontal="left" vertical="center" wrapText="1"/>
    </xf>
    <xf numFmtId="0" fontId="35" fillId="0" borderId="0" xfId="8" applyFont="1" applyAlignment="1">
      <alignment horizontal="center" vertical="center"/>
    </xf>
    <xf numFmtId="0" fontId="24" fillId="0" borderId="20" xfId="8" applyFont="1" applyBorder="1" applyAlignment="1">
      <alignment vertical="center"/>
    </xf>
    <xf numFmtId="0" fontId="24" fillId="0" borderId="0" xfId="8" applyFont="1" applyAlignment="1">
      <alignment vertical="center"/>
    </xf>
    <xf numFmtId="0" fontId="24" fillId="0" borderId="0" xfId="8" applyFont="1" applyAlignment="1">
      <alignment horizontal="center" vertical="center"/>
    </xf>
    <xf numFmtId="0" fontId="24" fillId="0" borderId="12" xfId="8" applyFont="1" applyBorder="1" applyAlignment="1">
      <alignment vertical="center"/>
    </xf>
    <xf numFmtId="0" fontId="24" fillId="15" borderId="0" xfId="8" applyFont="1" applyFill="1" applyAlignment="1">
      <alignment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left"/>
    </xf>
    <xf numFmtId="1" fontId="8" fillId="5" borderId="6" xfId="0" applyNumberFormat="1" applyFont="1" applyFill="1" applyBorder="1" applyAlignment="1">
      <alignment horizontal="center" vertical="center"/>
    </xf>
    <xf numFmtId="1" fontId="8" fillId="34" borderId="6" xfId="0" applyNumberFormat="1" applyFont="1" applyFill="1" applyBorder="1" applyAlignment="1">
      <alignment horizontal="center" vertical="center"/>
    </xf>
    <xf numFmtId="0" fontId="36" fillId="35" borderId="63" xfId="0" applyFont="1" applyFill="1" applyBorder="1" applyAlignment="1">
      <alignment vertical="center" wrapText="1"/>
    </xf>
    <xf numFmtId="0" fontId="36" fillId="35" borderId="64" xfId="0" applyFont="1" applyFill="1" applyBorder="1" applyAlignment="1">
      <alignment vertical="center" wrapText="1"/>
    </xf>
    <xf numFmtId="0" fontId="23" fillId="14" borderId="0" xfId="8" applyFont="1" applyFill="1" applyAlignment="1">
      <alignment vertical="center"/>
    </xf>
    <xf numFmtId="1" fontId="23" fillId="14" borderId="0" xfId="8" applyNumberFormat="1" applyFont="1" applyFill="1" applyAlignment="1">
      <alignment horizontal="center" vertical="center"/>
    </xf>
    <xf numFmtId="0" fontId="10" fillId="8" borderId="4" xfId="0" applyFont="1" applyFill="1" applyBorder="1" applyAlignment="1">
      <alignment vertical="center"/>
    </xf>
    <xf numFmtId="0" fontId="10" fillId="8" borderId="5" xfId="0" applyFont="1" applyFill="1" applyBorder="1" applyAlignment="1">
      <alignment vertical="center" wrapText="1"/>
    </xf>
    <xf numFmtId="1" fontId="37" fillId="7" borderId="6" xfId="0" applyNumberFormat="1" applyFont="1" applyFill="1" applyBorder="1" applyAlignment="1">
      <alignment horizontal="center" vertical="center" wrapText="1"/>
    </xf>
    <xf numFmtId="1" fontId="9" fillId="36" borderId="6" xfId="0" applyNumberFormat="1" applyFont="1" applyFill="1" applyBorder="1" applyAlignment="1">
      <alignment horizontal="center" vertical="center" wrapText="1"/>
    </xf>
    <xf numFmtId="1" fontId="9" fillId="37" borderId="6" xfId="0" applyNumberFormat="1" applyFont="1" applyFill="1" applyBorder="1" applyAlignment="1">
      <alignment horizontal="center" vertical="center" wrapText="1"/>
    </xf>
    <xf numFmtId="1" fontId="9" fillId="38" borderId="6" xfId="0" applyNumberFormat="1" applyFont="1" applyFill="1" applyBorder="1" applyAlignment="1">
      <alignment horizontal="center" vertical="center" wrapText="1"/>
    </xf>
    <xf numFmtId="1" fontId="9" fillId="39" borderId="6" xfId="0" applyNumberFormat="1" applyFont="1" applyFill="1" applyBorder="1" applyAlignment="1">
      <alignment horizontal="center" vertical="center" wrapText="1"/>
    </xf>
    <xf numFmtId="0" fontId="38" fillId="40" borderId="35" xfId="0" applyFont="1" applyFill="1" applyBorder="1" applyAlignment="1">
      <alignment horizontal="left" vertical="center"/>
    </xf>
    <xf numFmtId="0" fontId="38" fillId="40" borderId="35" xfId="0" applyFont="1" applyFill="1" applyBorder="1" applyAlignment="1">
      <alignment horizontal="center" vertical="center" wrapText="1"/>
    </xf>
    <xf numFmtId="0" fontId="24" fillId="0" borderId="0" xfId="8" applyFont="1" applyAlignment="1">
      <alignment horizontal="left" vertical="center"/>
    </xf>
    <xf numFmtId="0" fontId="39" fillId="0" borderId="66" xfId="0" applyFont="1" applyFill="1" applyBorder="1" applyAlignment="1">
      <alignment horizontal="left" vertical="center"/>
    </xf>
    <xf numFmtId="0" fontId="39" fillId="0" borderId="66" xfId="0" applyFont="1" applyFill="1" applyBorder="1" applyAlignment="1">
      <alignment horizontal="left" vertical="center" wrapText="1"/>
    </xf>
    <xf numFmtId="0" fontId="40" fillId="0" borderId="66" xfId="0" applyFont="1" applyFill="1" applyBorder="1" applyAlignment="1">
      <alignment horizontal="left" vertical="center" wrapText="1"/>
    </xf>
    <xf numFmtId="1" fontId="41" fillId="0" borderId="66" xfId="0" applyNumberFormat="1" applyFont="1" applyFill="1" applyBorder="1" applyAlignment="1">
      <alignment horizontal="center" vertical="center"/>
    </xf>
    <xf numFmtId="1" fontId="41" fillId="0" borderId="66" xfId="0" applyNumberFormat="1" applyFont="1" applyFill="1" applyBorder="1" applyAlignment="1">
      <alignment horizontal="center" vertical="center" wrapText="1"/>
    </xf>
    <xf numFmtId="0" fontId="39" fillId="0" borderId="67" xfId="0" applyFont="1" applyFill="1" applyBorder="1" applyAlignment="1">
      <alignment horizontal="left" vertical="center"/>
    </xf>
    <xf numFmtId="0" fontId="39" fillId="0" borderId="67" xfId="0" applyFont="1" applyFill="1" applyBorder="1" applyAlignment="1">
      <alignment horizontal="left" vertical="center" wrapText="1"/>
    </xf>
    <xf numFmtId="0" fontId="40" fillId="0" borderId="67" xfId="0" applyFont="1" applyFill="1" applyBorder="1" applyAlignment="1">
      <alignment horizontal="left" vertical="center" wrapText="1"/>
    </xf>
    <xf numFmtId="1" fontId="41" fillId="0" borderId="67" xfId="0" applyNumberFormat="1" applyFont="1" applyFill="1" applyBorder="1" applyAlignment="1">
      <alignment horizontal="center" vertical="center"/>
    </xf>
    <xf numFmtId="1" fontId="41" fillId="0" borderId="67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1" fillId="0" borderId="8" xfId="7" applyFont="1" applyBorder="1"/>
    <xf numFmtId="0" fontId="7" fillId="0" borderId="8" xfId="7" applyBorder="1"/>
    <xf numFmtId="0" fontId="1" fillId="0" borderId="8" xfId="7" applyFont="1" applyBorder="1" applyAlignment="1">
      <alignment horizontal="right"/>
    </xf>
    <xf numFmtId="0" fontId="1" fillId="0" borderId="8" xfId="7" applyNumberFormat="1" applyFont="1" applyBorder="1"/>
    <xf numFmtId="9" fontId="1" fillId="0" borderId="8" xfId="7" applyNumberFormat="1" applyFont="1" applyBorder="1"/>
    <xf numFmtId="164" fontId="1" fillId="0" borderId="8" xfId="7" applyNumberFormat="1" applyFont="1" applyBorder="1"/>
    <xf numFmtId="2" fontId="19" fillId="2" borderId="8" xfId="4" applyNumberFormat="1" applyFont="1" applyBorder="1"/>
    <xf numFmtId="0" fontId="1" fillId="0" borderId="8" xfId="7" applyNumberFormat="1" applyFont="1" applyBorder="1" applyAlignment="1">
      <alignment horizontal="right"/>
    </xf>
    <xf numFmtId="2" fontId="1" fillId="0" borderId="8" xfId="7" applyNumberFormat="1" applyFont="1" applyBorder="1"/>
    <xf numFmtId="165" fontId="1" fillId="0" borderId="8" xfId="7" applyNumberFormat="1" applyFont="1" applyBorder="1"/>
    <xf numFmtId="10" fontId="19" fillId="2" borderId="8" xfId="4" applyNumberFormat="1" applyFont="1" applyBorder="1"/>
    <xf numFmtId="0" fontId="27" fillId="19" borderId="21" xfId="0" applyFont="1" applyFill="1" applyBorder="1" applyAlignment="1">
      <alignment horizontal="center" vertical="center" wrapText="1"/>
    </xf>
    <xf numFmtId="0" fontId="42" fillId="43" borderId="68" xfId="0" applyFont="1" applyFill="1" applyBorder="1" applyAlignment="1">
      <alignment horizontal="center" vertical="center"/>
    </xf>
    <xf numFmtId="0" fontId="43" fillId="42" borderId="37" xfId="0" applyFont="1" applyFill="1" applyBorder="1" applyAlignment="1">
      <alignment horizontal="center" vertical="center"/>
    </xf>
    <xf numFmtId="0" fontId="42" fillId="43" borderId="69" xfId="0" applyFont="1" applyFill="1" applyBorder="1" applyAlignment="1">
      <alignment horizontal="center" vertical="center"/>
    </xf>
    <xf numFmtId="0" fontId="42" fillId="43" borderId="8" xfId="0" applyFont="1" applyFill="1" applyBorder="1" applyAlignment="1">
      <alignment horizontal="center" vertical="center"/>
    </xf>
    <xf numFmtId="0" fontId="42" fillId="43" borderId="37" xfId="0" applyFont="1" applyFill="1" applyBorder="1" applyAlignment="1">
      <alignment horizontal="center" vertical="center"/>
    </xf>
    <xf numFmtId="0" fontId="13" fillId="9" borderId="8" xfId="2" applyFont="1" applyFill="1" applyBorder="1" applyAlignment="1">
      <alignment horizontal="center"/>
    </xf>
    <xf numFmtId="0" fontId="26" fillId="7" borderId="20" xfId="0" applyFont="1" applyFill="1" applyBorder="1" applyAlignment="1">
      <alignment horizontal="center" vertical="center" textRotation="90" wrapText="1"/>
    </xf>
    <xf numFmtId="0" fontId="26" fillId="7" borderId="26" xfId="0" applyFont="1" applyFill="1" applyBorder="1" applyAlignment="1">
      <alignment horizontal="center" vertical="center" textRotation="90" wrapText="1"/>
    </xf>
    <xf numFmtId="0" fontId="27" fillId="19" borderId="0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/>
    </xf>
    <xf numFmtId="1" fontId="25" fillId="17" borderId="24" xfId="8" applyNumberFormat="1" applyFont="1" applyFill="1" applyBorder="1" applyAlignment="1">
      <alignment horizontal="center" vertical="center"/>
    </xf>
    <xf numFmtId="1" fontId="25" fillId="17" borderId="19" xfId="8" applyNumberFormat="1" applyFont="1" applyFill="1" applyBorder="1" applyAlignment="1">
      <alignment horizontal="center" vertical="center"/>
    </xf>
    <xf numFmtId="1" fontId="25" fillId="17" borderId="25" xfId="8" applyNumberFormat="1" applyFont="1" applyFill="1" applyBorder="1" applyAlignment="1">
      <alignment horizontal="center" vertical="center"/>
    </xf>
    <xf numFmtId="0" fontId="25" fillId="17" borderId="27" xfId="8" applyFont="1" applyFill="1" applyBorder="1" applyAlignment="1">
      <alignment horizontal="center" vertical="center" wrapText="1"/>
    </xf>
    <xf numFmtId="0" fontId="25" fillId="17" borderId="17" xfId="8" applyFont="1" applyFill="1" applyBorder="1" applyAlignment="1">
      <alignment horizontal="center" vertical="center" wrapText="1"/>
    </xf>
    <xf numFmtId="0" fontId="25" fillId="17" borderId="23" xfId="8" applyFont="1" applyFill="1" applyBorder="1" applyAlignment="1">
      <alignment horizontal="center" vertical="center" wrapText="1"/>
    </xf>
    <xf numFmtId="1" fontId="25" fillId="18" borderId="28" xfId="8" applyNumberFormat="1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 wrapText="1"/>
    </xf>
    <xf numFmtId="1" fontId="25" fillId="18" borderId="24" xfId="8" applyNumberFormat="1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/>
    </xf>
    <xf numFmtId="1" fontId="25" fillId="18" borderId="24" xfId="8" applyNumberFormat="1" applyFont="1" applyFill="1" applyBorder="1" applyAlignment="1">
      <alignment horizontal="center" vertical="center"/>
    </xf>
    <xf numFmtId="1" fontId="25" fillId="17" borderId="28" xfId="8" applyNumberFormat="1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 wrapText="1"/>
    </xf>
    <xf numFmtId="1" fontId="25" fillId="17" borderId="24" xfId="8" applyNumberFormat="1" applyFont="1" applyFill="1" applyBorder="1" applyAlignment="1">
      <alignment horizontal="center" vertical="center" wrapText="1"/>
    </xf>
    <xf numFmtId="1" fontId="25" fillId="17" borderId="29" xfId="8" applyNumberFormat="1" applyFont="1" applyFill="1" applyBorder="1" applyAlignment="1">
      <alignment horizontal="center" vertical="center" wrapText="1"/>
    </xf>
    <xf numFmtId="1" fontId="25" fillId="17" borderId="19" xfId="8" applyNumberFormat="1" applyFont="1" applyFill="1" applyBorder="1" applyAlignment="1">
      <alignment horizontal="center" vertical="center" wrapText="1"/>
    </xf>
    <xf numFmtId="1" fontId="25" fillId="17" borderId="25" xfId="8" applyNumberFormat="1" applyFont="1" applyFill="1" applyBorder="1" applyAlignment="1">
      <alignment horizontal="center" vertical="center" wrapText="1"/>
    </xf>
    <xf numFmtId="0" fontId="22" fillId="22" borderId="16" xfId="8" applyFont="1" applyFill="1" applyBorder="1" applyAlignment="1">
      <alignment horizontal="center" vertical="center" textRotation="90"/>
    </xf>
    <xf numFmtId="0" fontId="24" fillId="16" borderId="16" xfId="8" applyFont="1" applyFill="1" applyBorder="1" applyAlignment="1">
      <alignment horizontal="center" vertical="center" textRotation="90"/>
    </xf>
    <xf numFmtId="0" fontId="24" fillId="16" borderId="30" xfId="8" applyFont="1" applyFill="1" applyBorder="1" applyAlignment="1">
      <alignment horizontal="center" vertical="center" textRotation="90"/>
    </xf>
    <xf numFmtId="0" fontId="25" fillId="17" borderId="31" xfId="8" applyFont="1" applyFill="1" applyBorder="1" applyAlignment="1">
      <alignment horizontal="center" vertical="center" wrapText="1"/>
    </xf>
    <xf numFmtId="1" fontId="25" fillId="18" borderId="32" xfId="8" applyNumberFormat="1" applyFont="1" applyFill="1" applyBorder="1" applyAlignment="1">
      <alignment horizontal="center" vertical="center" wrapText="1"/>
    </xf>
    <xf numFmtId="1" fontId="25" fillId="17" borderId="32" xfId="8" applyNumberFormat="1" applyFont="1" applyFill="1" applyBorder="1" applyAlignment="1">
      <alignment horizontal="center" vertical="center" wrapText="1"/>
    </xf>
    <xf numFmtId="1" fontId="25" fillId="17" borderId="33" xfId="8" applyNumberFormat="1" applyFont="1" applyFill="1" applyBorder="1" applyAlignment="1">
      <alignment horizontal="center" vertical="center" wrapText="1"/>
    </xf>
    <xf numFmtId="0" fontId="26" fillId="23" borderId="34" xfId="0" applyFont="1" applyFill="1" applyBorder="1" applyAlignment="1">
      <alignment horizontal="center" vertical="center" textRotation="90" wrapText="1"/>
    </xf>
    <xf numFmtId="0" fontId="26" fillId="23" borderId="20" xfId="0" applyFont="1" applyFill="1" applyBorder="1" applyAlignment="1">
      <alignment horizontal="center" vertical="center" textRotation="90" wrapText="1"/>
    </xf>
    <xf numFmtId="0" fontId="26" fillId="23" borderId="26" xfId="0" applyFont="1" applyFill="1" applyBorder="1" applyAlignment="1">
      <alignment horizontal="center" vertical="center" textRotation="90" wrapText="1"/>
    </xf>
    <xf numFmtId="0" fontId="27" fillId="24" borderId="22" xfId="0" applyFont="1" applyFill="1" applyBorder="1" applyAlignment="1">
      <alignment horizontal="center" vertical="center" wrapText="1"/>
    </xf>
    <xf numFmtId="0" fontId="27" fillId="24" borderId="21" xfId="0" applyFont="1" applyFill="1" applyBorder="1" applyAlignment="1">
      <alignment horizontal="center" vertical="center" wrapText="1"/>
    </xf>
    <xf numFmtId="0" fontId="27" fillId="24" borderId="0" xfId="0" applyFont="1" applyFill="1" applyBorder="1" applyAlignment="1">
      <alignment horizontal="center" vertical="center" wrapText="1"/>
    </xf>
    <xf numFmtId="0" fontId="22" fillId="26" borderId="16" xfId="8" applyFont="1" applyFill="1" applyBorder="1" applyAlignment="1">
      <alignment horizontal="center" vertical="center" textRotation="90"/>
    </xf>
    <xf numFmtId="0" fontId="22" fillId="26" borderId="43" xfId="8" applyFont="1" applyFill="1" applyBorder="1" applyAlignment="1">
      <alignment horizontal="center" vertical="center" textRotation="90"/>
    </xf>
    <xf numFmtId="0" fontId="26" fillId="27" borderId="20" xfId="0" applyFont="1" applyFill="1" applyBorder="1" applyAlignment="1">
      <alignment horizontal="center" vertical="center" textRotation="90" wrapText="1"/>
    </xf>
    <xf numFmtId="0" fontId="26" fillId="27" borderId="26" xfId="0" applyFont="1" applyFill="1" applyBorder="1" applyAlignment="1">
      <alignment horizontal="center" vertical="center" textRotation="90" wrapText="1"/>
    </xf>
    <xf numFmtId="0" fontId="26" fillId="28" borderId="35" xfId="0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6" fillId="28" borderId="22" xfId="0" applyFont="1" applyFill="1" applyBorder="1" applyAlignment="1">
      <alignment horizontal="center" vertical="center" wrapText="1"/>
    </xf>
    <xf numFmtId="0" fontId="26" fillId="28" borderId="21" xfId="0" applyFont="1" applyFill="1" applyBorder="1" applyAlignment="1">
      <alignment horizontal="center" vertical="center" wrapText="1"/>
    </xf>
    <xf numFmtId="0" fontId="25" fillId="17" borderId="36" xfId="8" applyFont="1" applyFill="1" applyBorder="1" applyAlignment="1">
      <alignment horizontal="center" vertical="center" wrapText="1"/>
    </xf>
    <xf numFmtId="0" fontId="25" fillId="17" borderId="38" xfId="8" applyFont="1" applyFill="1" applyBorder="1" applyAlignment="1">
      <alignment horizontal="center" vertical="center" wrapText="1"/>
    </xf>
    <xf numFmtId="0" fontId="25" fillId="17" borderId="40" xfId="8" applyFont="1" applyFill="1" applyBorder="1" applyAlignment="1">
      <alignment horizontal="center" vertical="center" wrapText="1"/>
    </xf>
    <xf numFmtId="1" fontId="25" fillId="17" borderId="37" xfId="8" applyNumberFormat="1" applyFont="1" applyFill="1" applyBorder="1" applyAlignment="1">
      <alignment horizontal="center" vertical="center" wrapText="1"/>
    </xf>
    <xf numFmtId="0" fontId="25" fillId="17" borderId="39" xfId="8" applyFont="1" applyFill="1" applyBorder="1" applyAlignment="1">
      <alignment horizontal="center" vertical="center" wrapText="1"/>
    </xf>
    <xf numFmtId="0" fontId="25" fillId="17" borderId="41" xfId="8" applyFont="1" applyFill="1" applyBorder="1" applyAlignment="1">
      <alignment horizontal="center" vertical="center" wrapText="1"/>
    </xf>
    <xf numFmtId="0" fontId="26" fillId="27" borderId="22" xfId="0" applyFont="1" applyFill="1" applyBorder="1" applyAlignment="1">
      <alignment horizontal="center" vertical="center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1" xfId="0" applyFont="1" applyFill="1" applyBorder="1" applyAlignment="1">
      <alignment horizontal="center" vertical="center" wrapText="1"/>
    </xf>
    <xf numFmtId="0" fontId="25" fillId="17" borderId="44" xfId="8" applyFont="1" applyFill="1" applyBorder="1" applyAlignment="1">
      <alignment horizontal="center" vertical="center" wrapText="1"/>
    </xf>
    <xf numFmtId="1" fontId="25" fillId="18" borderId="45" xfId="8" applyNumberFormat="1" applyFont="1" applyFill="1" applyBorder="1" applyAlignment="1">
      <alignment horizontal="center" vertical="center" wrapText="1"/>
    </xf>
    <xf numFmtId="1" fontId="25" fillId="17" borderId="42" xfId="8" applyNumberFormat="1" applyFont="1" applyFill="1" applyBorder="1" applyAlignment="1">
      <alignment horizontal="center" vertical="center" wrapText="1"/>
    </xf>
    <xf numFmtId="1" fontId="25" fillId="17" borderId="45" xfId="8" applyNumberFormat="1" applyFont="1" applyFill="1" applyBorder="1" applyAlignment="1">
      <alignment horizontal="center" vertical="center" wrapText="1"/>
    </xf>
    <xf numFmtId="1" fontId="25" fillId="17" borderId="46" xfId="8" applyNumberFormat="1" applyFont="1" applyFill="1" applyBorder="1" applyAlignment="1">
      <alignment horizontal="center" vertical="center" wrapText="1"/>
    </xf>
    <xf numFmtId="0" fontId="26" fillId="27" borderId="34" xfId="0" applyFont="1" applyFill="1" applyBorder="1" applyAlignment="1">
      <alignment horizontal="center" vertical="center" textRotation="90" wrapText="1"/>
    </xf>
    <xf numFmtId="0" fontId="22" fillId="29" borderId="47" xfId="8" applyFont="1" applyFill="1" applyBorder="1" applyAlignment="1">
      <alignment horizontal="center" vertical="center" textRotation="90"/>
    </xf>
    <xf numFmtId="0" fontId="22" fillId="29" borderId="53" xfId="8" applyFont="1" applyFill="1" applyBorder="1" applyAlignment="1">
      <alignment horizontal="center" vertical="center" textRotation="90"/>
    </xf>
    <xf numFmtId="0" fontId="25" fillId="17" borderId="48" xfId="8" applyFont="1" applyFill="1" applyBorder="1" applyAlignment="1">
      <alignment horizontal="center" vertical="center" wrapText="1"/>
    </xf>
    <xf numFmtId="0" fontId="25" fillId="17" borderId="49" xfId="8" applyFont="1" applyFill="1" applyBorder="1" applyAlignment="1">
      <alignment horizontal="center" vertical="center" wrapText="1"/>
    </xf>
    <xf numFmtId="1" fontId="25" fillId="17" borderId="39" xfId="8" applyNumberFormat="1" applyFont="1" applyFill="1" applyBorder="1" applyAlignment="1">
      <alignment horizontal="center" vertical="center" wrapText="1"/>
    </xf>
    <xf numFmtId="0" fontId="25" fillId="17" borderId="50" xfId="8" applyFont="1" applyFill="1" applyBorder="1" applyAlignment="1">
      <alignment horizontal="center" vertical="center" wrapText="1"/>
    </xf>
    <xf numFmtId="0" fontId="26" fillId="30" borderId="34" xfId="0" applyFont="1" applyFill="1" applyBorder="1" applyAlignment="1">
      <alignment horizontal="center" vertical="center" wrapText="1"/>
    </xf>
    <xf numFmtId="0" fontId="26" fillId="30" borderId="22" xfId="0" applyFont="1" applyFill="1" applyBorder="1" applyAlignment="1">
      <alignment horizontal="center" vertical="center" wrapText="1"/>
    </xf>
    <xf numFmtId="0" fontId="26" fillId="30" borderId="26" xfId="0" applyFont="1" applyFill="1" applyBorder="1" applyAlignment="1">
      <alignment horizontal="center" vertical="center" wrapText="1"/>
    </xf>
    <xf numFmtId="0" fontId="26" fillId="30" borderId="21" xfId="0" applyFont="1" applyFill="1" applyBorder="1" applyAlignment="1">
      <alignment horizontal="center" vertical="center" wrapText="1"/>
    </xf>
    <xf numFmtId="0" fontId="25" fillId="17" borderId="51" xfId="8" applyFont="1" applyFill="1" applyBorder="1" applyAlignment="1">
      <alignment horizontal="center" vertical="center" wrapText="1"/>
    </xf>
    <xf numFmtId="1" fontId="25" fillId="17" borderId="52" xfId="8" applyNumberFormat="1" applyFont="1" applyFill="1" applyBorder="1" applyAlignment="1">
      <alignment horizontal="center" vertical="center" wrapText="1"/>
    </xf>
    <xf numFmtId="1" fontId="25" fillId="17" borderId="57" xfId="8" applyNumberFormat="1" applyFont="1" applyFill="1" applyBorder="1" applyAlignment="1">
      <alignment horizontal="center" vertical="center" wrapText="1"/>
    </xf>
    <xf numFmtId="0" fontId="26" fillId="30" borderId="20" xfId="0" applyFont="1" applyFill="1" applyBorder="1" applyAlignment="1">
      <alignment horizontal="center" vertical="center" wrapText="1"/>
    </xf>
    <xf numFmtId="0" fontId="26" fillId="30" borderId="0" xfId="0" applyFont="1" applyFill="1" applyBorder="1" applyAlignment="1">
      <alignment horizontal="center" vertical="center" wrapText="1"/>
    </xf>
    <xf numFmtId="0" fontId="22" fillId="22" borderId="47" xfId="8" applyFont="1" applyFill="1" applyBorder="1" applyAlignment="1">
      <alignment horizontal="center" vertical="center" textRotation="90"/>
    </xf>
    <xf numFmtId="0" fontId="22" fillId="22" borderId="61" xfId="8" applyFont="1" applyFill="1" applyBorder="1" applyAlignment="1">
      <alignment horizontal="center" vertical="center" textRotation="90"/>
    </xf>
    <xf numFmtId="0" fontId="25" fillId="17" borderId="58" xfId="8" applyFont="1" applyFill="1" applyBorder="1" applyAlignment="1">
      <alignment horizontal="center" vertical="center" wrapText="1"/>
    </xf>
    <xf numFmtId="0" fontId="25" fillId="17" borderId="59" xfId="8" applyFont="1" applyFill="1" applyBorder="1" applyAlignment="1">
      <alignment horizontal="center" vertical="center" wrapText="1"/>
    </xf>
    <xf numFmtId="0" fontId="25" fillId="17" borderId="54" xfId="8" applyFont="1" applyFill="1" applyBorder="1" applyAlignment="1">
      <alignment horizontal="center" vertical="center" wrapText="1"/>
    </xf>
    <xf numFmtId="1" fontId="25" fillId="18" borderId="55" xfId="8" applyNumberFormat="1" applyFont="1" applyFill="1" applyBorder="1" applyAlignment="1">
      <alignment horizontal="center" vertical="center" wrapText="1"/>
    </xf>
    <xf numFmtId="0" fontId="25" fillId="17" borderId="56" xfId="8" applyFont="1" applyFill="1" applyBorder="1" applyAlignment="1">
      <alignment horizontal="center" vertical="center" wrapText="1"/>
    </xf>
    <xf numFmtId="0" fontId="33" fillId="31" borderId="0" xfId="0" applyFont="1" applyFill="1" applyBorder="1" applyAlignment="1">
      <alignment horizontal="center" vertical="center" wrapText="1"/>
    </xf>
    <xf numFmtId="0" fontId="33" fillId="31" borderId="21" xfId="0" applyFont="1" applyFill="1" applyBorder="1" applyAlignment="1">
      <alignment horizontal="center" vertical="center" wrapText="1"/>
    </xf>
    <xf numFmtId="0" fontId="33" fillId="31" borderId="34" xfId="0" applyFont="1" applyFill="1" applyBorder="1" applyAlignment="1">
      <alignment horizontal="center" vertical="center" textRotation="90" wrapText="1"/>
    </xf>
    <xf numFmtId="0" fontId="33" fillId="31" borderId="20" xfId="0" applyFont="1" applyFill="1" applyBorder="1" applyAlignment="1">
      <alignment horizontal="center" vertical="center" textRotation="90" wrapText="1"/>
    </xf>
    <xf numFmtId="0" fontId="33" fillId="31" borderId="26" xfId="0" applyFont="1" applyFill="1" applyBorder="1" applyAlignment="1">
      <alignment horizontal="center" vertical="center" textRotation="90" wrapText="1"/>
    </xf>
    <xf numFmtId="0" fontId="33" fillId="32" borderId="22" xfId="0" applyFont="1" applyFill="1" applyBorder="1" applyAlignment="1">
      <alignment horizontal="center" vertical="center" wrapText="1"/>
    </xf>
    <xf numFmtId="0" fontId="33" fillId="32" borderId="21" xfId="0" applyFont="1" applyFill="1" applyBorder="1" applyAlignment="1">
      <alignment horizontal="center" vertical="center" wrapText="1"/>
    </xf>
    <xf numFmtId="0" fontId="33" fillId="32" borderId="0" xfId="0" applyFont="1" applyFill="1" applyBorder="1" applyAlignment="1">
      <alignment horizontal="center" vertical="center" wrapText="1"/>
    </xf>
    <xf numFmtId="0" fontId="25" fillId="17" borderId="60" xfId="8" applyFont="1" applyFill="1" applyBorder="1" applyAlignment="1">
      <alignment horizontal="center" vertical="center" wrapText="1"/>
    </xf>
    <xf numFmtId="0" fontId="25" fillId="17" borderId="62" xfId="8" applyFont="1" applyFill="1" applyBorder="1" applyAlignment="1">
      <alignment horizontal="center" vertical="center" wrapText="1"/>
    </xf>
    <xf numFmtId="0" fontId="33" fillId="31" borderId="22" xfId="0" applyFont="1" applyFill="1" applyBorder="1" applyAlignment="1">
      <alignment horizontal="center" vertical="center" wrapText="1"/>
    </xf>
    <xf numFmtId="0" fontId="22" fillId="33" borderId="22" xfId="0" applyFont="1" applyFill="1" applyBorder="1" applyAlignment="1">
      <alignment horizontal="center" vertical="center" textRotation="90" wrapText="1"/>
    </xf>
    <xf numFmtId="0" fontId="22" fillId="33" borderId="0" xfId="0" applyFont="1" applyFill="1" applyBorder="1" applyAlignment="1">
      <alignment horizontal="center" vertical="center" textRotation="90" wrapText="1"/>
    </xf>
    <xf numFmtId="0" fontId="22" fillId="33" borderId="21" xfId="0" applyFont="1" applyFill="1" applyBorder="1" applyAlignment="1">
      <alignment horizontal="center" vertical="center" textRotation="90" wrapText="1"/>
    </xf>
    <xf numFmtId="0" fontId="22" fillId="6" borderId="0" xfId="8" applyFont="1" applyFill="1" applyAlignment="1">
      <alignment horizontal="center" vertical="center" wrapText="1"/>
    </xf>
    <xf numFmtId="0" fontId="22" fillId="6" borderId="0" xfId="8" applyFont="1" applyFill="1" applyAlignment="1">
      <alignment horizontal="center" vertical="center"/>
    </xf>
    <xf numFmtId="0" fontId="22" fillId="6" borderId="65" xfId="8" applyFont="1" applyFill="1" applyBorder="1" applyAlignment="1">
      <alignment horizontal="center" vertical="center" wrapText="1"/>
    </xf>
    <xf numFmtId="0" fontId="17" fillId="0" borderId="0" xfId="0" applyFont="1" applyAlignment="1"/>
    <xf numFmtId="0" fontId="0" fillId="0" borderId="0" xfId="0" applyAlignment="1"/>
    <xf numFmtId="0" fontId="19" fillId="2" borderId="10" xfId="4" applyFont="1" applyBorder="1" applyAlignment="1"/>
    <xf numFmtId="0" fontId="19" fillId="2" borderId="11" xfId="4" applyFont="1" applyBorder="1" applyAlignment="1"/>
    <xf numFmtId="0" fontId="1" fillId="0" borderId="8" xfId="7" applyFont="1" applyBorder="1" applyAlignment="1"/>
    <xf numFmtId="0" fontId="0" fillId="0" borderId="8" xfId="0" applyBorder="1" applyAlignment="1"/>
    <xf numFmtId="0" fontId="0" fillId="0" borderId="8" xfId="7" applyFont="1" applyBorder="1" applyAlignment="1"/>
    <xf numFmtId="0" fontId="18" fillId="3" borderId="8" xfId="5" applyFont="1" applyBorder="1" applyAlignment="1">
      <alignment horizontal="center"/>
    </xf>
    <xf numFmtId="0" fontId="7" fillId="0" borderId="8" xfId="7" applyBorder="1" applyAlignment="1"/>
    <xf numFmtId="0" fontId="18" fillId="3" borderId="8" xfId="5" applyFon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8" xfId="0" applyBorder="1" applyAlignment="1">
      <alignment horizontal="center"/>
    </xf>
    <xf numFmtId="0" fontId="7" fillId="0" borderId="8" xfId="7" applyFont="1" applyBorder="1" applyAlignment="1"/>
    <xf numFmtId="0" fontId="7" fillId="0" borderId="8" xfId="0" applyFont="1" applyBorder="1" applyAlignment="1"/>
    <xf numFmtId="2" fontId="19" fillId="2" borderId="8" xfId="4" applyNumberFormat="1" applyFont="1" applyBorder="1" applyAlignment="1"/>
    <xf numFmtId="0" fontId="0" fillId="0" borderId="8" xfId="0" applyFont="1" applyBorder="1" applyAlignment="1"/>
    <xf numFmtId="0" fontId="43" fillId="41" borderId="37" xfId="0" applyFont="1" applyFill="1" applyBorder="1" applyAlignment="1">
      <alignment horizontal="center" vertical="center"/>
    </xf>
    <xf numFmtId="0" fontId="47" fillId="5" borderId="0" xfId="0" applyFont="1" applyFill="1" applyAlignment="1">
      <alignment horizontal="left" vertical="center" wrapText="1"/>
    </xf>
    <xf numFmtId="0" fontId="47" fillId="5" borderId="0" xfId="0" applyFont="1" applyFill="1" applyAlignment="1">
      <alignment horizontal="right" vertical="center" wrapText="1"/>
    </xf>
    <xf numFmtId="0" fontId="47" fillId="44" borderId="4" xfId="0" applyFont="1" applyFill="1" applyBorder="1" applyAlignment="1">
      <alignment horizontal="center" vertical="center" wrapText="1"/>
    </xf>
    <xf numFmtId="0" fontId="47" fillId="44" borderId="70" xfId="0" applyFont="1" applyFill="1" applyBorder="1" applyAlignment="1">
      <alignment horizontal="center" vertical="center" wrapText="1"/>
    </xf>
    <xf numFmtId="0" fontId="48" fillId="45" borderId="71" xfId="0" applyFont="1" applyFill="1" applyBorder="1" applyAlignment="1">
      <alignment vertical="center" wrapText="1"/>
    </xf>
    <xf numFmtId="0" fontId="47" fillId="44" borderId="5" xfId="0" applyFont="1" applyFill="1" applyBorder="1" applyAlignment="1">
      <alignment horizontal="center" vertical="center" wrapText="1"/>
    </xf>
    <xf numFmtId="0" fontId="49" fillId="5" borderId="72" xfId="0" applyFont="1" applyFill="1" applyBorder="1" applyAlignment="1">
      <alignment horizontal="left" vertical="center" wrapText="1"/>
    </xf>
    <xf numFmtId="0" fontId="50" fillId="0" borderId="6" xfId="0" applyFont="1" applyBorder="1" applyAlignment="1">
      <alignment horizontal="center" vertical="center" textRotation="90" wrapText="1"/>
    </xf>
    <xf numFmtId="0" fontId="51" fillId="44" borderId="70" xfId="0" applyFont="1" applyFill="1" applyBorder="1" applyAlignment="1">
      <alignment horizontal="right" vertical="center"/>
    </xf>
    <xf numFmtId="0" fontId="8" fillId="44" borderId="5" xfId="0" applyFont="1" applyFill="1" applyBorder="1" applyAlignment="1">
      <alignment horizontal="right" vertical="center"/>
    </xf>
    <xf numFmtId="0" fontId="8" fillId="44" borderId="6" xfId="0" applyFont="1" applyFill="1" applyBorder="1" applyAlignment="1">
      <alignment horizontal="center" vertical="center" wrapText="1"/>
    </xf>
    <xf numFmtId="0" fontId="51" fillId="46" borderId="70" xfId="0" applyFont="1" applyFill="1" applyBorder="1" applyAlignment="1">
      <alignment horizontal="right" vertical="center"/>
    </xf>
    <xf numFmtId="0" fontId="8" fillId="46" borderId="5" xfId="0" applyFont="1" applyFill="1" applyBorder="1" applyAlignment="1">
      <alignment horizontal="right" vertical="center"/>
    </xf>
    <xf numFmtId="0" fontId="8" fillId="46" borderId="6" xfId="0" applyFont="1" applyFill="1" applyBorder="1" applyAlignment="1">
      <alignment horizontal="center" vertical="center" wrapText="1"/>
    </xf>
    <xf numFmtId="0" fontId="52" fillId="6" borderId="70" xfId="0" applyFont="1" applyFill="1" applyBorder="1" applyAlignment="1">
      <alignment horizontal="right" vertical="center"/>
    </xf>
    <xf numFmtId="0" fontId="9" fillId="6" borderId="5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center" vertical="center" wrapText="1"/>
    </xf>
    <xf numFmtId="0" fontId="53" fillId="5" borderId="7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10" fillId="7" borderId="4" xfId="0" applyFont="1" applyFill="1" applyBorder="1" applyAlignment="1">
      <alignment horizontal="right" vertical="center" wrapText="1"/>
    </xf>
    <xf numFmtId="0" fontId="10" fillId="7" borderId="70" xfId="0" applyFont="1" applyFill="1" applyBorder="1" applyAlignment="1">
      <alignment horizontal="right" vertical="center" wrapText="1"/>
    </xf>
    <xf numFmtId="0" fontId="10" fillId="7" borderId="5" xfId="0" applyFont="1" applyFill="1" applyBorder="1" applyAlignment="1">
      <alignment horizontal="right" vertical="center" wrapText="1"/>
    </xf>
    <xf numFmtId="1" fontId="54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 wrapText="1"/>
    </xf>
    <xf numFmtId="0" fontId="55" fillId="47" borderId="4" xfId="0" applyFont="1" applyFill="1" applyBorder="1" applyAlignment="1">
      <alignment horizontal="right" vertical="center" wrapText="1"/>
    </xf>
    <xf numFmtId="0" fontId="55" fillId="47" borderId="70" xfId="0" applyFont="1" applyFill="1" applyBorder="1" applyAlignment="1">
      <alignment horizontal="right" vertical="center" wrapText="1"/>
    </xf>
    <xf numFmtId="0" fontId="55" fillId="47" borderId="5" xfId="0" applyFont="1" applyFill="1" applyBorder="1" applyAlignment="1">
      <alignment horizontal="right" vertical="center" wrapText="1"/>
    </xf>
    <xf numFmtId="0" fontId="55" fillId="48" borderId="4" xfId="0" applyFont="1" applyFill="1" applyBorder="1" applyAlignment="1">
      <alignment horizontal="right" vertical="center" wrapText="1"/>
    </xf>
    <xf numFmtId="0" fontId="55" fillId="48" borderId="70" xfId="0" applyFont="1" applyFill="1" applyBorder="1" applyAlignment="1">
      <alignment horizontal="right" vertical="center" wrapText="1"/>
    </xf>
    <xf numFmtId="0" fontId="55" fillId="48" borderId="5" xfId="0" applyFont="1" applyFill="1" applyBorder="1" applyAlignment="1">
      <alignment horizontal="right" vertical="center" wrapText="1"/>
    </xf>
    <xf numFmtId="0" fontId="55" fillId="49" borderId="4" xfId="0" applyFont="1" applyFill="1" applyBorder="1" applyAlignment="1">
      <alignment horizontal="right" vertical="center" wrapText="1"/>
    </xf>
    <xf numFmtId="0" fontId="55" fillId="49" borderId="70" xfId="0" applyFont="1" applyFill="1" applyBorder="1" applyAlignment="1">
      <alignment horizontal="right" vertical="center" wrapText="1"/>
    </xf>
    <xf numFmtId="0" fontId="55" fillId="49" borderId="5" xfId="0" applyFont="1" applyFill="1" applyBorder="1" applyAlignment="1">
      <alignment horizontal="right" vertical="center" wrapText="1"/>
    </xf>
    <xf numFmtId="0" fontId="55" fillId="50" borderId="4" xfId="0" applyFont="1" applyFill="1" applyBorder="1" applyAlignment="1">
      <alignment horizontal="right" vertical="center" wrapText="1"/>
    </xf>
    <xf numFmtId="0" fontId="55" fillId="50" borderId="70" xfId="0" applyFont="1" applyFill="1" applyBorder="1" applyAlignment="1">
      <alignment horizontal="right" vertical="center" wrapText="1"/>
    </xf>
    <xf numFmtId="0" fontId="55" fillId="50" borderId="5" xfId="0" applyFont="1" applyFill="1" applyBorder="1" applyAlignment="1">
      <alignment horizontal="right" vertical="center" wrapText="1"/>
    </xf>
    <xf numFmtId="0" fontId="47" fillId="44" borderId="73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/>
    </xf>
    <xf numFmtId="1" fontId="56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/>
    </xf>
    <xf numFmtId="0" fontId="10" fillId="8" borderId="4" xfId="0" applyFont="1" applyFill="1" applyBorder="1" applyAlignment="1">
      <alignment horizontal="right" vertical="center" wrapText="1"/>
    </xf>
    <xf numFmtId="0" fontId="10" fillId="8" borderId="70" xfId="0" applyFont="1" applyFill="1" applyBorder="1" applyAlignment="1">
      <alignment horizontal="right" vertical="center" wrapText="1"/>
    </xf>
    <xf numFmtId="0" fontId="10" fillId="8" borderId="5" xfId="0" applyFont="1" applyFill="1" applyBorder="1" applyAlignment="1">
      <alignment horizontal="right" vertical="center" wrapText="1"/>
    </xf>
    <xf numFmtId="1" fontId="9" fillId="6" borderId="6" xfId="0" applyNumberFormat="1" applyFont="1" applyFill="1" applyBorder="1" applyAlignment="1">
      <alignment horizontal="center" vertical="center" wrapText="1"/>
    </xf>
    <xf numFmtId="1" fontId="48" fillId="45" borderId="71" xfId="0" applyNumberFormat="1" applyFont="1" applyFill="1" applyBorder="1" applyAlignment="1">
      <alignment vertical="center" wrapText="1"/>
    </xf>
    <xf numFmtId="0" fontId="8" fillId="44" borderId="4" xfId="0" applyFont="1" applyFill="1" applyBorder="1" applyAlignment="1">
      <alignment horizontal="center" vertical="center" wrapText="1"/>
    </xf>
    <xf numFmtId="0" fontId="8" fillId="44" borderId="70" xfId="0" applyFont="1" applyFill="1" applyBorder="1" applyAlignment="1">
      <alignment horizontal="center" vertical="center" wrapText="1"/>
    </xf>
    <xf numFmtId="0" fontId="8" fillId="44" borderId="5" xfId="0" applyFont="1" applyFill="1" applyBorder="1" applyAlignment="1">
      <alignment horizontal="center" vertical="center" wrapText="1"/>
    </xf>
    <xf numFmtId="167" fontId="8" fillId="46" borderId="6" xfId="1" applyNumberFormat="1" applyFont="1" applyFill="1" applyBorder="1" applyAlignment="1">
      <alignment horizontal="center" vertical="center" wrapText="1"/>
    </xf>
    <xf numFmtId="0" fontId="8" fillId="44" borderId="4" xfId="0" applyFont="1" applyFill="1" applyBorder="1" applyAlignment="1">
      <alignment horizontal="center" vertical="center" wrapText="1"/>
    </xf>
    <xf numFmtId="0" fontId="8" fillId="44" borderId="5" xfId="0" applyFont="1" applyFill="1" applyBorder="1" applyAlignment="1">
      <alignment horizontal="center" vertical="center" wrapText="1"/>
    </xf>
    <xf numFmtId="0" fontId="47" fillId="44" borderId="74" xfId="0" applyFont="1" applyFill="1" applyBorder="1" applyAlignment="1">
      <alignment horizontal="center" vertical="center" wrapText="1"/>
    </xf>
    <xf numFmtId="0" fontId="47" fillId="44" borderId="35" xfId="0" applyFont="1" applyFill="1" applyBorder="1" applyAlignment="1">
      <alignment horizontal="center" vertical="center" wrapText="1"/>
    </xf>
    <xf numFmtId="0" fontId="47" fillId="44" borderId="75" xfId="0" applyFont="1" applyFill="1" applyBorder="1" applyAlignment="1">
      <alignment horizontal="center" vertical="center" wrapText="1"/>
    </xf>
    <xf numFmtId="0" fontId="48" fillId="45" borderId="76" xfId="0" applyFont="1" applyFill="1" applyBorder="1" applyAlignment="1">
      <alignment vertical="center" wrapText="1"/>
    </xf>
    <xf numFmtId="0" fontId="50" fillId="51" borderId="74" xfId="0" applyFont="1" applyFill="1" applyBorder="1" applyAlignment="1">
      <alignment horizontal="center" vertical="center" wrapText="1"/>
    </xf>
    <xf numFmtId="0" fontId="50" fillId="51" borderId="35" xfId="0" applyFont="1" applyFill="1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 textRotation="90" wrapText="1"/>
    </xf>
    <xf numFmtId="0" fontId="57" fillId="0" borderId="77" xfId="0" applyFont="1" applyBorder="1" applyAlignment="1">
      <alignment horizontal="center" vertical="center" textRotation="90" wrapText="1"/>
    </xf>
    <xf numFmtId="0" fontId="57" fillId="0" borderId="78" xfId="0" applyFont="1" applyBorder="1" applyAlignment="1">
      <alignment horizontal="center" vertical="center" textRotation="90" wrapText="1"/>
    </xf>
    <xf numFmtId="0" fontId="50" fillId="0" borderId="78" xfId="0" applyFont="1" applyBorder="1" applyAlignment="1">
      <alignment horizontal="center" vertical="center" textRotation="90" wrapText="1"/>
    </xf>
    <xf numFmtId="0" fontId="50" fillId="0" borderId="79" xfId="0" applyFont="1" applyBorder="1" applyAlignment="1">
      <alignment horizontal="center" vertical="center" textRotation="90" wrapText="1"/>
    </xf>
    <xf numFmtId="0" fontId="50" fillId="51" borderId="74" xfId="0" applyFont="1" applyFill="1" applyBorder="1" applyAlignment="1">
      <alignment horizontal="center" vertical="center" textRotation="90" wrapText="1"/>
    </xf>
    <xf numFmtId="0" fontId="48" fillId="45" borderId="71" xfId="0" applyFont="1" applyFill="1" applyBorder="1" applyAlignment="1">
      <alignment horizontal="center" vertical="center" wrapText="1"/>
    </xf>
    <xf numFmtId="0" fontId="50" fillId="51" borderId="73" xfId="0" applyFont="1" applyFill="1" applyBorder="1" applyAlignment="1">
      <alignment horizontal="center" vertical="center" textRotation="90" wrapText="1"/>
    </xf>
    <xf numFmtId="0" fontId="50" fillId="5" borderId="80" xfId="0" applyFont="1" applyFill="1" applyBorder="1" applyAlignment="1">
      <alignment horizontal="center" vertical="center" textRotation="90" wrapText="1"/>
    </xf>
    <xf numFmtId="0" fontId="8" fillId="44" borderId="70" xfId="0" applyFont="1" applyFill="1" applyBorder="1" applyAlignment="1">
      <alignment horizontal="right" vertical="center"/>
    </xf>
    <xf numFmtId="0" fontId="58" fillId="46" borderId="70" xfId="0" applyFont="1" applyFill="1" applyBorder="1" applyAlignment="1">
      <alignment horizontal="right" vertical="center"/>
    </xf>
    <xf numFmtId="0" fontId="58" fillId="46" borderId="5" xfId="0" applyFont="1" applyFill="1" applyBorder="1" applyAlignment="1">
      <alignment horizontal="right" vertical="center"/>
    </xf>
    <xf numFmtId="0" fontId="58" fillId="46" borderId="6" xfId="0" applyFont="1" applyFill="1" applyBorder="1" applyAlignment="1">
      <alignment horizontal="center" vertical="center" wrapText="1"/>
    </xf>
    <xf numFmtId="167" fontId="59" fillId="46" borderId="6" xfId="1" applyNumberFormat="1" applyFont="1" applyFill="1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 wrapText="1"/>
    </xf>
    <xf numFmtId="0" fontId="57" fillId="0" borderId="77" xfId="0" applyFont="1" applyBorder="1" applyAlignment="1">
      <alignment horizontal="center" vertical="center" wrapText="1"/>
    </xf>
    <xf numFmtId="0" fontId="57" fillId="0" borderId="78" xfId="0" applyFont="1" applyBorder="1" applyAlignment="1">
      <alignment horizontal="center" vertical="center" wrapText="1"/>
    </xf>
    <xf numFmtId="0" fontId="50" fillId="0" borderId="78" xfId="0" applyFont="1" applyBorder="1" applyAlignment="1">
      <alignment horizontal="center" vertical="center" wrapText="1"/>
    </xf>
    <xf numFmtId="0" fontId="50" fillId="0" borderId="79" xfId="0" applyFont="1" applyBorder="1" applyAlignment="1">
      <alignment horizontal="center" vertical="center" wrapText="1"/>
    </xf>
    <xf numFmtId="0" fontId="50" fillId="0" borderId="6" xfId="0" applyFont="1" applyBorder="1" applyAlignment="1">
      <alignment horizontal="center" vertical="center" wrapText="1"/>
    </xf>
    <xf numFmtId="0" fontId="50" fillId="51" borderId="74" xfId="0" applyFont="1" applyFill="1" applyBorder="1" applyAlignment="1">
      <alignment horizontal="center" vertical="center" wrapText="1"/>
    </xf>
    <xf numFmtId="0" fontId="50" fillId="51" borderId="73" xfId="0" applyFont="1" applyFill="1" applyBorder="1" applyAlignment="1">
      <alignment horizontal="center" vertical="center" wrapText="1"/>
    </xf>
    <xf numFmtId="0" fontId="50" fillId="5" borderId="80" xfId="0" applyFont="1" applyFill="1" applyBorder="1" applyAlignment="1">
      <alignment horizontal="center" vertical="center" wrapText="1"/>
    </xf>
  </cellXfs>
  <cellStyles count="9">
    <cellStyle name="Buena" xfId="4" builtinId="26"/>
    <cellStyle name="Entrada" xfId="6" builtinId="20"/>
    <cellStyle name="Neutral" xfId="5" builtinId="28"/>
    <cellStyle name="Normal" xfId="0" builtinId="0"/>
    <cellStyle name="Normal 3" xfId="8"/>
    <cellStyle name="Porcentaje" xfId="1" builtinId="5"/>
    <cellStyle name="Título" xfId="2" builtinId="15"/>
    <cellStyle name="Título 2" xfId="3" builtinId="17"/>
    <cellStyle name="Total" xfId="7" builtinId="25"/>
  </cellStyles>
  <dxfs count="141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ont>
        <b/>
        <i val="0"/>
        <color rgb="FF00CC00"/>
      </font>
    </dxf>
    <dxf>
      <font>
        <b/>
        <i val="0"/>
        <color rgb="FFFF0000"/>
      </font>
    </dxf>
    <dxf>
      <font>
        <b/>
        <i val="0"/>
        <color rgb="FF00CC00"/>
      </font>
    </dxf>
    <dxf>
      <font>
        <b/>
        <i val="0"/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Demografia!$D$2:$H$2</c:f>
              <c:strCache>
                <c:ptCount val="5"/>
                <c:pt idx="0">
                  <c:v>2016</c:v>
                </c:pt>
                <c:pt idx="1">
                  <c:v>2015</c:v>
                </c:pt>
                <c:pt idx="2">
                  <c:v>BMK Mejores Empresas Argentina 2015</c:v>
                </c:pt>
                <c:pt idx="3">
                  <c:v>Dif. Argentina FY17 - FY16</c:v>
                </c:pt>
                <c:pt idx="4">
                  <c:v>Dif. Argentina FY17 - BMK </c:v>
                </c:pt>
              </c:strCache>
            </c:strRef>
          </c:cat>
          <c:val>
            <c:numRef>
              <c:f>Demografia!$D$17:$H$17</c:f>
              <c:numCache>
                <c:formatCode>General</c:formatCode>
                <c:ptCount val="5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Graficos!$C$52:$G$52</c:f>
              <c:numCache>
                <c:formatCode>0</c:formatCode>
                <c:ptCount val="5"/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Graficos!$C$50:$G$50</c:f>
              <c:numCache>
                <c:formatCode>0</c:formatCode>
                <c:ptCount val="5"/>
                <c:pt idx="0">
                  <c:v>68.66</c:v>
                </c:pt>
                <c:pt idx="1">
                  <c:v>72.650000000000006</c:v>
                </c:pt>
                <c:pt idx="2">
                  <c:v>78.88</c:v>
                </c:pt>
                <c:pt idx="3">
                  <c:v>-3.9900000000000091</c:v>
                </c:pt>
                <c:pt idx="4">
                  <c:v>-10.219999999999999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34267616"/>
        <c:axId val="23271854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Graficos!$C$55:$G$55</c:f>
              <c:numCache>
                <c:formatCode>0</c:formatCode>
                <c:ptCount val="5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  <c:pt idx="4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Graficos!$C$56:$G$56</c:f>
              <c:numCache>
                <c:formatCode>0</c:formatCode>
                <c:ptCount val="5"/>
                <c:pt idx="0">
                  <c:v>66.099999999999994</c:v>
                </c:pt>
                <c:pt idx="1">
                  <c:v>70.81</c:v>
                </c:pt>
                <c:pt idx="2">
                  <c:v>82.28</c:v>
                </c:pt>
                <c:pt idx="3">
                  <c:v>-4.710000000000008</c:v>
                </c:pt>
                <c:pt idx="4">
                  <c:v>-16.180000000000007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267616"/>
        <c:axId val="232718544"/>
      </c:lineChart>
      <c:catAx>
        <c:axId val="234267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32718544"/>
        <c:crosses val="autoZero"/>
        <c:auto val="1"/>
        <c:lblAlgn val="ctr"/>
        <c:lblOffset val="100"/>
        <c:noMultiLvlLbl val="0"/>
      </c:catAx>
      <c:valAx>
        <c:axId val="2327185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426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Demografia!$J$2:$N$2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Demografia!$J$17:$N$17</c:f>
              <c:numCache>
                <c:formatCode>0.0%</c:formatCode>
                <c:ptCount val="5"/>
                <c:pt idx="0">
                  <c:v>9.1575091575091579E-3</c:v>
                </c:pt>
                <c:pt idx="1">
                  <c:v>6.2271062271062272E-2</c:v>
                </c:pt>
                <c:pt idx="2">
                  <c:v>0.1446886446886447</c:v>
                </c:pt>
                <c:pt idx="3">
                  <c:v>0.74908424908424909</c:v>
                </c:pt>
                <c:pt idx="4">
                  <c:v>3.47985347985348E-2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Graficos!$C$116</c:f>
              <c:strCache>
                <c:ptCount val="1"/>
                <c:pt idx="0">
                  <c:v>**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Graficos!$C$112:$G$112</c:f>
              <c:numCache>
                <c:formatCode>0</c:formatCode>
                <c:ptCount val="5"/>
                <c:pt idx="0">
                  <c:v>99.14</c:v>
                </c:pt>
                <c:pt idx="1">
                  <c:v>83.43</c:v>
                </c:pt>
                <c:pt idx="2">
                  <c:v>78.489999999999995</c:v>
                </c:pt>
                <c:pt idx="3">
                  <c:v>70.23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Graficos!$C$110:$G$110</c:f>
              <c:numCache>
                <c:formatCode>0</c:formatCode>
                <c:ptCount val="5"/>
                <c:pt idx="0">
                  <c:v>0</c:v>
                </c:pt>
                <c:pt idx="1">
                  <c:v>81.95</c:v>
                </c:pt>
                <c:pt idx="2">
                  <c:v>73.63</c:v>
                </c:pt>
                <c:pt idx="3">
                  <c:v>65.900000000000006</c:v>
                </c:pt>
                <c:pt idx="4">
                  <c:v>77.260000000000005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8292352"/>
        <c:axId val="16829291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Graficos!$C$115:$G$115</c:f>
              <c:numCache>
                <c:formatCode>0</c:formatCode>
                <c:ptCount val="5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  <c:pt idx="4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Graficos!$C$116:$G$116</c:f>
              <c:numCache>
                <c:formatCode>0</c:formatCode>
                <c:ptCount val="5"/>
                <c:pt idx="0">
                  <c:v>0</c:v>
                </c:pt>
                <c:pt idx="1">
                  <c:v>84.85</c:v>
                </c:pt>
                <c:pt idx="2">
                  <c:v>73.08</c:v>
                </c:pt>
                <c:pt idx="3">
                  <c:v>61.9</c:v>
                </c:pt>
                <c:pt idx="4">
                  <c:v>84.21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292352"/>
        <c:axId val="168292912"/>
      </c:lineChart>
      <c:catAx>
        <c:axId val="168292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68292912"/>
        <c:crosses val="autoZero"/>
        <c:auto val="1"/>
        <c:lblAlgn val="ctr"/>
        <c:lblOffset val="100"/>
        <c:noMultiLvlLbl val="0"/>
      </c:catAx>
      <c:valAx>
        <c:axId val="1682929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829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Demografia!$P$2:$Q$2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Demografia!$P$17:$Q$17</c:f>
              <c:numCache>
                <c:formatCode>0.0%</c:formatCode>
                <c:ptCount val="2"/>
                <c:pt idx="0">
                  <c:v>0.63369963369963367</c:v>
                </c:pt>
                <c:pt idx="1">
                  <c:v>0.36630036630036628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Graficos!$C$172:$D$172</c:f>
              <c:numCache>
                <c:formatCode>0</c:formatCode>
                <c:ptCount val="2"/>
                <c:pt idx="0">
                  <c:v>71.61</c:v>
                </c:pt>
                <c:pt idx="1">
                  <c:v>74.44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Graficos!$C$170:$D$170</c:f>
              <c:numCache>
                <c:formatCode>0</c:formatCode>
                <c:ptCount val="2"/>
                <c:pt idx="0">
                  <c:v>67.92</c:v>
                </c:pt>
                <c:pt idx="1">
                  <c:v>69.959999999999994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36182864"/>
        <c:axId val="23618230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Graficos!$C$175:$D$175</c:f>
              <c:numCache>
                <c:formatCode>0</c:formatCode>
                <c:ptCount val="2"/>
                <c:pt idx="0">
                  <c:v>68.66</c:v>
                </c:pt>
                <c:pt idx="1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Graficos!$C$176:$D$176</c:f>
              <c:numCache>
                <c:formatCode>0</c:formatCode>
                <c:ptCount val="2"/>
                <c:pt idx="0">
                  <c:v>65.09</c:v>
                </c:pt>
                <c:pt idx="1">
                  <c:v>67.86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182864"/>
        <c:axId val="236182304"/>
      </c:lineChart>
      <c:catAx>
        <c:axId val="236182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36182304"/>
        <c:crosses val="autoZero"/>
        <c:auto val="1"/>
        <c:lblAlgn val="ctr"/>
        <c:lblOffset val="100"/>
        <c:noMultiLvlLbl val="0"/>
      </c:catAx>
      <c:valAx>
        <c:axId val="2361823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618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Demografia!$S$2:$W$2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Demografia!$S$17:$W$17</c:f>
              <c:numCache>
                <c:formatCode>0.0%</c:formatCode>
                <c:ptCount val="5"/>
                <c:pt idx="0">
                  <c:v>4.5787545787545784E-2</c:v>
                </c:pt>
                <c:pt idx="1">
                  <c:v>0.29853479853479853</c:v>
                </c:pt>
                <c:pt idx="2">
                  <c:v>0.38278388278388276</c:v>
                </c:pt>
                <c:pt idx="3">
                  <c:v>0.23443223443223443</c:v>
                </c:pt>
                <c:pt idx="4">
                  <c:v>3.8461538461538464E-2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Graficos!$C$232:$G$232</c:f>
              <c:numCache>
                <c:formatCode>0</c:formatCode>
                <c:ptCount val="5"/>
                <c:pt idx="0">
                  <c:v>70.98</c:v>
                </c:pt>
                <c:pt idx="1">
                  <c:v>69.53</c:v>
                </c:pt>
                <c:pt idx="2">
                  <c:v>75.62</c:v>
                </c:pt>
                <c:pt idx="3">
                  <c:v>71.150000000000006</c:v>
                </c:pt>
                <c:pt idx="4">
                  <c:v>77.040000000000006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Graficos!$C$230:$G$230</c:f>
              <c:numCache>
                <c:formatCode>0</c:formatCode>
                <c:ptCount val="5"/>
                <c:pt idx="0">
                  <c:v>73.83</c:v>
                </c:pt>
                <c:pt idx="1">
                  <c:v>59.53</c:v>
                </c:pt>
                <c:pt idx="2">
                  <c:v>72.44</c:v>
                </c:pt>
                <c:pt idx="3">
                  <c:v>72.56</c:v>
                </c:pt>
                <c:pt idx="4">
                  <c:v>71.7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35388016"/>
        <c:axId val="2353868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Graficos!$C$235:$G$235</c:f>
              <c:numCache>
                <c:formatCode>0</c:formatCode>
                <c:ptCount val="5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  <c:pt idx="4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Graficos!$C$236:$G$236</c:f>
              <c:numCache>
                <c:formatCode>0</c:formatCode>
                <c:ptCount val="5"/>
                <c:pt idx="0">
                  <c:v>84</c:v>
                </c:pt>
                <c:pt idx="1">
                  <c:v>57.86</c:v>
                </c:pt>
                <c:pt idx="2">
                  <c:v>67.98</c:v>
                </c:pt>
                <c:pt idx="3">
                  <c:v>70.63</c:v>
                </c:pt>
                <c:pt idx="4">
                  <c:v>61.9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388016"/>
        <c:axId val="235386896"/>
      </c:lineChart>
      <c:catAx>
        <c:axId val="235388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35386896"/>
        <c:crosses val="autoZero"/>
        <c:auto val="1"/>
        <c:lblAlgn val="ctr"/>
        <c:lblOffset val="100"/>
        <c:noMultiLvlLbl val="0"/>
      </c:catAx>
      <c:valAx>
        <c:axId val="2353868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538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 en la Empresa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Demografia!$Y$2:$AC$2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Demografia!$Y$17:$AC$17</c:f>
              <c:numCache>
                <c:formatCode>0.0%</c:formatCode>
                <c:ptCount val="5"/>
                <c:pt idx="0">
                  <c:v>0.14102564102564102</c:v>
                </c:pt>
                <c:pt idx="1">
                  <c:v>0.39194139194139194</c:v>
                </c:pt>
                <c:pt idx="2">
                  <c:v>0.21062271062271062</c:v>
                </c:pt>
                <c:pt idx="3">
                  <c:v>0.11172161172161173</c:v>
                </c:pt>
                <c:pt idx="4">
                  <c:v>0.1446886446886447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Graficos!$C$292:$G$292</c:f>
              <c:numCache>
                <c:formatCode>0</c:formatCode>
                <c:ptCount val="5"/>
                <c:pt idx="0">
                  <c:v>76.2</c:v>
                </c:pt>
                <c:pt idx="1">
                  <c:v>74.25</c:v>
                </c:pt>
                <c:pt idx="2">
                  <c:v>65.959999999999994</c:v>
                </c:pt>
                <c:pt idx="3">
                  <c:v>76.19</c:v>
                </c:pt>
                <c:pt idx="4">
                  <c:v>73.959999999999994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Graficos!$C$290:$G$290</c:f>
              <c:numCache>
                <c:formatCode>0</c:formatCode>
                <c:ptCount val="5"/>
                <c:pt idx="0">
                  <c:v>71.45</c:v>
                </c:pt>
                <c:pt idx="1">
                  <c:v>66.28</c:v>
                </c:pt>
                <c:pt idx="2">
                  <c:v>65.08</c:v>
                </c:pt>
                <c:pt idx="3">
                  <c:v>70.23</c:v>
                </c:pt>
                <c:pt idx="4">
                  <c:v>76.27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32725824"/>
        <c:axId val="23272918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Graficos!$C$295:$G$295</c:f>
              <c:numCache>
                <c:formatCode>0</c:formatCode>
                <c:ptCount val="5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  <c:pt idx="4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Graficos!$C$296:$G$296</c:f>
              <c:numCache>
                <c:formatCode>0</c:formatCode>
                <c:ptCount val="5"/>
                <c:pt idx="0">
                  <c:v>77.63</c:v>
                </c:pt>
                <c:pt idx="1">
                  <c:v>63.59</c:v>
                </c:pt>
                <c:pt idx="2">
                  <c:v>58.41</c:v>
                </c:pt>
                <c:pt idx="3">
                  <c:v>68.849999999999994</c:v>
                </c:pt>
                <c:pt idx="4">
                  <c:v>70.510000000000005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725824"/>
        <c:axId val="232729184"/>
      </c:lineChart>
      <c:catAx>
        <c:axId val="2327258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32729184"/>
        <c:crosses val="autoZero"/>
        <c:auto val="1"/>
        <c:lblAlgn val="ctr"/>
        <c:lblOffset val="100"/>
        <c:noMultiLvlLbl val="0"/>
      </c:catAx>
      <c:valAx>
        <c:axId val="2327291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272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Jornada Laboral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Demografia!$AE$2:$AF$2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Demografia!$AE$17:$AF$17</c:f>
              <c:numCache>
                <c:formatCode>0.0%</c:formatCode>
                <c:ptCount val="2"/>
                <c:pt idx="0">
                  <c:v>0.96336996336996339</c:v>
                </c:pt>
                <c:pt idx="1">
                  <c:v>3.6630036630036632E-2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Graficos!$C$352:$D$352</c:f>
              <c:numCache>
                <c:formatCode>0</c:formatCode>
                <c:ptCount val="2"/>
                <c:pt idx="0">
                  <c:v>72.680000000000007</c:v>
                </c:pt>
                <c:pt idx="1">
                  <c:v>70.2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Graficos!$C$350:$D$350</c:f>
              <c:numCache>
                <c:formatCode>0</c:formatCode>
                <c:ptCount val="2"/>
                <c:pt idx="0">
                  <c:v>68.42</c:v>
                </c:pt>
                <c:pt idx="1">
                  <c:v>75.09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38181104"/>
        <c:axId val="3602059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Graficos!$C$355:$D$355</c:f>
              <c:numCache>
                <c:formatCode>0</c:formatCode>
                <c:ptCount val="2"/>
                <c:pt idx="0">
                  <c:v>68.66</c:v>
                </c:pt>
                <c:pt idx="1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Graficos!$C$356:$D$356</c:f>
              <c:numCache>
                <c:formatCode>0</c:formatCode>
                <c:ptCount val="2"/>
                <c:pt idx="0">
                  <c:v>65.37</c:v>
                </c:pt>
                <c:pt idx="1">
                  <c:v>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181104"/>
        <c:axId val="36020592"/>
      </c:lineChart>
      <c:catAx>
        <c:axId val="238181104"/>
        <c:scaling>
          <c:orientation val="minMax"/>
        </c:scaling>
        <c:delete val="1"/>
        <c:axPos val="b"/>
        <c:majorTickMark val="none"/>
        <c:minorTickMark val="none"/>
        <c:tickLblPos val="nextTo"/>
        <c:crossAx val="36020592"/>
        <c:crosses val="autoZero"/>
        <c:auto val="1"/>
        <c:lblAlgn val="ctr"/>
        <c:lblOffset val="100"/>
        <c:noMultiLvlLbl val="0"/>
      </c:catAx>
      <c:valAx>
        <c:axId val="360205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818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de Feedback en FY16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Demografia!$AH$2:$AK$2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Demografia!$AH$17:$AK$17</c:f>
              <c:numCache>
                <c:formatCode>0.0%</c:formatCode>
                <c:ptCount val="4"/>
                <c:pt idx="0">
                  <c:v>0.365234375</c:v>
                </c:pt>
                <c:pt idx="1">
                  <c:v>0.205078125</c:v>
                </c:pt>
                <c:pt idx="2">
                  <c:v>0.267578125</c:v>
                </c:pt>
                <c:pt idx="3">
                  <c:v>0.162109375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Graficos!$C$412:$F$412</c:f>
              <c:numCache>
                <c:formatCode>0</c:formatCode>
                <c:ptCount val="4"/>
                <c:pt idx="0">
                  <c:v>82.53</c:v>
                </c:pt>
                <c:pt idx="1">
                  <c:v>75.45</c:v>
                </c:pt>
                <c:pt idx="2">
                  <c:v>65.260000000000005</c:v>
                </c:pt>
                <c:pt idx="3">
                  <c:v>55.45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Graficos!$C$410:$F$410</c:f>
              <c:numCache>
                <c:formatCode>0</c:formatCode>
                <c:ptCount val="4"/>
                <c:pt idx="0">
                  <c:v>82.22</c:v>
                </c:pt>
                <c:pt idx="1">
                  <c:v>72.290000000000006</c:v>
                </c:pt>
                <c:pt idx="2">
                  <c:v>60.39</c:v>
                </c:pt>
                <c:pt idx="3">
                  <c:v>48.85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41348144"/>
        <c:axId val="24134590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Graficos!$C$415:$F$415</c:f>
              <c:numCache>
                <c:formatCode>0</c:formatCode>
                <c:ptCount val="4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Graficos!$C$416:$F$416</c:f>
              <c:numCache>
                <c:formatCode>0</c:formatCode>
                <c:ptCount val="4"/>
                <c:pt idx="0">
                  <c:v>79.680000000000007</c:v>
                </c:pt>
                <c:pt idx="1">
                  <c:v>73.33</c:v>
                </c:pt>
                <c:pt idx="2">
                  <c:v>58.39</c:v>
                </c:pt>
                <c:pt idx="3">
                  <c:v>40.96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348144"/>
        <c:axId val="241345904"/>
      </c:lineChart>
      <c:catAx>
        <c:axId val="241348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241345904"/>
        <c:crosses val="autoZero"/>
        <c:auto val="1"/>
        <c:lblAlgn val="ctr"/>
        <c:lblOffset val="100"/>
        <c:noMultiLvlLbl val="0"/>
      </c:catAx>
      <c:valAx>
        <c:axId val="2413459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4134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Lob1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Demografia!$AM$2:$AS$2</c:f>
              <c:strCache>
                <c:ptCount val="7"/>
                <c:pt idx="0">
                  <c:v>Cloud Services</c:v>
                </c:pt>
                <c:pt idx="1">
                  <c:v>Development</c:v>
                </c:pt>
                <c:pt idx="2">
                  <c:v>GBU´s/IBU´S- Bob Weiler´s / Dontatelli´s Org</c:v>
                </c:pt>
                <c:pt idx="3">
                  <c:v>Global G&amp;A/Manufacturing (SSC &amp; Others)</c:v>
                </c:pt>
                <c:pt idx="4">
                  <c:v>Global IT</c:v>
                </c:pt>
                <c:pt idx="5">
                  <c:v>Global Sales CEO Office</c:v>
                </c:pt>
                <c:pt idx="6">
                  <c:v>Product Support</c:v>
                </c:pt>
              </c:strCache>
            </c:strRef>
          </c:cat>
          <c:val>
            <c:numRef>
              <c:f>Demografia!$AM$17:$AS$17</c:f>
              <c:numCache>
                <c:formatCode>0.0%</c:formatCode>
                <c:ptCount val="7"/>
                <c:pt idx="0">
                  <c:v>5.7851239669421489E-2</c:v>
                </c:pt>
                <c:pt idx="1">
                  <c:v>4.9586776859504134E-2</c:v>
                </c:pt>
                <c:pt idx="2">
                  <c:v>0.4462809917355372</c:v>
                </c:pt>
                <c:pt idx="3">
                  <c:v>4.1322314049586778E-2</c:v>
                </c:pt>
                <c:pt idx="4">
                  <c:v>4.1322314049586778E-2</c:v>
                </c:pt>
                <c:pt idx="5">
                  <c:v>0.33884297520661155</c:v>
                </c:pt>
                <c:pt idx="6">
                  <c:v>2.4793388429752067E-2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Graficos!$C$472:$I$472</c:f>
              <c:numCache>
                <c:formatCode>0</c:formatCode>
                <c:ptCount val="7"/>
                <c:pt idx="0">
                  <c:v>57.47</c:v>
                </c:pt>
                <c:pt idx="1">
                  <c:v>54.46</c:v>
                </c:pt>
                <c:pt idx="2">
                  <c:v>61.25</c:v>
                </c:pt>
                <c:pt idx="3">
                  <c:v>0</c:v>
                </c:pt>
                <c:pt idx="4">
                  <c:v>0</c:v>
                </c:pt>
                <c:pt idx="5">
                  <c:v>63.07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Graficos!$C$470:$I$470</c:f>
              <c:numCache>
                <c:formatCode>0</c:formatCode>
                <c:ptCount val="7"/>
                <c:pt idx="0">
                  <c:v>53.78</c:v>
                </c:pt>
                <c:pt idx="1">
                  <c:v>69.599999999999994</c:v>
                </c:pt>
                <c:pt idx="2">
                  <c:v>51.49</c:v>
                </c:pt>
                <c:pt idx="3">
                  <c:v>0</c:v>
                </c:pt>
                <c:pt idx="4">
                  <c:v>0</c:v>
                </c:pt>
                <c:pt idx="5">
                  <c:v>52.19</c:v>
                </c:pt>
                <c:pt idx="6">
                  <c:v>0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6085840"/>
        <c:axId val="3608304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Graficos!$C$475:$I$475</c:f>
              <c:numCache>
                <c:formatCode>0</c:formatCode>
                <c:ptCount val="7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  <c:pt idx="4">
                  <c:v>68.66</c:v>
                </c:pt>
                <c:pt idx="5">
                  <c:v>68.66</c:v>
                </c:pt>
                <c:pt idx="6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Graficos!$C$476:$I$476</c:f>
              <c:numCache>
                <c:formatCode>0</c:formatCode>
                <c:ptCount val="7"/>
                <c:pt idx="0">
                  <c:v>42.86</c:v>
                </c:pt>
                <c:pt idx="1">
                  <c:v>66.67</c:v>
                </c:pt>
                <c:pt idx="2">
                  <c:v>52.94</c:v>
                </c:pt>
                <c:pt idx="3">
                  <c:v>0</c:v>
                </c:pt>
                <c:pt idx="4">
                  <c:v>0</c:v>
                </c:pt>
                <c:pt idx="5">
                  <c:v>42.51</c:v>
                </c:pt>
                <c:pt idx="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85840"/>
        <c:axId val="36083040"/>
      </c:lineChart>
      <c:catAx>
        <c:axId val="36085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36083040"/>
        <c:crosses val="autoZero"/>
        <c:auto val="1"/>
        <c:lblAlgn val="ctr"/>
        <c:lblOffset val="100"/>
        <c:noMultiLvlLbl val="0"/>
      </c:catAx>
      <c:valAx>
        <c:axId val="36083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08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Lob2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Demografia!$AU$2:$BA$2</c:f>
              <c:strCache>
                <c:ptCount val="7"/>
                <c:pt idx="0">
                  <c:v>Eduardo Lopez´s Org (excl. Consulting)</c:v>
                </c:pt>
                <c:pt idx="1">
                  <c:v>LAD Consulting</c:v>
                </c:pt>
                <c:pt idx="2">
                  <c:v>LAD Customer Services</c:v>
                </c:pt>
                <c:pt idx="3">
                  <c:v>LAD Deal Management</c:v>
                </c:pt>
                <c:pt idx="4">
                  <c:v>LAD Education</c:v>
                </c:pt>
                <c:pt idx="5">
                  <c:v>LAD Facilities</c:v>
                </c:pt>
                <c:pt idx="6">
                  <c:v>LAD Finance &amp; Operations (Cheryl McDowell´s)</c:v>
                </c:pt>
              </c:strCache>
            </c:strRef>
          </c:cat>
          <c:val>
            <c:numRef>
              <c:f>Demografia!$AU$17:$BA$17</c:f>
              <c:numCache>
                <c:formatCode>0.0%</c:formatCode>
                <c:ptCount val="7"/>
                <c:pt idx="0">
                  <c:v>8.6956521739130432E-2</c:v>
                </c:pt>
                <c:pt idx="1">
                  <c:v>0.62055335968379444</c:v>
                </c:pt>
                <c:pt idx="2">
                  <c:v>0.16205533596837945</c:v>
                </c:pt>
                <c:pt idx="3">
                  <c:v>1.9762845849802372E-2</c:v>
                </c:pt>
                <c:pt idx="4">
                  <c:v>1.5810276679841896E-2</c:v>
                </c:pt>
                <c:pt idx="5">
                  <c:v>2.766798418972332E-2</c:v>
                </c:pt>
                <c:pt idx="6">
                  <c:v>6.7193675889328064E-2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Graficos!$C$532:$I$532</c:f>
              <c:numCache>
                <c:formatCode>0</c:formatCode>
                <c:ptCount val="7"/>
                <c:pt idx="0">
                  <c:v>87.6</c:v>
                </c:pt>
                <c:pt idx="1">
                  <c:v>80.55</c:v>
                </c:pt>
                <c:pt idx="2">
                  <c:v>76.48</c:v>
                </c:pt>
                <c:pt idx="3">
                  <c:v>0</c:v>
                </c:pt>
                <c:pt idx="4">
                  <c:v>0</c:v>
                </c:pt>
                <c:pt idx="5">
                  <c:v>88.89</c:v>
                </c:pt>
                <c:pt idx="6">
                  <c:v>76.92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Graficos!$C$530:$I$530</c:f>
              <c:numCache>
                <c:formatCode>0</c:formatCode>
                <c:ptCount val="7"/>
                <c:pt idx="0">
                  <c:v>82.58</c:v>
                </c:pt>
                <c:pt idx="1">
                  <c:v>72.69</c:v>
                </c:pt>
                <c:pt idx="2">
                  <c:v>79.94</c:v>
                </c:pt>
                <c:pt idx="3">
                  <c:v>0</c:v>
                </c:pt>
                <c:pt idx="4">
                  <c:v>0</c:v>
                </c:pt>
                <c:pt idx="5">
                  <c:v>80.58</c:v>
                </c:pt>
                <c:pt idx="6">
                  <c:v>59.53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68601168"/>
        <c:axId val="36860172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Graficos!$C$535:$I$535</c:f>
              <c:numCache>
                <c:formatCode>0</c:formatCode>
                <c:ptCount val="7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  <c:pt idx="4">
                  <c:v>68.66</c:v>
                </c:pt>
                <c:pt idx="5">
                  <c:v>68.66</c:v>
                </c:pt>
                <c:pt idx="6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Graficos!$C$536:$I$536</c:f>
              <c:numCache>
                <c:formatCode>0</c:formatCode>
                <c:ptCount val="7"/>
                <c:pt idx="0">
                  <c:v>85.71</c:v>
                </c:pt>
                <c:pt idx="1">
                  <c:v>67.95</c:v>
                </c:pt>
                <c:pt idx="2">
                  <c:v>82.93</c:v>
                </c:pt>
                <c:pt idx="3">
                  <c:v>0</c:v>
                </c:pt>
                <c:pt idx="4">
                  <c:v>0</c:v>
                </c:pt>
                <c:pt idx="5">
                  <c:v>71.430000000000007</c:v>
                </c:pt>
                <c:pt idx="6">
                  <c:v>58.82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601168"/>
        <c:axId val="368601728"/>
      </c:lineChart>
      <c:catAx>
        <c:axId val="368601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68601728"/>
        <c:crosses val="autoZero"/>
        <c:auto val="1"/>
        <c:lblAlgn val="ctr"/>
        <c:lblOffset val="100"/>
        <c:noMultiLvlLbl val="0"/>
      </c:catAx>
      <c:valAx>
        <c:axId val="3686017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860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Lob3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Demografia!$BC$2:$BI$2</c:f>
              <c:strCache>
                <c:ptCount val="7"/>
                <c:pt idx="0">
                  <c:v>LAD HR</c:v>
                </c:pt>
                <c:pt idx="1">
                  <c:v>LAD Legal</c:v>
                </c:pt>
                <c:pt idx="2">
                  <c:v>LAD Licenses &amp; Systems</c:v>
                </c:pt>
                <c:pt idx="3">
                  <c:v>LAD LMS</c:v>
                </c:pt>
                <c:pt idx="4">
                  <c:v>LAD Marketing</c:v>
                </c:pt>
                <c:pt idx="5">
                  <c:v>LAD Recruiting</c:v>
                </c:pt>
                <c:pt idx="6">
                  <c:v>LAD Support</c:v>
                </c:pt>
              </c:strCache>
            </c:strRef>
          </c:cat>
          <c:val>
            <c:numRef>
              <c:f>Demografia!$BC$17:$BI$17</c:f>
              <c:numCache>
                <c:formatCode>0.0%</c:formatCode>
                <c:ptCount val="7"/>
                <c:pt idx="0">
                  <c:v>2.9069767441860465E-2</c:v>
                </c:pt>
                <c:pt idx="1">
                  <c:v>1.1627906976744186E-2</c:v>
                </c:pt>
                <c:pt idx="2">
                  <c:v>0.63953488372093026</c:v>
                </c:pt>
                <c:pt idx="3">
                  <c:v>1.1627906976744186E-2</c:v>
                </c:pt>
                <c:pt idx="4">
                  <c:v>5.232558139534884E-2</c:v>
                </c:pt>
                <c:pt idx="5">
                  <c:v>3.4883720930232558E-2</c:v>
                </c:pt>
                <c:pt idx="6">
                  <c:v>0.22093023255813954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Graficos!$C$596:$F$596</c:f>
              <c:strCache>
                <c:ptCount val="4"/>
                <c:pt idx="0">
                  <c:v>**</c:v>
                </c:pt>
                <c:pt idx="1">
                  <c:v>**</c:v>
                </c:pt>
                <c:pt idx="2">
                  <c:v>73</c:v>
                </c:pt>
                <c:pt idx="3">
                  <c:v>**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Graficos!$C$592:$I$592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75.38</c:v>
                </c:pt>
                <c:pt idx="3">
                  <c:v>0</c:v>
                </c:pt>
                <c:pt idx="4">
                  <c:v>77.62</c:v>
                </c:pt>
                <c:pt idx="5">
                  <c:v>76.150000000000006</c:v>
                </c:pt>
                <c:pt idx="6">
                  <c:v>68.61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Graficos!$C$590:$I$590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73.709999999999994</c:v>
                </c:pt>
                <c:pt idx="3">
                  <c:v>0</c:v>
                </c:pt>
                <c:pt idx="4">
                  <c:v>76.13</c:v>
                </c:pt>
                <c:pt idx="5">
                  <c:v>72.13</c:v>
                </c:pt>
                <c:pt idx="6">
                  <c:v>60.86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68799664"/>
        <c:axId val="38379104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Graficos!$C$595:$I$595</c:f>
              <c:numCache>
                <c:formatCode>0</c:formatCode>
                <c:ptCount val="7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  <c:pt idx="4">
                  <c:v>68.66</c:v>
                </c:pt>
                <c:pt idx="5">
                  <c:v>68.66</c:v>
                </c:pt>
                <c:pt idx="6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Graficos!$C$596:$I$596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72.64</c:v>
                </c:pt>
                <c:pt idx="3">
                  <c:v>0</c:v>
                </c:pt>
                <c:pt idx="4">
                  <c:v>62.51</c:v>
                </c:pt>
                <c:pt idx="5">
                  <c:v>100</c:v>
                </c:pt>
                <c:pt idx="6">
                  <c:v>57.89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799664"/>
        <c:axId val="383791040"/>
      </c:lineChart>
      <c:catAx>
        <c:axId val="368799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383791040"/>
        <c:crosses val="autoZero"/>
        <c:auto val="1"/>
        <c:lblAlgn val="ctr"/>
        <c:lblOffset val="100"/>
        <c:noMultiLvlLbl val="0"/>
      </c:catAx>
      <c:valAx>
        <c:axId val="383791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879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Demografia!$BK$2:$BL$2</c:f>
              <c:strCache>
                <c:ptCount val="2"/>
                <c:pt idx="0">
                  <c:v>Cloud Services-Business Development (Tony Gray´s Org)</c:v>
                </c:pt>
                <c:pt idx="1">
                  <c:v>Cloud Services-Solution Management (Bearzi´s Org)</c:v>
                </c:pt>
              </c:strCache>
            </c:strRef>
          </c:cat>
          <c:val>
            <c:numRef>
              <c:f>Demografia!$BK$17:$BL$17</c:f>
              <c:numCache>
                <c:formatCode>0.0%</c:formatCode>
                <c:ptCount val="2"/>
                <c:pt idx="0">
                  <c:v>0.14285714285714285</c:v>
                </c:pt>
                <c:pt idx="1">
                  <c:v>0.8571428571428571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Graficos!$C$656</c:f>
              <c:strCache>
                <c:ptCount val="1"/>
                <c:pt idx="0">
                  <c:v>**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Graficos!$C$652:$D$652</c:f>
              <c:numCache>
                <c:formatCode>0</c:formatCode>
                <c:ptCount val="2"/>
                <c:pt idx="0">
                  <c:v>0</c:v>
                </c:pt>
                <c:pt idx="1">
                  <c:v>59.05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Graficos!$C$650:$D$650</c:f>
              <c:numCache>
                <c:formatCode>0</c:formatCode>
                <c:ptCount val="2"/>
                <c:pt idx="0">
                  <c:v>0</c:v>
                </c:pt>
                <c:pt idx="1">
                  <c:v>50.06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9240160"/>
        <c:axId val="16924240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Graficos!$C$655:$D$655</c:f>
              <c:numCache>
                <c:formatCode>0</c:formatCode>
                <c:ptCount val="2"/>
                <c:pt idx="0">
                  <c:v>68.66</c:v>
                </c:pt>
                <c:pt idx="1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Graficos!$C$656:$D$656</c:f>
              <c:numCache>
                <c:formatCode>0</c:formatCode>
                <c:ptCount val="2"/>
                <c:pt idx="0">
                  <c:v>0</c:v>
                </c:pt>
                <c:pt idx="1">
                  <c:v>33.33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40160"/>
        <c:axId val="169242400"/>
      </c:lineChart>
      <c:catAx>
        <c:axId val="1692401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242400"/>
        <c:crosses val="autoZero"/>
        <c:auto val="1"/>
        <c:lblAlgn val="ctr"/>
        <c:lblOffset val="100"/>
        <c:noMultiLvlLbl val="0"/>
      </c:catAx>
      <c:valAx>
        <c:axId val="169242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24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Demografia!$BN$2:$BQ$2</c:f>
              <c:strCache>
                <c:ptCount val="4"/>
                <c:pt idx="0">
                  <c:v>Development - Apps (Steve Miranda´s Org)</c:v>
                </c:pt>
                <c:pt idx="1">
                  <c:v>Development - Corporate Arquitect-Screven´s Org</c:v>
                </c:pt>
                <c:pt idx="2">
                  <c:v>Development-All Others</c:v>
                </c:pt>
                <c:pt idx="3">
                  <c:v>Development-Fusion Middleware (Singh Inderjeet´s Org)</c:v>
                </c:pt>
              </c:strCache>
            </c:strRef>
          </c:cat>
          <c:val>
            <c:numRef>
              <c:f>Demografia!$BN$17:$BQ$17</c:f>
              <c:numCache>
                <c:formatCode>0.0%</c:formatCode>
                <c:ptCount val="4"/>
                <c:pt idx="0">
                  <c:v>0.16666666666666666</c:v>
                </c:pt>
                <c:pt idx="1">
                  <c:v>0.16666666666666666</c:v>
                </c:pt>
                <c:pt idx="2">
                  <c:v>0.66666666666666663</c:v>
                </c:pt>
                <c:pt idx="3">
                  <c:v>0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Graficos!$C$716:$E$716</c:f>
              <c:strCache>
                <c:ptCount val="3"/>
                <c:pt idx="0">
                  <c:v>**</c:v>
                </c:pt>
                <c:pt idx="1">
                  <c:v>**</c:v>
                </c:pt>
                <c:pt idx="2">
                  <c:v>**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Graficos!$C$712:$F$712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53.71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Graficos!$C$710:$F$710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83523184"/>
        <c:axId val="38352094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Graficos!$C$715:$F$715</c:f>
              <c:numCache>
                <c:formatCode>0</c:formatCode>
                <c:ptCount val="4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Graficos!$C$716:$F$716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523184"/>
        <c:axId val="383520944"/>
      </c:lineChart>
      <c:catAx>
        <c:axId val="383523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383520944"/>
        <c:crosses val="autoZero"/>
        <c:auto val="1"/>
        <c:lblAlgn val="ctr"/>
        <c:lblOffset val="100"/>
        <c:noMultiLvlLbl val="0"/>
      </c:catAx>
      <c:valAx>
        <c:axId val="3835209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352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Coverage Infraestructure (Donatelli´s Org)</c:v>
                </c:pt>
                <c:pt idx="1">
                  <c:v>GBU-All Others</c:v>
                </c:pt>
                <c:pt idx="2">
                  <c:v>GBU-Mike Webster´s Org</c:v>
                </c:pt>
                <c:pt idx="3">
                  <c:v>GBU-Suriano Douglas´s Org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1.8518518518518517E-2</c:v>
                </c:pt>
                <c:pt idx="1">
                  <c:v>1.8518518518518517E-2</c:v>
                </c:pt>
                <c:pt idx="2">
                  <c:v>0.64814814814814814</c:v>
                </c:pt>
                <c:pt idx="3">
                  <c:v>0.31481481481481483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Graficos!$C$776:$D$776</c:f>
              <c:strCache>
                <c:ptCount val="2"/>
                <c:pt idx="0">
                  <c:v>**</c:v>
                </c:pt>
                <c:pt idx="1">
                  <c:v>**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Graficos!$C$772:$F$772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Graficos!$C$770:$F$770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54.29</c:v>
                </c:pt>
                <c:pt idx="3">
                  <c:v>43.81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81552912"/>
        <c:axId val="38155123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Graficos!$C$775:$F$775</c:f>
              <c:numCache>
                <c:formatCode>0</c:formatCode>
                <c:ptCount val="4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Graficos!$C$776:$F$776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62.51</c:v>
                </c:pt>
                <c:pt idx="3">
                  <c:v>35.29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552912"/>
        <c:axId val="381551232"/>
      </c:lineChart>
      <c:catAx>
        <c:axId val="381552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381551232"/>
        <c:crosses val="autoZero"/>
        <c:auto val="1"/>
        <c:lblAlgn val="ctr"/>
        <c:lblOffset val="100"/>
        <c:noMultiLvlLbl val="0"/>
      </c:catAx>
      <c:valAx>
        <c:axId val="3815512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155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Drop" dropStyle="combo" dx="16" fmlaLink="I24" noThreeD="1" sel="2" val="0">
  <itemLst>
    <item val="Barras"/>
    <item val="Torta"/>
  </itemLst>
</formControlPr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Drop" dropStyle="combo" dx="16" fmlaLink="I25" noThreeD="1" val="0">
  <itemLst>
    <item val="Hist. + Tabla"/>
  </itemLst>
</formControlPr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Drop" dropStyle="combo" dx="16" fmlaLink="I26" noThreeD="1" sel="2" val="0">
  <itemLst>
    <item val="Barras"/>
    <item val="Torta"/>
  </itemLst>
</formControlPr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Drop" dropStyle="combo" dx="16" fmlaLink="I27" noThreeD="1" val="0">
  <itemLst>
    <item val="Hist. + Tabla"/>
  </itemLst>
</formControlPr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Drop" dropStyle="combo" dx="16" fmlaLink="I28" noThreeD="1" sel="2" val="0">
  <itemLst>
    <item val="Barras"/>
    <item val="Torta"/>
  </itemLst>
</formControlPr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Drop" dropStyle="combo" dx="16" fmlaLink="I29" noThreeD="1" val="0">
  <itemLst>
    <item val="Hist. + Tabla"/>
  </itemLst>
</formControlPr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19050</xdr:rowOff>
        </xdr:from>
        <xdr:to>
          <xdr:col>4</xdr:col>
          <xdr:colOff>914400</xdr:colOff>
          <xdr:row>30</xdr:row>
          <xdr:rowOff>238125</xdr:rowOff>
        </xdr:to>
        <xdr:sp macro="" textlink="">
          <xdr:nvSpPr>
            <xdr:cNvPr id="5134" name="ComboBox1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28353" name="DropDowns_Demo1" hidden="1">
              <a:extLst>
                <a:ext uri="{63B3BB69-23CF-44E3-9099-C40C66FF867C}">
                  <a14:compatExt spid="_x0000_s228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28354" name="CheckBox_Demo1" hidden="1">
              <a:extLst>
                <a:ext uri="{63B3BB69-23CF-44E3-9099-C40C66FF867C}">
                  <a14:compatExt spid="_x0000_s228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28355" name="DropDowns_Demo_Bis1" hidden="1">
              <a:extLst>
                <a:ext uri="{63B3BB69-23CF-44E3-9099-C40C66FF867C}">
                  <a14:compatExt spid="_x0000_s228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28356" name="CheckBox_Demo_Bis1" hidden="1">
              <a:extLst>
                <a:ext uri="{63B3BB69-23CF-44E3-9099-C40C66FF867C}">
                  <a14:compatExt spid="_x0000_s228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28357" name="DropDowns_Demo2" hidden="1">
              <a:extLst>
                <a:ext uri="{63B3BB69-23CF-44E3-9099-C40C66FF867C}">
                  <a14:compatExt spid="_x0000_s228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28358" name="CheckBox_Demo2" hidden="1">
              <a:extLst>
                <a:ext uri="{63B3BB69-23CF-44E3-9099-C40C66FF867C}">
                  <a14:compatExt spid="_x0000_s228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28359" name="DropDowns_Demo_Bis2" hidden="1">
              <a:extLst>
                <a:ext uri="{63B3BB69-23CF-44E3-9099-C40C66FF867C}">
                  <a14:compatExt spid="_x0000_s228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28360" name="CheckBox_Demo_Bis2" hidden="1">
              <a:extLst>
                <a:ext uri="{63B3BB69-23CF-44E3-9099-C40C66FF867C}">
                  <a14:compatExt spid="_x0000_s228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28361" name="DropDowns_Demo3" hidden="1">
              <a:extLst>
                <a:ext uri="{63B3BB69-23CF-44E3-9099-C40C66FF867C}">
                  <a14:compatExt spid="_x0000_s228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28362" name="CheckBox_Demo3" hidden="1">
              <a:extLst>
                <a:ext uri="{63B3BB69-23CF-44E3-9099-C40C66FF867C}">
                  <a14:compatExt spid="_x0000_s228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28363" name="DropDowns_Demo_Bis3" hidden="1">
              <a:extLst>
                <a:ext uri="{63B3BB69-23CF-44E3-9099-C40C66FF867C}">
                  <a14:compatExt spid="_x0000_s228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28364" name="CheckBox_Demo_Bis3" hidden="1">
              <a:extLst>
                <a:ext uri="{63B3BB69-23CF-44E3-9099-C40C66FF867C}">
                  <a14:compatExt spid="_x0000_s228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28365" name="DropDowns_Demo4" hidden="1">
              <a:extLst>
                <a:ext uri="{63B3BB69-23CF-44E3-9099-C40C66FF867C}">
                  <a14:compatExt spid="_x0000_s228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28366" name="CheckBox_Demo4" hidden="1">
              <a:extLst>
                <a:ext uri="{63B3BB69-23CF-44E3-9099-C40C66FF867C}">
                  <a14:compatExt spid="_x0000_s228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28367" name="DropDowns_Demo_Bis4" hidden="1">
              <a:extLst>
                <a:ext uri="{63B3BB69-23CF-44E3-9099-C40C66FF867C}">
                  <a14:compatExt spid="_x0000_s228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28368" name="CheckBox_Demo_Bis4" hidden="1">
              <a:extLst>
                <a:ext uri="{63B3BB69-23CF-44E3-9099-C40C66FF867C}">
                  <a14:compatExt spid="_x0000_s228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28369" name="DropDowns_Demo5" hidden="1">
              <a:extLst>
                <a:ext uri="{63B3BB69-23CF-44E3-9099-C40C66FF867C}">
                  <a14:compatExt spid="_x0000_s22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28370" name="CheckBox_Demo5" hidden="1">
              <a:extLst>
                <a:ext uri="{63B3BB69-23CF-44E3-9099-C40C66FF867C}">
                  <a14:compatExt spid="_x0000_s228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28371" name="DropDowns_Demo_Bis5" hidden="1">
              <a:extLst>
                <a:ext uri="{63B3BB69-23CF-44E3-9099-C40C66FF867C}">
                  <a14:compatExt spid="_x0000_s228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28372" name="CheckBox_Demo_Bis5" hidden="1">
              <a:extLst>
                <a:ext uri="{63B3BB69-23CF-44E3-9099-C40C66FF867C}">
                  <a14:compatExt spid="_x0000_s228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28373" name="DropDowns_Demo6" hidden="1">
              <a:extLst>
                <a:ext uri="{63B3BB69-23CF-44E3-9099-C40C66FF867C}">
                  <a14:compatExt spid="_x0000_s228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28374" name="CheckBox_Demo6" hidden="1">
              <a:extLst>
                <a:ext uri="{63B3BB69-23CF-44E3-9099-C40C66FF867C}">
                  <a14:compatExt spid="_x0000_s228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28375" name="DropDowns_Demo_Bis6" hidden="1">
              <a:extLst>
                <a:ext uri="{63B3BB69-23CF-44E3-9099-C40C66FF867C}">
                  <a14:compatExt spid="_x0000_s228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28376" name="CheckBox_Demo_Bis6" hidden="1">
              <a:extLst>
                <a:ext uri="{63B3BB69-23CF-44E3-9099-C40C66FF867C}">
                  <a14:compatExt spid="_x0000_s228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28377" name="DropDowns_Demo7" hidden="1">
              <a:extLst>
                <a:ext uri="{63B3BB69-23CF-44E3-9099-C40C66FF867C}">
                  <a14:compatExt spid="_x0000_s228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28378" name="CheckBox_Demo7" hidden="1">
              <a:extLst>
                <a:ext uri="{63B3BB69-23CF-44E3-9099-C40C66FF867C}">
                  <a14:compatExt spid="_x0000_s228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28379" name="DropDowns_Demo_Bis7" hidden="1">
              <a:extLst>
                <a:ext uri="{63B3BB69-23CF-44E3-9099-C40C66FF867C}">
                  <a14:compatExt spid="_x0000_s228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28380" name="CheckBox_Demo_Bis7" hidden="1">
              <a:extLst>
                <a:ext uri="{63B3BB69-23CF-44E3-9099-C40C66FF867C}">
                  <a14:compatExt spid="_x0000_s228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28381" name="DropDowns_Demo8" hidden="1">
              <a:extLst>
                <a:ext uri="{63B3BB69-23CF-44E3-9099-C40C66FF867C}">
                  <a14:compatExt spid="_x0000_s228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28382" name="CheckBox_Demo8" hidden="1">
              <a:extLst>
                <a:ext uri="{63B3BB69-23CF-44E3-9099-C40C66FF867C}">
                  <a14:compatExt spid="_x0000_s228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28383" name="DropDowns_Demo_Bis8" hidden="1">
              <a:extLst>
                <a:ext uri="{63B3BB69-23CF-44E3-9099-C40C66FF867C}">
                  <a14:compatExt spid="_x0000_s228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28384" name="CheckBox_Demo_Bis8" hidden="1">
              <a:extLst>
                <a:ext uri="{63B3BB69-23CF-44E3-9099-C40C66FF867C}">
                  <a14:compatExt spid="_x0000_s228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28385" name="DropDowns_Demo9" hidden="1">
              <a:extLst>
                <a:ext uri="{63B3BB69-23CF-44E3-9099-C40C66FF867C}">
                  <a14:compatExt spid="_x0000_s228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28386" name="CheckBox_Demo9" hidden="1">
              <a:extLst>
                <a:ext uri="{63B3BB69-23CF-44E3-9099-C40C66FF867C}">
                  <a14:compatExt spid="_x0000_s228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28387" name="DropDowns_Demo_Bis9" hidden="1">
              <a:extLst>
                <a:ext uri="{63B3BB69-23CF-44E3-9099-C40C66FF867C}">
                  <a14:compatExt spid="_x0000_s228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28388" name="CheckBox_Demo_Bis9" hidden="1">
              <a:extLst>
                <a:ext uri="{63B3BB69-23CF-44E3-9099-C40C66FF867C}">
                  <a14:compatExt spid="_x0000_s228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28389" name="DropDowns_Demo10" hidden="1">
              <a:extLst>
                <a:ext uri="{63B3BB69-23CF-44E3-9099-C40C66FF867C}">
                  <a14:compatExt spid="_x0000_s228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28390" name="CheckBox_Demo10" hidden="1">
              <a:extLst>
                <a:ext uri="{63B3BB69-23CF-44E3-9099-C40C66FF867C}">
                  <a14:compatExt spid="_x0000_s228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28391" name="DropDowns_Demo_Bis10" hidden="1">
              <a:extLst>
                <a:ext uri="{63B3BB69-23CF-44E3-9099-C40C66FF867C}">
                  <a14:compatExt spid="_x0000_s228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28392" name="CheckBox_Demo_Bis10" hidden="1">
              <a:extLst>
                <a:ext uri="{63B3BB69-23CF-44E3-9099-C40C66FF867C}">
                  <a14:compatExt spid="_x0000_s228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228393" name="DropDowns_Demo11" hidden="1">
              <a:extLst>
                <a:ext uri="{63B3BB69-23CF-44E3-9099-C40C66FF867C}">
                  <a14:compatExt spid="_x0000_s228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228394" name="CheckBox_Demo11" hidden="1">
              <a:extLst>
                <a:ext uri="{63B3BB69-23CF-44E3-9099-C40C66FF867C}">
                  <a14:compatExt spid="_x0000_s228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228395" name="DropDowns_Demo_Bis11" hidden="1">
              <a:extLst>
                <a:ext uri="{63B3BB69-23CF-44E3-9099-C40C66FF867C}">
                  <a14:compatExt spid="_x0000_s228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228396" name="CheckBox_Demo_Bis11" hidden="1">
              <a:extLst>
                <a:ext uri="{63B3BB69-23CF-44E3-9099-C40C66FF867C}">
                  <a14:compatExt spid="_x0000_s228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228397" name="DropDowns_Demo12" hidden="1">
              <a:extLst>
                <a:ext uri="{63B3BB69-23CF-44E3-9099-C40C66FF867C}">
                  <a14:compatExt spid="_x0000_s228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228398" name="CheckBox_Demo12" hidden="1">
              <a:extLst>
                <a:ext uri="{63B3BB69-23CF-44E3-9099-C40C66FF867C}">
                  <a14:compatExt spid="_x0000_s228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228399" name="DropDowns_Demo_Bis12" hidden="1">
              <a:extLst>
                <a:ext uri="{63B3BB69-23CF-44E3-9099-C40C66FF867C}">
                  <a14:compatExt spid="_x0000_s228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26</xdr:row>
          <xdr:rowOff>0</xdr:rowOff>
        </xdr:from>
        <xdr:to>
          <xdr:col>9</xdr:col>
          <xdr:colOff>638175</xdr:colOff>
          <xdr:row>27</xdr:row>
          <xdr:rowOff>19050</xdr:rowOff>
        </xdr:to>
        <xdr:sp macro="" textlink="">
          <xdr:nvSpPr>
            <xdr:cNvPr id="228400" name="CheckBox_Demo_Bis12" hidden="1">
              <a:extLst>
                <a:ext uri="{63B3BB69-23CF-44E3-9099-C40C66FF867C}">
                  <a14:compatExt spid="_x0000_s228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228401" name="DropDowns_Demo13" hidden="1">
              <a:extLst>
                <a:ext uri="{63B3BB69-23CF-44E3-9099-C40C66FF867C}">
                  <a14:compatExt spid="_x0000_s228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27</xdr:row>
          <xdr:rowOff>0</xdr:rowOff>
        </xdr:from>
        <xdr:to>
          <xdr:col>9</xdr:col>
          <xdr:colOff>638175</xdr:colOff>
          <xdr:row>28</xdr:row>
          <xdr:rowOff>19050</xdr:rowOff>
        </xdr:to>
        <xdr:sp macro="" textlink="">
          <xdr:nvSpPr>
            <xdr:cNvPr id="228402" name="CheckBox_Demo13" hidden="1">
              <a:extLst>
                <a:ext uri="{63B3BB69-23CF-44E3-9099-C40C66FF867C}">
                  <a14:compatExt spid="_x0000_s228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228403" name="DropDowns_Demo_Bis13" hidden="1">
              <a:extLst>
                <a:ext uri="{63B3BB69-23CF-44E3-9099-C40C66FF867C}">
                  <a14:compatExt spid="_x0000_s228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28</xdr:row>
          <xdr:rowOff>0</xdr:rowOff>
        </xdr:from>
        <xdr:to>
          <xdr:col>9</xdr:col>
          <xdr:colOff>638175</xdr:colOff>
          <xdr:row>29</xdr:row>
          <xdr:rowOff>19050</xdr:rowOff>
        </xdr:to>
        <xdr:sp macro="" textlink="">
          <xdr:nvSpPr>
            <xdr:cNvPr id="228404" name="CheckBox_Demo_Bis13" hidden="1">
              <a:extLst>
                <a:ext uri="{63B3BB69-23CF-44E3-9099-C40C66FF867C}">
                  <a14:compatExt spid="_x0000_s228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30</xdr:row>
          <xdr:rowOff>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28405" name="Button 53" hidden="1">
              <a:extLst>
                <a:ext uri="{63B3BB69-23CF-44E3-9099-C40C66FF867C}">
                  <a14:compatExt spid="_x0000_s228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33</xdr:row>
          <xdr:rowOff>0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228406" name="Button 54" hidden="1">
              <a:extLst>
                <a:ext uri="{63B3BB69-23CF-44E3-9099-C40C66FF867C}">
                  <a14:compatExt spid="_x0000_s228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9</xdr:col>
      <xdr:colOff>254000</xdr:colOff>
      <xdr:row>30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11</xdr:col>
      <xdr:colOff>165100</xdr:colOff>
      <xdr:row>42</xdr:row>
      <xdr:rowOff>152400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64</xdr:row>
      <xdr:rowOff>0</xdr:rowOff>
    </xdr:from>
    <xdr:to>
      <xdr:col>9</xdr:col>
      <xdr:colOff>254000</xdr:colOff>
      <xdr:row>90</xdr:row>
      <xdr:rowOff>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92</xdr:row>
      <xdr:rowOff>0</xdr:rowOff>
    </xdr:from>
    <xdr:to>
      <xdr:col>11</xdr:col>
      <xdr:colOff>165100</xdr:colOff>
      <xdr:row>102</xdr:row>
      <xdr:rowOff>152400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124</xdr:row>
      <xdr:rowOff>6350</xdr:rowOff>
    </xdr:from>
    <xdr:to>
      <xdr:col>9</xdr:col>
      <xdr:colOff>254000</xdr:colOff>
      <xdr:row>150</xdr:row>
      <xdr:rowOff>6350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152</xdr:row>
      <xdr:rowOff>6350</xdr:rowOff>
    </xdr:from>
    <xdr:to>
      <xdr:col>11</xdr:col>
      <xdr:colOff>165100</xdr:colOff>
      <xdr:row>162</xdr:row>
      <xdr:rowOff>158750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184</xdr:row>
      <xdr:rowOff>6350</xdr:rowOff>
    </xdr:from>
    <xdr:to>
      <xdr:col>9</xdr:col>
      <xdr:colOff>254000</xdr:colOff>
      <xdr:row>210</xdr:row>
      <xdr:rowOff>6350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212</xdr:row>
      <xdr:rowOff>6350</xdr:rowOff>
    </xdr:from>
    <xdr:to>
      <xdr:col>11</xdr:col>
      <xdr:colOff>165100</xdr:colOff>
      <xdr:row>222</xdr:row>
      <xdr:rowOff>158750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244</xdr:row>
      <xdr:rowOff>0</xdr:rowOff>
    </xdr:from>
    <xdr:to>
      <xdr:col>9</xdr:col>
      <xdr:colOff>254000</xdr:colOff>
      <xdr:row>270</xdr:row>
      <xdr:rowOff>0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11</xdr:col>
      <xdr:colOff>165100</xdr:colOff>
      <xdr:row>282</xdr:row>
      <xdr:rowOff>152400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303</xdr:row>
      <xdr:rowOff>184150</xdr:rowOff>
    </xdr:from>
    <xdr:to>
      <xdr:col>9</xdr:col>
      <xdr:colOff>254000</xdr:colOff>
      <xdr:row>329</xdr:row>
      <xdr:rowOff>184150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331</xdr:row>
      <xdr:rowOff>184150</xdr:rowOff>
    </xdr:from>
    <xdr:to>
      <xdr:col>11</xdr:col>
      <xdr:colOff>165100</xdr:colOff>
      <xdr:row>342</xdr:row>
      <xdr:rowOff>146050</xdr:rowOff>
    </xdr:to>
    <xdr:graphicFrame macro="">
      <xdr:nvGraphicFramePr>
        <xdr:cNvPr id="13" name="Grá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364</xdr:row>
      <xdr:rowOff>0</xdr:rowOff>
    </xdr:from>
    <xdr:to>
      <xdr:col>9</xdr:col>
      <xdr:colOff>254000</xdr:colOff>
      <xdr:row>390</xdr:row>
      <xdr:rowOff>0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392</xdr:row>
      <xdr:rowOff>0</xdr:rowOff>
    </xdr:from>
    <xdr:to>
      <xdr:col>11</xdr:col>
      <xdr:colOff>165100</xdr:colOff>
      <xdr:row>402</xdr:row>
      <xdr:rowOff>152400</xdr:rowOff>
    </xdr:to>
    <xdr:graphicFrame macro="">
      <xdr:nvGraphicFramePr>
        <xdr:cNvPr id="15" name="Gráfico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424</xdr:row>
      <xdr:rowOff>0</xdr:rowOff>
    </xdr:from>
    <xdr:to>
      <xdr:col>9</xdr:col>
      <xdr:colOff>254000</xdr:colOff>
      <xdr:row>450</xdr:row>
      <xdr:rowOff>0</xdr:rowOff>
    </xdr:to>
    <xdr:graphicFrame macro="">
      <xdr:nvGraphicFramePr>
        <xdr:cNvPr id="16" name="Gráfico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452</xdr:row>
      <xdr:rowOff>0</xdr:rowOff>
    </xdr:from>
    <xdr:to>
      <xdr:col>11</xdr:col>
      <xdr:colOff>165100</xdr:colOff>
      <xdr:row>462</xdr:row>
      <xdr:rowOff>152400</xdr:rowOff>
    </xdr:to>
    <xdr:graphicFrame macro="">
      <xdr:nvGraphicFramePr>
        <xdr:cNvPr id="17" name="Gráfico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484</xdr:row>
      <xdr:rowOff>0</xdr:rowOff>
    </xdr:from>
    <xdr:to>
      <xdr:col>9</xdr:col>
      <xdr:colOff>254000</xdr:colOff>
      <xdr:row>510</xdr:row>
      <xdr:rowOff>0</xdr:rowOff>
    </xdr:to>
    <xdr:graphicFrame macro="">
      <xdr:nvGraphicFramePr>
        <xdr:cNvPr id="18" name="Gráfico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512</xdr:row>
      <xdr:rowOff>0</xdr:rowOff>
    </xdr:from>
    <xdr:to>
      <xdr:col>11</xdr:col>
      <xdr:colOff>165100</xdr:colOff>
      <xdr:row>522</xdr:row>
      <xdr:rowOff>152400</xdr:rowOff>
    </xdr:to>
    <xdr:graphicFrame macro="">
      <xdr:nvGraphicFramePr>
        <xdr:cNvPr id="19" name="Gráfico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544</xdr:row>
      <xdr:rowOff>0</xdr:rowOff>
    </xdr:from>
    <xdr:to>
      <xdr:col>9</xdr:col>
      <xdr:colOff>254000</xdr:colOff>
      <xdr:row>570</xdr:row>
      <xdr:rowOff>0</xdr:rowOff>
    </xdr:to>
    <xdr:graphicFrame macro="">
      <xdr:nvGraphicFramePr>
        <xdr:cNvPr id="20" name="Gráfico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572</xdr:row>
      <xdr:rowOff>0</xdr:rowOff>
    </xdr:from>
    <xdr:to>
      <xdr:col>11</xdr:col>
      <xdr:colOff>165100</xdr:colOff>
      <xdr:row>582</xdr:row>
      <xdr:rowOff>152400</xdr:rowOff>
    </xdr:to>
    <xdr:graphicFrame macro="">
      <xdr:nvGraphicFramePr>
        <xdr:cNvPr id="21" name="Gráfico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604</xdr:row>
      <xdr:rowOff>6350</xdr:rowOff>
    </xdr:from>
    <xdr:to>
      <xdr:col>9</xdr:col>
      <xdr:colOff>254000</xdr:colOff>
      <xdr:row>630</xdr:row>
      <xdr:rowOff>6350</xdr:rowOff>
    </xdr:to>
    <xdr:graphicFrame macro="">
      <xdr:nvGraphicFramePr>
        <xdr:cNvPr id="22" name="Gráfico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632</xdr:row>
      <xdr:rowOff>6350</xdr:rowOff>
    </xdr:from>
    <xdr:to>
      <xdr:col>11</xdr:col>
      <xdr:colOff>165100</xdr:colOff>
      <xdr:row>642</xdr:row>
      <xdr:rowOff>158750</xdr:rowOff>
    </xdr:to>
    <xdr:graphicFrame macro="">
      <xdr:nvGraphicFramePr>
        <xdr:cNvPr id="23" name="Gráfico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0</xdr:colOff>
      <xdr:row>664</xdr:row>
      <xdr:rowOff>3175</xdr:rowOff>
    </xdr:from>
    <xdr:to>
      <xdr:col>9</xdr:col>
      <xdr:colOff>254000</xdr:colOff>
      <xdr:row>690</xdr:row>
      <xdr:rowOff>3175</xdr:rowOff>
    </xdr:to>
    <xdr:graphicFrame macro="">
      <xdr:nvGraphicFramePr>
        <xdr:cNvPr id="24" name="Gráfico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</xdr:col>
      <xdr:colOff>0</xdr:colOff>
      <xdr:row>692</xdr:row>
      <xdr:rowOff>3175</xdr:rowOff>
    </xdr:from>
    <xdr:to>
      <xdr:col>11</xdr:col>
      <xdr:colOff>165100</xdr:colOff>
      <xdr:row>702</xdr:row>
      <xdr:rowOff>155575</xdr:rowOff>
    </xdr:to>
    <xdr:graphicFrame macro="">
      <xdr:nvGraphicFramePr>
        <xdr:cNvPr id="25" name="Gráfico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723</xdr:row>
      <xdr:rowOff>187325</xdr:rowOff>
    </xdr:from>
    <xdr:to>
      <xdr:col>9</xdr:col>
      <xdr:colOff>254000</xdr:colOff>
      <xdr:row>749</xdr:row>
      <xdr:rowOff>187325</xdr:rowOff>
    </xdr:to>
    <xdr:graphicFrame macro="">
      <xdr:nvGraphicFramePr>
        <xdr:cNvPr id="26" name="Gráfico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</xdr:col>
      <xdr:colOff>0</xdr:colOff>
      <xdr:row>751</xdr:row>
      <xdr:rowOff>187325</xdr:rowOff>
    </xdr:from>
    <xdr:to>
      <xdr:col>11</xdr:col>
      <xdr:colOff>165100</xdr:colOff>
      <xdr:row>762</xdr:row>
      <xdr:rowOff>149225</xdr:rowOff>
    </xdr:to>
    <xdr:graphicFrame macro="">
      <xdr:nvGraphicFramePr>
        <xdr:cNvPr id="27" name="Gráfico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50" Type="http://schemas.openxmlformats.org/officeDocument/2006/relationships/ctrlProp" Target="../ctrlProps/ctrlProp52.xml"/><Relationship Id="rId55" Type="http://schemas.openxmlformats.org/officeDocument/2006/relationships/ctrlProp" Target="../ctrlProps/ctrlProp57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3" Type="http://schemas.openxmlformats.org/officeDocument/2006/relationships/ctrlProp" Target="../ctrlProps/ctrlProp55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52" Type="http://schemas.openxmlformats.org/officeDocument/2006/relationships/ctrlProp" Target="../ctrlProps/ctrlProp54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48" Type="http://schemas.openxmlformats.org/officeDocument/2006/relationships/ctrlProp" Target="../ctrlProps/ctrlProp50.xml"/><Relationship Id="rId56" Type="http://schemas.openxmlformats.org/officeDocument/2006/relationships/ctrlProp" Target="../ctrlProps/ctrlProp58.xml"/><Relationship Id="rId8" Type="http://schemas.openxmlformats.org/officeDocument/2006/relationships/ctrlProp" Target="../ctrlProps/ctrlProp10.xml"/><Relationship Id="rId51" Type="http://schemas.openxmlformats.org/officeDocument/2006/relationships/ctrlProp" Target="../ctrlProps/ctrlProp53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Relationship Id="rId54" Type="http://schemas.openxmlformats.org/officeDocument/2006/relationships/ctrlProp" Target="../ctrlProps/ctrlProp56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49" Type="http://schemas.openxmlformats.org/officeDocument/2006/relationships/ctrlProp" Target="../ctrlProps/ctrlProp5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F4" sqref="F4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26" t="s">
        <v>6</v>
      </c>
      <c r="G2" s="126"/>
      <c r="H2" s="126"/>
      <c r="J2" s="126" t="s">
        <v>7</v>
      </c>
      <c r="K2" s="126"/>
      <c r="L2" s="126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9</v>
      </c>
      <c r="J4" s="10" t="s">
        <v>189</v>
      </c>
      <c r="K4" s="10" t="s">
        <v>8</v>
      </c>
      <c r="L4" s="10" t="s">
        <v>9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19</v>
      </c>
      <c r="G6" s="6" t="s">
        <v>8</v>
      </c>
      <c r="H6" s="6" t="s">
        <v>20</v>
      </c>
      <c r="J6" s="6" t="s">
        <v>21</v>
      </c>
      <c r="K6" s="6" t="s">
        <v>8</v>
      </c>
      <c r="L6" s="6" t="s">
        <v>20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F1"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8" width="5" customWidth="1"/>
    <col min="9" max="9" width="0.7109375" customWidth="1"/>
    <col min="10" max="14" width="5" customWidth="1"/>
    <col min="15" max="15" width="0.7109375" customWidth="1"/>
    <col min="16" max="17" width="5" customWidth="1"/>
    <col min="18" max="18" width="0.7109375" customWidth="1"/>
    <col min="19" max="23" width="5" customWidth="1"/>
    <col min="24" max="24" width="0.7109375" customWidth="1"/>
    <col min="25" max="29" width="5" customWidth="1"/>
    <col min="30" max="30" width="0.7109375" customWidth="1"/>
    <col min="31" max="32" width="5" customWidth="1"/>
    <col min="33" max="33" width="0.7109375" customWidth="1"/>
    <col min="34" max="37" width="5" customWidth="1"/>
    <col min="38" max="38" width="0.7109375" customWidth="1"/>
    <col min="39" max="45" width="5.7109375" customWidth="1"/>
    <col min="46" max="46" width="0.7109375" customWidth="1"/>
    <col min="47" max="53" width="5.7109375" customWidth="1"/>
    <col min="54" max="54" width="0.7109375" customWidth="1"/>
    <col min="55" max="61" width="5.7109375" customWidth="1"/>
    <col min="62" max="62" width="0.7109375" customWidth="1"/>
    <col min="63" max="64" width="5.7109375" customWidth="1"/>
    <col min="65" max="65" width="0.7109375" customWidth="1"/>
    <col min="66" max="69" width="5.7109375" customWidth="1"/>
    <col min="70" max="70" width="0.7109375" customWidth="1"/>
    <col min="71" max="74" width="5.7109375" customWidth="1"/>
  </cols>
  <sheetData>
    <row r="1" spans="1:74">
      <c r="A1" s="241" t="s">
        <v>232</v>
      </c>
      <c r="B1" s="241"/>
      <c r="C1" s="242"/>
      <c r="D1" s="293" t="s">
        <v>175</v>
      </c>
      <c r="E1" s="294"/>
      <c r="F1" s="294"/>
      <c r="G1" s="294"/>
      <c r="H1" s="295"/>
      <c r="I1" s="296"/>
      <c r="J1" s="293" t="s">
        <v>254</v>
      </c>
      <c r="K1" s="294"/>
      <c r="L1" s="294"/>
      <c r="M1" s="294"/>
      <c r="N1" s="295"/>
      <c r="O1" s="296"/>
      <c r="P1" s="293" t="s">
        <v>177</v>
      </c>
      <c r="Q1" s="295"/>
      <c r="R1" s="296"/>
      <c r="S1" s="293" t="s">
        <v>176</v>
      </c>
      <c r="T1" s="294"/>
      <c r="U1" s="294"/>
      <c r="V1" s="294"/>
      <c r="W1" s="295"/>
      <c r="X1" s="296"/>
      <c r="Y1" s="293" t="s">
        <v>255</v>
      </c>
      <c r="Z1" s="294"/>
      <c r="AA1" s="294"/>
      <c r="AB1" s="294"/>
      <c r="AC1" s="295"/>
      <c r="AD1" s="296"/>
      <c r="AE1" s="293" t="s">
        <v>256</v>
      </c>
      <c r="AF1" s="295"/>
      <c r="AG1" s="296"/>
      <c r="AH1" s="293" t="s">
        <v>257</v>
      </c>
      <c r="AI1" s="294"/>
      <c r="AJ1" s="294"/>
      <c r="AK1" s="295"/>
      <c r="AL1" s="296"/>
      <c r="AM1" s="243" t="s">
        <v>258</v>
      </c>
      <c r="AN1" s="244"/>
      <c r="AO1" s="244"/>
      <c r="AP1" s="244"/>
      <c r="AQ1" s="244"/>
      <c r="AR1" s="244"/>
      <c r="AS1" s="246"/>
      <c r="AT1" s="296"/>
      <c r="AU1" s="243" t="s">
        <v>259</v>
      </c>
      <c r="AV1" s="244"/>
      <c r="AW1" s="244"/>
      <c r="AX1" s="244"/>
      <c r="AY1" s="244"/>
      <c r="AZ1" s="244"/>
      <c r="BA1" s="246"/>
      <c r="BB1" s="296"/>
      <c r="BC1" s="243" t="s">
        <v>260</v>
      </c>
      <c r="BD1" s="244"/>
      <c r="BE1" s="244"/>
      <c r="BF1" s="244"/>
      <c r="BG1" s="244"/>
      <c r="BH1" s="244"/>
      <c r="BI1" s="246"/>
      <c r="BJ1" s="296"/>
      <c r="BK1" s="297" t="s">
        <v>261</v>
      </c>
      <c r="BL1" s="298"/>
      <c r="BM1" s="296"/>
      <c r="BN1" s="297" t="s">
        <v>262</v>
      </c>
      <c r="BO1" s="298"/>
      <c r="BP1" s="298"/>
      <c r="BQ1" s="298"/>
      <c r="BR1" s="296"/>
      <c r="BS1" s="297" t="s">
        <v>263</v>
      </c>
      <c r="BT1" s="298"/>
      <c r="BU1" s="298"/>
      <c r="BV1" s="298"/>
    </row>
    <row r="2" spans="1:74" ht="62.25">
      <c r="A2" s="247" t="s">
        <v>264</v>
      </c>
      <c r="B2" s="247"/>
      <c r="C2" s="247"/>
      <c r="D2" s="299">
        <v>2016</v>
      </c>
      <c r="E2" s="300">
        <v>2015</v>
      </c>
      <c r="F2" s="301" t="s">
        <v>265</v>
      </c>
      <c r="G2" s="302" t="s">
        <v>266</v>
      </c>
      <c r="H2" s="303" t="s">
        <v>267</v>
      </c>
      <c r="I2" s="245"/>
      <c r="J2" s="248" t="s">
        <v>268</v>
      </c>
      <c r="K2" s="248" t="s">
        <v>269</v>
      </c>
      <c r="L2" s="248" t="s">
        <v>270</v>
      </c>
      <c r="M2" s="248" t="s">
        <v>271</v>
      </c>
      <c r="N2" s="248" t="s">
        <v>272</v>
      </c>
      <c r="O2" s="245"/>
      <c r="P2" s="248" t="s">
        <v>238</v>
      </c>
      <c r="Q2" s="248" t="s">
        <v>239</v>
      </c>
      <c r="R2" s="245"/>
      <c r="S2" s="248" t="s">
        <v>233</v>
      </c>
      <c r="T2" s="248" t="s">
        <v>234</v>
      </c>
      <c r="U2" s="248" t="s">
        <v>235</v>
      </c>
      <c r="V2" s="248" t="s">
        <v>236</v>
      </c>
      <c r="W2" s="248" t="s">
        <v>237</v>
      </c>
      <c r="X2" s="245"/>
      <c r="Y2" s="248" t="s">
        <v>273</v>
      </c>
      <c r="Z2" s="248" t="s">
        <v>274</v>
      </c>
      <c r="AA2" s="248" t="s">
        <v>275</v>
      </c>
      <c r="AB2" s="248" t="s">
        <v>276</v>
      </c>
      <c r="AC2" s="248" t="s">
        <v>277</v>
      </c>
      <c r="AD2" s="245"/>
      <c r="AE2" s="248" t="s">
        <v>278</v>
      </c>
      <c r="AF2" s="248" t="s">
        <v>279</v>
      </c>
      <c r="AG2" s="245"/>
      <c r="AH2" s="248" t="s">
        <v>240</v>
      </c>
      <c r="AI2" s="248" t="s">
        <v>241</v>
      </c>
      <c r="AJ2" s="248" t="s">
        <v>242</v>
      </c>
      <c r="AK2" s="248" t="s">
        <v>243</v>
      </c>
      <c r="AL2" s="245"/>
      <c r="AM2" s="304" t="s">
        <v>261</v>
      </c>
      <c r="AN2" s="304" t="s">
        <v>262</v>
      </c>
      <c r="AO2" s="304" t="s">
        <v>280</v>
      </c>
      <c r="AP2" s="304" t="s">
        <v>281</v>
      </c>
      <c r="AQ2" s="304" t="s">
        <v>282</v>
      </c>
      <c r="AR2" s="304" t="s">
        <v>283</v>
      </c>
      <c r="AS2" s="304" t="s">
        <v>284</v>
      </c>
      <c r="AT2" s="305"/>
      <c r="AU2" s="304" t="s">
        <v>285</v>
      </c>
      <c r="AV2" s="304" t="s">
        <v>286</v>
      </c>
      <c r="AW2" s="304" t="s">
        <v>287</v>
      </c>
      <c r="AX2" s="304" t="s">
        <v>288</v>
      </c>
      <c r="AY2" s="304" t="s">
        <v>289</v>
      </c>
      <c r="AZ2" s="304" t="s">
        <v>290</v>
      </c>
      <c r="BA2" s="304" t="s">
        <v>291</v>
      </c>
      <c r="BB2" s="305"/>
      <c r="BC2" s="304" t="s">
        <v>292</v>
      </c>
      <c r="BD2" s="304" t="s">
        <v>293</v>
      </c>
      <c r="BE2" s="306" t="s">
        <v>294</v>
      </c>
      <c r="BF2" s="304" t="s">
        <v>295</v>
      </c>
      <c r="BG2" s="304" t="s">
        <v>296</v>
      </c>
      <c r="BH2" s="304" t="s">
        <v>297</v>
      </c>
      <c r="BI2" s="304" t="s">
        <v>298</v>
      </c>
      <c r="BJ2" s="245"/>
      <c r="BK2" s="307" t="s">
        <v>299</v>
      </c>
      <c r="BL2" s="307" t="s">
        <v>300</v>
      </c>
      <c r="BM2" s="245"/>
      <c r="BN2" s="307" t="s">
        <v>301</v>
      </c>
      <c r="BO2" s="307" t="s">
        <v>302</v>
      </c>
      <c r="BP2" s="307" t="s">
        <v>303</v>
      </c>
      <c r="BQ2" s="307" t="s">
        <v>304</v>
      </c>
      <c r="BR2" s="245"/>
      <c r="BS2" s="307" t="s">
        <v>305</v>
      </c>
      <c r="BT2" s="307" t="s">
        <v>306</v>
      </c>
      <c r="BU2" s="307" t="s">
        <v>307</v>
      </c>
      <c r="BV2" s="307" t="s">
        <v>308</v>
      </c>
    </row>
    <row r="3" spans="1:74">
      <c r="A3" s="249"/>
      <c r="B3" s="249"/>
      <c r="C3" s="308" t="s">
        <v>10</v>
      </c>
      <c r="D3" s="251">
        <v>546</v>
      </c>
      <c r="E3" s="251">
        <v>600</v>
      </c>
      <c r="F3" s="292"/>
      <c r="G3" s="292"/>
      <c r="H3" s="291"/>
      <c r="I3" s="245"/>
      <c r="J3" s="251">
        <v>5</v>
      </c>
      <c r="K3" s="251">
        <v>34</v>
      </c>
      <c r="L3" s="251">
        <v>79</v>
      </c>
      <c r="M3" s="251">
        <v>409</v>
      </c>
      <c r="N3" s="251">
        <v>19</v>
      </c>
      <c r="O3" s="245"/>
      <c r="P3" s="251">
        <v>346</v>
      </c>
      <c r="Q3" s="251">
        <v>200</v>
      </c>
      <c r="R3" s="245"/>
      <c r="S3" s="251">
        <v>25</v>
      </c>
      <c r="T3" s="251">
        <v>163</v>
      </c>
      <c r="U3" s="251">
        <v>209</v>
      </c>
      <c r="V3" s="251">
        <v>128</v>
      </c>
      <c r="W3" s="251">
        <v>21</v>
      </c>
      <c r="X3" s="245"/>
      <c r="Y3" s="251">
        <v>77</v>
      </c>
      <c r="Z3" s="251">
        <v>214</v>
      </c>
      <c r="AA3" s="251">
        <v>115</v>
      </c>
      <c r="AB3" s="251">
        <v>61</v>
      </c>
      <c r="AC3" s="251">
        <v>79</v>
      </c>
      <c r="AD3" s="245"/>
      <c r="AE3" s="251">
        <v>526</v>
      </c>
      <c r="AF3" s="251">
        <v>20</v>
      </c>
      <c r="AG3" s="245"/>
      <c r="AH3" s="251">
        <v>187</v>
      </c>
      <c r="AI3" s="251">
        <v>105</v>
      </c>
      <c r="AJ3" s="251">
        <v>137</v>
      </c>
      <c r="AK3" s="251">
        <v>83</v>
      </c>
      <c r="AL3" s="245"/>
      <c r="AM3" s="251">
        <v>7</v>
      </c>
      <c r="AN3" s="251">
        <v>6</v>
      </c>
      <c r="AO3" s="251">
        <v>54</v>
      </c>
      <c r="AP3" s="251">
        <v>5</v>
      </c>
      <c r="AQ3" s="251">
        <v>5</v>
      </c>
      <c r="AR3" s="251">
        <v>41</v>
      </c>
      <c r="AS3" s="251">
        <v>3</v>
      </c>
      <c r="AT3" s="245"/>
      <c r="AU3" s="251">
        <v>22</v>
      </c>
      <c r="AV3" s="251">
        <v>157</v>
      </c>
      <c r="AW3" s="251">
        <v>41</v>
      </c>
      <c r="AX3" s="251">
        <v>5</v>
      </c>
      <c r="AY3" s="251">
        <v>4</v>
      </c>
      <c r="AZ3" s="251">
        <v>7</v>
      </c>
      <c r="BA3" s="251">
        <v>17</v>
      </c>
      <c r="BB3" s="245"/>
      <c r="BC3" s="251">
        <v>5</v>
      </c>
      <c r="BD3" s="251">
        <v>2</v>
      </c>
      <c r="BE3" s="251">
        <v>110</v>
      </c>
      <c r="BF3" s="251">
        <v>2</v>
      </c>
      <c r="BG3" s="251">
        <v>9</v>
      </c>
      <c r="BH3" s="251">
        <v>6</v>
      </c>
      <c r="BI3" s="251">
        <v>38</v>
      </c>
      <c r="BJ3" s="245"/>
      <c r="BK3" s="251">
        <v>1</v>
      </c>
      <c r="BL3" s="251">
        <v>6</v>
      </c>
      <c r="BM3" s="245"/>
      <c r="BN3" s="251">
        <v>1</v>
      </c>
      <c r="BO3" s="251">
        <v>1</v>
      </c>
      <c r="BP3" s="251">
        <v>4</v>
      </c>
      <c r="BQ3" s="251">
        <v>0</v>
      </c>
      <c r="BR3" s="245"/>
      <c r="BS3" s="251">
        <v>1</v>
      </c>
      <c r="BT3" s="251">
        <v>1</v>
      </c>
      <c r="BU3" s="251">
        <v>35</v>
      </c>
      <c r="BV3" s="251">
        <v>17</v>
      </c>
    </row>
    <row r="4" spans="1:74">
      <c r="A4" s="252"/>
      <c r="B4" s="252"/>
      <c r="C4" s="253" t="s">
        <v>244</v>
      </c>
      <c r="D4" s="254">
        <v>677</v>
      </c>
      <c r="E4" s="254">
        <v>664</v>
      </c>
      <c r="F4" s="254"/>
      <c r="G4" s="254"/>
      <c r="H4" s="254"/>
      <c r="I4" s="245"/>
      <c r="J4" s="254"/>
      <c r="K4" s="254"/>
      <c r="L4" s="254"/>
      <c r="M4" s="254"/>
      <c r="N4" s="254"/>
      <c r="O4" s="245"/>
      <c r="P4" s="254"/>
      <c r="Q4" s="254"/>
      <c r="R4" s="245"/>
      <c r="S4" s="254"/>
      <c r="T4" s="254"/>
      <c r="U4" s="254"/>
      <c r="V4" s="254"/>
      <c r="W4" s="254"/>
      <c r="X4" s="245"/>
      <c r="Y4" s="254"/>
      <c r="Z4" s="254"/>
      <c r="AA4" s="254"/>
      <c r="AB4" s="254"/>
      <c r="AC4" s="254"/>
      <c r="AD4" s="245"/>
      <c r="AE4" s="254"/>
      <c r="AF4" s="254"/>
      <c r="AG4" s="245"/>
      <c r="AH4" s="254"/>
      <c r="AI4" s="254"/>
      <c r="AJ4" s="254"/>
      <c r="AK4" s="254"/>
      <c r="AL4" s="245"/>
      <c r="AM4" s="254">
        <v>12</v>
      </c>
      <c r="AN4" s="254">
        <v>9</v>
      </c>
      <c r="AO4" s="254">
        <v>96</v>
      </c>
      <c r="AP4" s="254">
        <v>6</v>
      </c>
      <c r="AQ4" s="254">
        <v>8</v>
      </c>
      <c r="AR4" s="254">
        <v>53</v>
      </c>
      <c r="AS4" s="254">
        <v>6</v>
      </c>
      <c r="AT4" s="245"/>
      <c r="AU4" s="254">
        <v>22</v>
      </c>
      <c r="AV4" s="254">
        <v>162</v>
      </c>
      <c r="AW4" s="254">
        <v>47</v>
      </c>
      <c r="AX4" s="254">
        <v>5</v>
      </c>
      <c r="AY4" s="254">
        <v>4</v>
      </c>
      <c r="AZ4" s="254">
        <v>7</v>
      </c>
      <c r="BA4" s="254">
        <v>22</v>
      </c>
      <c r="BB4" s="245"/>
      <c r="BC4" s="254">
        <v>5</v>
      </c>
      <c r="BD4" s="254">
        <v>2</v>
      </c>
      <c r="BE4" s="254">
        <v>140</v>
      </c>
      <c r="BF4" s="254">
        <v>3</v>
      </c>
      <c r="BG4" s="254">
        <v>10</v>
      </c>
      <c r="BH4" s="254">
        <v>6</v>
      </c>
      <c r="BI4" s="254">
        <v>52</v>
      </c>
      <c r="BJ4" s="245"/>
      <c r="BK4" s="254"/>
      <c r="BL4" s="254"/>
      <c r="BM4" s="245"/>
      <c r="BN4" s="254"/>
      <c r="BO4" s="254"/>
      <c r="BP4" s="254"/>
      <c r="BQ4" s="254"/>
      <c r="BR4" s="245"/>
      <c r="BS4" s="254"/>
      <c r="BT4" s="254"/>
      <c r="BU4" s="254"/>
      <c r="BV4" s="254"/>
    </row>
    <row r="5" spans="1:74">
      <c r="A5" s="255"/>
      <c r="B5" s="255"/>
      <c r="C5" s="256" t="s">
        <v>245</v>
      </c>
      <c r="D5" s="257"/>
      <c r="E5" s="257"/>
      <c r="F5" s="257"/>
      <c r="G5" s="257"/>
      <c r="H5" s="257"/>
      <c r="I5" s="245"/>
      <c r="J5" s="257">
        <v>6</v>
      </c>
      <c r="K5" s="257">
        <v>36</v>
      </c>
      <c r="L5" s="257">
        <v>96</v>
      </c>
      <c r="M5" s="257">
        <v>458</v>
      </c>
      <c r="N5" s="257">
        <v>4</v>
      </c>
      <c r="O5" s="245"/>
      <c r="P5" s="257">
        <v>380</v>
      </c>
      <c r="Q5" s="257">
        <v>220</v>
      </c>
      <c r="R5" s="245"/>
      <c r="S5" s="257">
        <v>12</v>
      </c>
      <c r="T5" s="257">
        <v>191</v>
      </c>
      <c r="U5" s="257">
        <v>248</v>
      </c>
      <c r="V5" s="257">
        <v>132</v>
      </c>
      <c r="W5" s="257">
        <v>17</v>
      </c>
      <c r="X5" s="245"/>
      <c r="Y5" s="257">
        <v>78</v>
      </c>
      <c r="Z5" s="257">
        <v>213</v>
      </c>
      <c r="AA5" s="257">
        <v>144</v>
      </c>
      <c r="AB5" s="257">
        <v>57</v>
      </c>
      <c r="AC5" s="257">
        <v>108</v>
      </c>
      <c r="AD5" s="245"/>
      <c r="AE5" s="257">
        <v>593</v>
      </c>
      <c r="AF5" s="257">
        <v>7</v>
      </c>
      <c r="AG5" s="245"/>
      <c r="AH5" s="257">
        <v>220</v>
      </c>
      <c r="AI5" s="257">
        <v>132</v>
      </c>
      <c r="AJ5" s="257">
        <v>162</v>
      </c>
      <c r="AK5" s="257">
        <v>67</v>
      </c>
      <c r="AL5" s="245"/>
      <c r="AM5" s="257">
        <v>9</v>
      </c>
      <c r="AN5" s="257">
        <v>61</v>
      </c>
      <c r="AO5" s="257">
        <v>35</v>
      </c>
      <c r="AP5" s="257">
        <v>2</v>
      </c>
      <c r="AQ5" s="257">
        <v>3</v>
      </c>
      <c r="AR5" s="257">
        <v>41</v>
      </c>
      <c r="AS5" s="257">
        <v>5</v>
      </c>
      <c r="AT5" s="245"/>
      <c r="AU5" s="257">
        <v>21</v>
      </c>
      <c r="AV5" s="257">
        <v>169</v>
      </c>
      <c r="AW5" s="257">
        <v>47</v>
      </c>
      <c r="AX5" s="257">
        <v>4</v>
      </c>
      <c r="AY5" s="257">
        <v>5</v>
      </c>
      <c r="AZ5" s="257">
        <v>9</v>
      </c>
      <c r="BA5" s="257">
        <v>12</v>
      </c>
      <c r="BB5" s="245"/>
      <c r="BC5" s="257">
        <v>5</v>
      </c>
      <c r="BD5" s="257">
        <v>1</v>
      </c>
      <c r="BE5" s="257">
        <v>126</v>
      </c>
      <c r="BF5" s="257">
        <v>1</v>
      </c>
      <c r="BG5" s="257">
        <v>10</v>
      </c>
      <c r="BH5" s="257">
        <v>6</v>
      </c>
      <c r="BI5" s="257">
        <v>37</v>
      </c>
      <c r="BJ5" s="245"/>
      <c r="BK5" s="257">
        <v>1</v>
      </c>
      <c r="BL5" s="257">
        <v>8</v>
      </c>
      <c r="BM5" s="245"/>
      <c r="BN5" s="257">
        <v>2</v>
      </c>
      <c r="BO5" s="257">
        <v>4</v>
      </c>
      <c r="BP5" s="257">
        <v>1</v>
      </c>
      <c r="BQ5" s="257">
        <v>24</v>
      </c>
      <c r="BR5" s="245"/>
      <c r="BS5" s="257" t="s">
        <v>11</v>
      </c>
      <c r="BT5" s="257" t="s">
        <v>11</v>
      </c>
      <c r="BU5" s="257" t="s">
        <v>11</v>
      </c>
      <c r="BV5" s="257" t="s">
        <v>11</v>
      </c>
    </row>
    <row r="6" spans="1:74">
      <c r="A6" s="258"/>
      <c r="B6" s="259"/>
      <c r="C6" s="259"/>
      <c r="D6" s="259"/>
      <c r="E6" s="259"/>
      <c r="F6" s="259"/>
      <c r="G6" s="259"/>
      <c r="H6" s="259"/>
      <c r="I6" s="259"/>
      <c r="J6" s="259"/>
      <c r="K6" s="259"/>
      <c r="L6" s="259"/>
      <c r="M6" s="259"/>
      <c r="N6" s="259"/>
      <c r="O6" s="259"/>
      <c r="P6" s="259"/>
      <c r="Q6" s="259"/>
      <c r="R6" s="259"/>
      <c r="S6" s="259"/>
      <c r="T6" s="259"/>
      <c r="U6" s="259"/>
      <c r="V6" s="259"/>
      <c r="W6" s="259"/>
      <c r="X6" s="259"/>
      <c r="Y6" s="259"/>
      <c r="Z6" s="259"/>
      <c r="AA6" s="259"/>
      <c r="AB6" s="259"/>
      <c r="AC6" s="259"/>
      <c r="AD6" s="259"/>
      <c r="AE6" s="259"/>
      <c r="AF6" s="259"/>
      <c r="AG6" s="259"/>
      <c r="AH6" s="259"/>
      <c r="AI6" s="259"/>
      <c r="AJ6" s="259"/>
      <c r="AK6" s="259"/>
      <c r="AL6" s="259"/>
      <c r="AM6" s="259"/>
      <c r="AN6" s="259"/>
      <c r="AO6" s="259"/>
      <c r="AP6" s="259"/>
      <c r="AQ6" s="259"/>
      <c r="AR6" s="259"/>
      <c r="AS6" s="259"/>
      <c r="AT6" s="259"/>
      <c r="AU6" s="259"/>
      <c r="AV6" s="259"/>
      <c r="AW6" s="259"/>
      <c r="AX6" s="259"/>
      <c r="AY6" s="259"/>
      <c r="AZ6" s="259"/>
      <c r="BA6" s="259"/>
      <c r="BB6" s="259"/>
      <c r="BC6" s="259"/>
      <c r="BD6" s="259"/>
      <c r="BE6" s="259"/>
      <c r="BF6" s="259"/>
      <c r="BG6" s="259"/>
      <c r="BH6" s="259"/>
      <c r="BI6" s="259"/>
      <c r="BJ6" s="259"/>
      <c r="BK6" s="259"/>
      <c r="BL6" s="259"/>
      <c r="BM6" s="259"/>
      <c r="BN6" s="259"/>
      <c r="BO6" s="259"/>
      <c r="BP6" s="259"/>
      <c r="BQ6" s="259"/>
      <c r="BR6" s="259"/>
      <c r="BS6" s="259"/>
      <c r="BT6" s="259"/>
      <c r="BU6" s="259"/>
      <c r="BV6" s="259"/>
    </row>
    <row r="7" spans="1:74">
      <c r="A7" s="260" t="s">
        <v>12</v>
      </c>
      <c r="B7" s="261"/>
      <c r="C7" s="262"/>
      <c r="D7" s="263">
        <v>69.59</v>
      </c>
      <c r="E7" s="263">
        <v>74.33</v>
      </c>
      <c r="F7" s="263">
        <v>79.150000000000006</v>
      </c>
      <c r="G7" s="263">
        <v>-4.7399999999999949</v>
      </c>
      <c r="H7" s="264">
        <v>-9.5600000000000023</v>
      </c>
      <c r="I7" s="245"/>
      <c r="J7" s="263" t="s">
        <v>246</v>
      </c>
      <c r="K7" s="263">
        <v>85.64</v>
      </c>
      <c r="L7" s="263">
        <v>74.56</v>
      </c>
      <c r="M7" s="263">
        <v>66.25</v>
      </c>
      <c r="N7" s="263">
        <v>83.58</v>
      </c>
      <c r="O7" s="245"/>
      <c r="P7" s="263">
        <v>69.12</v>
      </c>
      <c r="Q7" s="263">
        <v>70.400000000000006</v>
      </c>
      <c r="R7" s="245"/>
      <c r="S7" s="263">
        <v>78.599999999999994</v>
      </c>
      <c r="T7" s="263">
        <v>58.36</v>
      </c>
      <c r="U7" s="263">
        <v>73.680000000000007</v>
      </c>
      <c r="V7" s="263">
        <v>74.14</v>
      </c>
      <c r="W7" s="263">
        <v>76.87</v>
      </c>
      <c r="X7" s="245"/>
      <c r="Y7" s="263">
        <v>72.09</v>
      </c>
      <c r="Z7" s="263">
        <v>66.86</v>
      </c>
      <c r="AA7" s="263">
        <v>65.319999999999993</v>
      </c>
      <c r="AB7" s="263">
        <v>71.78</v>
      </c>
      <c r="AC7" s="263">
        <v>78.86</v>
      </c>
      <c r="AD7" s="245"/>
      <c r="AE7" s="263">
        <v>69.150000000000006</v>
      </c>
      <c r="AF7" s="263">
        <v>80.83</v>
      </c>
      <c r="AG7" s="245"/>
      <c r="AH7" s="263">
        <v>85.24</v>
      </c>
      <c r="AI7" s="263">
        <v>74.47</v>
      </c>
      <c r="AJ7" s="263">
        <v>59.55</v>
      </c>
      <c r="AK7" s="263">
        <v>45.68</v>
      </c>
      <c r="AL7" s="245"/>
      <c r="AM7" s="263">
        <v>48.98</v>
      </c>
      <c r="AN7" s="263">
        <v>76.430000000000007</v>
      </c>
      <c r="AO7" s="263">
        <v>49.46</v>
      </c>
      <c r="AP7" s="263" t="s">
        <v>246</v>
      </c>
      <c r="AQ7" s="263" t="s">
        <v>246</v>
      </c>
      <c r="AR7" s="263">
        <v>49.01</v>
      </c>
      <c r="AS7" s="263" t="s">
        <v>246</v>
      </c>
      <c r="AT7" s="245"/>
      <c r="AU7" s="263">
        <v>85.59</v>
      </c>
      <c r="AV7" s="263">
        <v>73.02</v>
      </c>
      <c r="AW7" s="263">
        <v>87.98</v>
      </c>
      <c r="AX7" s="263" t="s">
        <v>246</v>
      </c>
      <c r="AY7" s="263" t="s">
        <v>246</v>
      </c>
      <c r="AZ7" s="263">
        <v>89.8</v>
      </c>
      <c r="BA7" s="263">
        <v>60.51</v>
      </c>
      <c r="BB7" s="245"/>
      <c r="BC7" s="263" t="s">
        <v>246</v>
      </c>
      <c r="BD7" s="263" t="s">
        <v>246</v>
      </c>
      <c r="BE7" s="263">
        <v>76.2</v>
      </c>
      <c r="BF7" s="263" t="s">
        <v>246</v>
      </c>
      <c r="BG7" s="263">
        <v>72.62</v>
      </c>
      <c r="BH7" s="263">
        <v>65.48</v>
      </c>
      <c r="BI7" s="263">
        <v>59.21</v>
      </c>
      <c r="BJ7" s="245"/>
      <c r="BK7" s="263" t="s">
        <v>246</v>
      </c>
      <c r="BL7" s="263">
        <v>46.43</v>
      </c>
      <c r="BM7" s="245"/>
      <c r="BN7" s="263" t="s">
        <v>246</v>
      </c>
      <c r="BO7" s="263" t="s">
        <v>246</v>
      </c>
      <c r="BP7" s="263" t="s">
        <v>246</v>
      </c>
      <c r="BQ7" s="263" t="s">
        <v>246</v>
      </c>
      <c r="BR7" s="245"/>
      <c r="BS7" s="263" t="s">
        <v>246</v>
      </c>
      <c r="BT7" s="263" t="s">
        <v>246</v>
      </c>
      <c r="BU7" s="263">
        <v>50.44</v>
      </c>
      <c r="BV7" s="263">
        <v>44.12</v>
      </c>
    </row>
    <row r="8" spans="1:74">
      <c r="A8" s="265" t="s">
        <v>13</v>
      </c>
      <c r="B8" s="266"/>
      <c r="C8" s="267"/>
      <c r="D8" s="263">
        <v>70.69</v>
      </c>
      <c r="E8" s="263">
        <v>73.81</v>
      </c>
      <c r="F8" s="263">
        <v>77.23</v>
      </c>
      <c r="G8" s="263">
        <v>-3.1200000000000045</v>
      </c>
      <c r="H8" s="264">
        <v>-6.5400000000000063</v>
      </c>
      <c r="I8" s="245"/>
      <c r="J8" s="263" t="s">
        <v>246</v>
      </c>
      <c r="K8" s="263">
        <v>82.41</v>
      </c>
      <c r="L8" s="263">
        <v>77.13</v>
      </c>
      <c r="M8" s="263">
        <v>67.67</v>
      </c>
      <c r="N8" s="263">
        <v>82.1</v>
      </c>
      <c r="O8" s="245"/>
      <c r="P8" s="263">
        <v>69.88</v>
      </c>
      <c r="Q8" s="263">
        <v>72.09</v>
      </c>
      <c r="R8" s="245"/>
      <c r="S8" s="263">
        <v>78.05</v>
      </c>
      <c r="T8" s="263">
        <v>62.66</v>
      </c>
      <c r="U8" s="263">
        <v>74.22</v>
      </c>
      <c r="V8" s="263">
        <v>73.290000000000006</v>
      </c>
      <c r="W8" s="263">
        <v>73.260000000000005</v>
      </c>
      <c r="X8" s="245"/>
      <c r="Y8" s="263">
        <v>72.489999999999995</v>
      </c>
      <c r="Z8" s="263">
        <v>69.510000000000005</v>
      </c>
      <c r="AA8" s="263">
        <v>67.040000000000006</v>
      </c>
      <c r="AB8" s="263">
        <v>69.86</v>
      </c>
      <c r="AC8" s="263">
        <v>78.02</v>
      </c>
      <c r="AD8" s="245"/>
      <c r="AE8" s="263">
        <v>70.34</v>
      </c>
      <c r="AF8" s="263">
        <v>79.88</v>
      </c>
      <c r="AG8" s="245"/>
      <c r="AH8" s="263">
        <v>83.62</v>
      </c>
      <c r="AI8" s="263">
        <v>73.55</v>
      </c>
      <c r="AJ8" s="263">
        <v>62.15</v>
      </c>
      <c r="AK8" s="263">
        <v>53.66</v>
      </c>
      <c r="AL8" s="245"/>
      <c r="AM8" s="263">
        <v>54.95</v>
      </c>
      <c r="AN8" s="263">
        <v>70.510000000000005</v>
      </c>
      <c r="AO8" s="263">
        <v>58.99</v>
      </c>
      <c r="AP8" s="263" t="s">
        <v>246</v>
      </c>
      <c r="AQ8" s="263" t="s">
        <v>246</v>
      </c>
      <c r="AR8" s="263">
        <v>54.19</v>
      </c>
      <c r="AS8" s="263" t="s">
        <v>246</v>
      </c>
      <c r="AT8" s="245"/>
      <c r="AU8" s="263">
        <v>83.77</v>
      </c>
      <c r="AV8" s="263">
        <v>73.709999999999994</v>
      </c>
      <c r="AW8" s="263">
        <v>80.48</v>
      </c>
      <c r="AX8" s="263" t="s">
        <v>246</v>
      </c>
      <c r="AY8" s="263" t="s">
        <v>246</v>
      </c>
      <c r="AZ8" s="263">
        <v>82.42</v>
      </c>
      <c r="BA8" s="263">
        <v>62.44</v>
      </c>
      <c r="BB8" s="245"/>
      <c r="BC8" s="263" t="s">
        <v>246</v>
      </c>
      <c r="BD8" s="263" t="s">
        <v>246</v>
      </c>
      <c r="BE8" s="263">
        <v>74.12</v>
      </c>
      <c r="BF8" s="263" t="s">
        <v>246</v>
      </c>
      <c r="BG8" s="263">
        <v>80.45</v>
      </c>
      <c r="BH8" s="263">
        <v>75.64</v>
      </c>
      <c r="BI8" s="263">
        <v>61.92</v>
      </c>
      <c r="BJ8" s="245"/>
      <c r="BK8" s="263" t="s">
        <v>246</v>
      </c>
      <c r="BL8" s="263">
        <v>52.56</v>
      </c>
      <c r="BM8" s="245"/>
      <c r="BN8" s="263" t="s">
        <v>246</v>
      </c>
      <c r="BO8" s="263" t="s">
        <v>246</v>
      </c>
      <c r="BP8" s="263" t="s">
        <v>246</v>
      </c>
      <c r="BQ8" s="263" t="s">
        <v>246</v>
      </c>
      <c r="BR8" s="245"/>
      <c r="BS8" s="263" t="s">
        <v>246</v>
      </c>
      <c r="BT8" s="263" t="s">
        <v>246</v>
      </c>
      <c r="BU8" s="263">
        <v>63.32</v>
      </c>
      <c r="BV8" s="263">
        <v>48.42</v>
      </c>
    </row>
    <row r="9" spans="1:74">
      <c r="A9" s="268" t="s">
        <v>14</v>
      </c>
      <c r="B9" s="269"/>
      <c r="C9" s="270"/>
      <c r="D9" s="263">
        <v>66.069999999999993</v>
      </c>
      <c r="E9" s="263">
        <v>69.739999999999995</v>
      </c>
      <c r="F9" s="263">
        <v>75.44</v>
      </c>
      <c r="G9" s="263">
        <v>-3.6700000000000017</v>
      </c>
      <c r="H9" s="264">
        <v>-9.3700000000000045</v>
      </c>
      <c r="I9" s="245"/>
      <c r="J9" s="263" t="s">
        <v>246</v>
      </c>
      <c r="K9" s="263">
        <v>77.09</v>
      </c>
      <c r="L9" s="263">
        <v>70.75</v>
      </c>
      <c r="M9" s="263">
        <v>63.56</v>
      </c>
      <c r="N9" s="263">
        <v>73.540000000000006</v>
      </c>
      <c r="O9" s="245"/>
      <c r="P9" s="263">
        <v>66.58</v>
      </c>
      <c r="Q9" s="263">
        <v>65.19</v>
      </c>
      <c r="R9" s="245"/>
      <c r="S9" s="263">
        <v>70.03</v>
      </c>
      <c r="T9" s="263">
        <v>57.36</v>
      </c>
      <c r="U9" s="263">
        <v>69.459999999999994</v>
      </c>
      <c r="V9" s="263">
        <v>70.27</v>
      </c>
      <c r="W9" s="263">
        <v>68.75</v>
      </c>
      <c r="X9" s="245"/>
      <c r="Y9" s="263">
        <v>70.17</v>
      </c>
      <c r="Z9" s="263">
        <v>63.37</v>
      </c>
      <c r="AA9" s="263">
        <v>62.76</v>
      </c>
      <c r="AB9" s="263">
        <v>68.44</v>
      </c>
      <c r="AC9" s="263">
        <v>72.2</v>
      </c>
      <c r="AD9" s="245"/>
      <c r="AE9" s="263">
        <v>65.87</v>
      </c>
      <c r="AF9" s="263">
        <v>71.44</v>
      </c>
      <c r="AG9" s="245"/>
      <c r="AH9" s="263">
        <v>78.180000000000007</v>
      </c>
      <c r="AI9" s="263">
        <v>68.47</v>
      </c>
      <c r="AJ9" s="263">
        <v>59.74</v>
      </c>
      <c r="AK9" s="263">
        <v>47.13</v>
      </c>
      <c r="AL9" s="245"/>
      <c r="AM9" s="263">
        <v>50.79</v>
      </c>
      <c r="AN9" s="263">
        <v>58.33</v>
      </c>
      <c r="AO9" s="263">
        <v>48.37</v>
      </c>
      <c r="AP9" s="263" t="s">
        <v>246</v>
      </c>
      <c r="AQ9" s="263" t="s">
        <v>246</v>
      </c>
      <c r="AR9" s="263">
        <v>50</v>
      </c>
      <c r="AS9" s="263" t="s">
        <v>246</v>
      </c>
      <c r="AT9" s="245"/>
      <c r="AU9" s="263">
        <v>79.92</v>
      </c>
      <c r="AV9" s="263">
        <v>70.569999999999993</v>
      </c>
      <c r="AW9" s="263">
        <v>75.2</v>
      </c>
      <c r="AX9" s="263" t="s">
        <v>246</v>
      </c>
      <c r="AY9" s="263" t="s">
        <v>246</v>
      </c>
      <c r="AZ9" s="263">
        <v>72.819999999999993</v>
      </c>
      <c r="BA9" s="263">
        <v>59.31</v>
      </c>
      <c r="BB9" s="245"/>
      <c r="BC9" s="263" t="s">
        <v>246</v>
      </c>
      <c r="BD9" s="263" t="s">
        <v>246</v>
      </c>
      <c r="BE9" s="263">
        <v>71.989999999999995</v>
      </c>
      <c r="BF9" s="263" t="s">
        <v>246</v>
      </c>
      <c r="BG9" s="263">
        <v>68.87</v>
      </c>
      <c r="BH9" s="263">
        <v>72.22</v>
      </c>
      <c r="BI9" s="263">
        <v>58.99</v>
      </c>
      <c r="BJ9" s="245"/>
      <c r="BK9" s="263" t="s">
        <v>246</v>
      </c>
      <c r="BL9" s="263">
        <v>49.44</v>
      </c>
      <c r="BM9" s="245"/>
      <c r="BN9" s="263" t="s">
        <v>246</v>
      </c>
      <c r="BO9" s="263" t="s">
        <v>246</v>
      </c>
      <c r="BP9" s="263" t="s">
        <v>246</v>
      </c>
      <c r="BQ9" s="263" t="s">
        <v>246</v>
      </c>
      <c r="BR9" s="245"/>
      <c r="BS9" s="263" t="s">
        <v>246</v>
      </c>
      <c r="BT9" s="263" t="s">
        <v>246</v>
      </c>
      <c r="BU9" s="263">
        <v>47.48</v>
      </c>
      <c r="BV9" s="263">
        <v>47.55</v>
      </c>
    </row>
    <row r="10" spans="1:74">
      <c r="A10" s="271" t="s">
        <v>15</v>
      </c>
      <c r="B10" s="272"/>
      <c r="C10" s="273"/>
      <c r="D10" s="263">
        <v>67.180000000000007</v>
      </c>
      <c r="E10" s="263">
        <v>71.430000000000007</v>
      </c>
      <c r="F10" s="263">
        <v>80.28</v>
      </c>
      <c r="G10" s="263">
        <v>-4.25</v>
      </c>
      <c r="H10" s="264">
        <v>-13.099999999999994</v>
      </c>
      <c r="I10" s="245"/>
      <c r="J10" s="263" t="s">
        <v>246</v>
      </c>
      <c r="K10" s="263">
        <v>82.77</v>
      </c>
      <c r="L10" s="263">
        <v>71.88</v>
      </c>
      <c r="M10" s="263">
        <v>65.02</v>
      </c>
      <c r="N10" s="263">
        <v>59.65</v>
      </c>
      <c r="O10" s="245"/>
      <c r="P10" s="263">
        <v>65.39</v>
      </c>
      <c r="Q10" s="263">
        <v>70.290000000000006</v>
      </c>
      <c r="R10" s="245"/>
      <c r="S10" s="263">
        <v>58.81</v>
      </c>
      <c r="T10" s="263">
        <v>55.81</v>
      </c>
      <c r="U10" s="263">
        <v>72.540000000000006</v>
      </c>
      <c r="V10" s="263">
        <v>73.819999999999993</v>
      </c>
      <c r="W10" s="263">
        <v>71.430000000000007</v>
      </c>
      <c r="X10" s="245"/>
      <c r="Y10" s="263">
        <v>68.23</v>
      </c>
      <c r="Z10" s="263">
        <v>64.459999999999994</v>
      </c>
      <c r="AA10" s="263">
        <v>63.65</v>
      </c>
      <c r="AB10" s="263">
        <v>71.23</v>
      </c>
      <c r="AC10" s="263">
        <v>75.430000000000007</v>
      </c>
      <c r="AD10" s="245"/>
      <c r="AE10" s="263">
        <v>67.540000000000006</v>
      </c>
      <c r="AF10" s="263">
        <v>57.89</v>
      </c>
      <c r="AG10" s="245"/>
      <c r="AH10" s="263">
        <v>81.510000000000005</v>
      </c>
      <c r="AI10" s="263">
        <v>70.599999999999994</v>
      </c>
      <c r="AJ10" s="263">
        <v>59.22</v>
      </c>
      <c r="AK10" s="263">
        <v>46.96</v>
      </c>
      <c r="AL10" s="245"/>
      <c r="AM10" s="263">
        <v>53.57</v>
      </c>
      <c r="AN10" s="263">
        <v>72.92</v>
      </c>
      <c r="AO10" s="263">
        <v>49.1</v>
      </c>
      <c r="AP10" s="263" t="s">
        <v>246</v>
      </c>
      <c r="AQ10" s="263" t="s">
        <v>246</v>
      </c>
      <c r="AR10" s="263">
        <v>53.77</v>
      </c>
      <c r="AS10" s="263" t="s">
        <v>246</v>
      </c>
      <c r="AT10" s="245"/>
      <c r="AU10" s="263">
        <v>80.17</v>
      </c>
      <c r="AV10" s="263">
        <v>69.489999999999995</v>
      </c>
      <c r="AW10" s="263">
        <v>78.959999999999994</v>
      </c>
      <c r="AX10" s="263" t="s">
        <v>246</v>
      </c>
      <c r="AY10" s="263" t="s">
        <v>246</v>
      </c>
      <c r="AZ10" s="263">
        <v>71.430000000000007</v>
      </c>
      <c r="BA10" s="263">
        <v>57.35</v>
      </c>
      <c r="BB10" s="245"/>
      <c r="BC10" s="263" t="s">
        <v>246</v>
      </c>
      <c r="BD10" s="263" t="s">
        <v>246</v>
      </c>
      <c r="BE10" s="263">
        <v>73.37</v>
      </c>
      <c r="BF10" s="263" t="s">
        <v>246</v>
      </c>
      <c r="BG10" s="263">
        <v>76.040000000000006</v>
      </c>
      <c r="BH10" s="263">
        <v>81.25</v>
      </c>
      <c r="BI10" s="263">
        <v>62.7</v>
      </c>
      <c r="BJ10" s="245"/>
      <c r="BK10" s="263" t="s">
        <v>246</v>
      </c>
      <c r="BL10" s="263">
        <v>45.83</v>
      </c>
      <c r="BM10" s="245"/>
      <c r="BN10" s="263" t="s">
        <v>246</v>
      </c>
      <c r="BO10" s="263" t="s">
        <v>246</v>
      </c>
      <c r="BP10" s="263" t="s">
        <v>246</v>
      </c>
      <c r="BQ10" s="263" t="s">
        <v>246</v>
      </c>
      <c r="BR10" s="245"/>
      <c r="BS10" s="263" t="s">
        <v>246</v>
      </c>
      <c r="BT10" s="263" t="s">
        <v>246</v>
      </c>
      <c r="BU10" s="263">
        <v>53.27</v>
      </c>
      <c r="BV10" s="263">
        <v>39.71</v>
      </c>
    </row>
    <row r="11" spans="1:74">
      <c r="A11" s="274" t="s">
        <v>16</v>
      </c>
      <c r="B11" s="275"/>
      <c r="C11" s="276"/>
      <c r="D11" s="263">
        <v>69.290000000000006</v>
      </c>
      <c r="E11" s="263">
        <v>73.430000000000007</v>
      </c>
      <c r="F11" s="263">
        <v>83.31</v>
      </c>
      <c r="G11" s="263">
        <v>-4.1400000000000006</v>
      </c>
      <c r="H11" s="264">
        <v>-14.019999999999996</v>
      </c>
      <c r="I11" s="245"/>
      <c r="J11" s="263" t="s">
        <v>246</v>
      </c>
      <c r="K11" s="263">
        <v>81.09</v>
      </c>
      <c r="L11" s="263">
        <v>72.7</v>
      </c>
      <c r="M11" s="263">
        <v>67.010000000000005</v>
      </c>
      <c r="N11" s="263">
        <v>80</v>
      </c>
      <c r="O11" s="245"/>
      <c r="P11" s="263">
        <v>67.599999999999994</v>
      </c>
      <c r="Q11" s="263">
        <v>72.209999999999994</v>
      </c>
      <c r="R11" s="245"/>
      <c r="S11" s="263">
        <v>77.2</v>
      </c>
      <c r="T11" s="263">
        <v>62.81</v>
      </c>
      <c r="U11" s="263">
        <v>72.349999999999994</v>
      </c>
      <c r="V11" s="263">
        <v>71.319999999999993</v>
      </c>
      <c r="W11" s="263">
        <v>67.14</v>
      </c>
      <c r="X11" s="245"/>
      <c r="Y11" s="263">
        <v>72.680000000000007</v>
      </c>
      <c r="Z11" s="263">
        <v>66.510000000000005</v>
      </c>
      <c r="AA11" s="263">
        <v>66.77</v>
      </c>
      <c r="AB11" s="263">
        <v>70</v>
      </c>
      <c r="AC11" s="263">
        <v>76.489999999999995</v>
      </c>
      <c r="AD11" s="245"/>
      <c r="AE11" s="263">
        <v>68.95</v>
      </c>
      <c r="AF11" s="263">
        <v>78</v>
      </c>
      <c r="AG11" s="245"/>
      <c r="AH11" s="263">
        <v>81.819999999999993</v>
      </c>
      <c r="AI11" s="263">
        <v>73.459999999999994</v>
      </c>
      <c r="AJ11" s="263">
        <v>61.19</v>
      </c>
      <c r="AK11" s="263">
        <v>51.38</v>
      </c>
      <c r="AL11" s="245"/>
      <c r="AM11" s="263">
        <v>63.81</v>
      </c>
      <c r="AN11" s="263">
        <v>70</v>
      </c>
      <c r="AO11" s="263">
        <v>50.09</v>
      </c>
      <c r="AP11" s="263" t="s">
        <v>246</v>
      </c>
      <c r="AQ11" s="263" t="s">
        <v>246</v>
      </c>
      <c r="AR11" s="263">
        <v>56.35</v>
      </c>
      <c r="AS11" s="263" t="s">
        <v>246</v>
      </c>
      <c r="AT11" s="245"/>
      <c r="AU11" s="263">
        <v>81.650000000000006</v>
      </c>
      <c r="AV11" s="263">
        <v>76.489999999999995</v>
      </c>
      <c r="AW11" s="263">
        <v>74.150000000000006</v>
      </c>
      <c r="AX11" s="263" t="s">
        <v>246</v>
      </c>
      <c r="AY11" s="263" t="s">
        <v>246</v>
      </c>
      <c r="AZ11" s="263">
        <v>82.86</v>
      </c>
      <c r="BA11" s="263">
        <v>56.47</v>
      </c>
      <c r="BB11" s="245"/>
      <c r="BC11" s="263" t="s">
        <v>246</v>
      </c>
      <c r="BD11" s="263" t="s">
        <v>246</v>
      </c>
      <c r="BE11" s="263">
        <v>72.12</v>
      </c>
      <c r="BF11" s="263" t="s">
        <v>246</v>
      </c>
      <c r="BG11" s="263">
        <v>85.56</v>
      </c>
      <c r="BH11" s="263">
        <v>66.67</v>
      </c>
      <c r="BI11" s="263">
        <v>62.89</v>
      </c>
      <c r="BJ11" s="245"/>
      <c r="BK11" s="263" t="s">
        <v>246</v>
      </c>
      <c r="BL11" s="263">
        <v>57.67</v>
      </c>
      <c r="BM11" s="245"/>
      <c r="BN11" s="263" t="s">
        <v>246</v>
      </c>
      <c r="BO11" s="263" t="s">
        <v>246</v>
      </c>
      <c r="BP11" s="263" t="s">
        <v>246</v>
      </c>
      <c r="BQ11" s="263" t="s">
        <v>246</v>
      </c>
      <c r="BR11" s="245"/>
      <c r="BS11" s="263" t="s">
        <v>246</v>
      </c>
      <c r="BT11" s="263" t="s">
        <v>246</v>
      </c>
      <c r="BU11" s="263">
        <v>56.11</v>
      </c>
      <c r="BV11" s="263">
        <v>37.06</v>
      </c>
    </row>
    <row r="12" spans="1:74">
      <c r="A12" s="277" t="s">
        <v>247</v>
      </c>
      <c r="B12" s="278">
        <v>58</v>
      </c>
      <c r="C12" s="279" t="s">
        <v>17</v>
      </c>
      <c r="D12" s="280">
        <v>66.099999999999994</v>
      </c>
      <c r="E12" s="280">
        <v>70.81</v>
      </c>
      <c r="F12" s="280">
        <v>82.28</v>
      </c>
      <c r="G12" s="280">
        <v>-4.710000000000008</v>
      </c>
      <c r="H12" s="281">
        <v>-16.180000000000007</v>
      </c>
      <c r="I12" s="245"/>
      <c r="J12" s="280" t="s">
        <v>246</v>
      </c>
      <c r="K12" s="280">
        <v>84.85</v>
      </c>
      <c r="L12" s="280">
        <v>73.08</v>
      </c>
      <c r="M12" s="280">
        <v>61.9</v>
      </c>
      <c r="N12" s="280">
        <v>84.21</v>
      </c>
      <c r="O12" s="245"/>
      <c r="P12" s="280">
        <v>65.09</v>
      </c>
      <c r="Q12" s="280">
        <v>67.86</v>
      </c>
      <c r="R12" s="245"/>
      <c r="S12" s="280">
        <v>84</v>
      </c>
      <c r="T12" s="280">
        <v>57.86</v>
      </c>
      <c r="U12" s="280">
        <v>67.98</v>
      </c>
      <c r="V12" s="280">
        <v>70.63</v>
      </c>
      <c r="W12" s="280">
        <v>61.9</v>
      </c>
      <c r="X12" s="245"/>
      <c r="Y12" s="280">
        <v>77.63</v>
      </c>
      <c r="Z12" s="280">
        <v>63.59</v>
      </c>
      <c r="AA12" s="280">
        <v>58.41</v>
      </c>
      <c r="AB12" s="280">
        <v>68.849999999999994</v>
      </c>
      <c r="AC12" s="280">
        <v>70.510000000000005</v>
      </c>
      <c r="AD12" s="245"/>
      <c r="AE12" s="280">
        <v>65.37</v>
      </c>
      <c r="AF12" s="280">
        <v>85</v>
      </c>
      <c r="AG12" s="245"/>
      <c r="AH12" s="280">
        <v>79.680000000000007</v>
      </c>
      <c r="AI12" s="280">
        <v>73.33</v>
      </c>
      <c r="AJ12" s="280">
        <v>58.39</v>
      </c>
      <c r="AK12" s="280">
        <v>40.96</v>
      </c>
      <c r="AL12" s="245"/>
      <c r="AM12" s="280">
        <v>42.86</v>
      </c>
      <c r="AN12" s="280">
        <v>66.67</v>
      </c>
      <c r="AO12" s="280">
        <v>52.94</v>
      </c>
      <c r="AP12" s="280" t="s">
        <v>246</v>
      </c>
      <c r="AQ12" s="280" t="s">
        <v>246</v>
      </c>
      <c r="AR12" s="280">
        <v>42.51</v>
      </c>
      <c r="AS12" s="280" t="s">
        <v>246</v>
      </c>
      <c r="AT12" s="245"/>
      <c r="AU12" s="280">
        <v>85.71</v>
      </c>
      <c r="AV12" s="280">
        <v>67.95</v>
      </c>
      <c r="AW12" s="280">
        <v>82.93</v>
      </c>
      <c r="AX12" s="280" t="s">
        <v>246</v>
      </c>
      <c r="AY12" s="280" t="s">
        <v>246</v>
      </c>
      <c r="AZ12" s="280">
        <v>71.430000000000007</v>
      </c>
      <c r="BA12" s="280">
        <v>58.82</v>
      </c>
      <c r="BB12" s="245"/>
      <c r="BC12" s="280" t="s">
        <v>246</v>
      </c>
      <c r="BD12" s="280" t="s">
        <v>246</v>
      </c>
      <c r="BE12" s="280">
        <v>72.64</v>
      </c>
      <c r="BF12" s="280" t="s">
        <v>246</v>
      </c>
      <c r="BG12" s="280">
        <v>62.51</v>
      </c>
      <c r="BH12" s="280">
        <v>100</v>
      </c>
      <c r="BI12" s="280">
        <v>57.89</v>
      </c>
      <c r="BJ12" s="245"/>
      <c r="BK12" s="280" t="s">
        <v>246</v>
      </c>
      <c r="BL12" s="280">
        <v>33.33</v>
      </c>
      <c r="BM12" s="245"/>
      <c r="BN12" s="280" t="s">
        <v>246</v>
      </c>
      <c r="BO12" s="280" t="s">
        <v>246</v>
      </c>
      <c r="BP12" s="280" t="s">
        <v>246</v>
      </c>
      <c r="BQ12" s="280" t="s">
        <v>246</v>
      </c>
      <c r="BR12" s="245"/>
      <c r="BS12" s="280" t="s">
        <v>246</v>
      </c>
      <c r="BT12" s="280" t="s">
        <v>246</v>
      </c>
      <c r="BU12" s="280">
        <v>62.51</v>
      </c>
      <c r="BV12" s="280">
        <v>35.29</v>
      </c>
    </row>
    <row r="13" spans="1:74">
      <c r="A13" s="282" t="s">
        <v>18</v>
      </c>
      <c r="B13" s="283"/>
      <c r="C13" s="284"/>
      <c r="D13" s="2">
        <v>68.66</v>
      </c>
      <c r="E13" s="2">
        <v>72.650000000000006</v>
      </c>
      <c r="F13" s="2">
        <v>78.88</v>
      </c>
      <c r="G13" s="2">
        <v>-3.9900000000000091</v>
      </c>
      <c r="H13" s="2">
        <v>-10.219999999999999</v>
      </c>
      <c r="I13" s="245"/>
      <c r="J13" s="2" t="s">
        <v>246</v>
      </c>
      <c r="K13" s="2">
        <v>81.95</v>
      </c>
      <c r="L13" s="2">
        <v>73.63</v>
      </c>
      <c r="M13" s="2">
        <v>65.900000000000006</v>
      </c>
      <c r="N13" s="2">
        <v>77.260000000000005</v>
      </c>
      <c r="O13" s="245"/>
      <c r="P13" s="2">
        <v>67.92</v>
      </c>
      <c r="Q13" s="2">
        <v>69.959999999999994</v>
      </c>
      <c r="R13" s="245"/>
      <c r="S13" s="2">
        <v>73.83</v>
      </c>
      <c r="T13" s="2">
        <v>59.53</v>
      </c>
      <c r="U13" s="2">
        <v>72.44</v>
      </c>
      <c r="V13" s="2">
        <v>72.56</v>
      </c>
      <c r="W13" s="2">
        <v>71.7</v>
      </c>
      <c r="X13" s="245"/>
      <c r="Y13" s="2">
        <v>71.45</v>
      </c>
      <c r="Z13" s="2">
        <v>66.28</v>
      </c>
      <c r="AA13" s="2">
        <v>65.08</v>
      </c>
      <c r="AB13" s="2">
        <v>70.23</v>
      </c>
      <c r="AC13" s="2">
        <v>76.27</v>
      </c>
      <c r="AD13" s="245"/>
      <c r="AE13" s="2">
        <v>68.42</v>
      </c>
      <c r="AF13" s="2">
        <v>75.09</v>
      </c>
      <c r="AG13" s="245"/>
      <c r="AH13" s="2">
        <v>82.22</v>
      </c>
      <c r="AI13" s="2">
        <v>72.290000000000006</v>
      </c>
      <c r="AJ13" s="2">
        <v>60.39</v>
      </c>
      <c r="AK13" s="2">
        <v>48.85</v>
      </c>
      <c r="AL13" s="245"/>
      <c r="AM13" s="2">
        <v>53.78</v>
      </c>
      <c r="AN13" s="2">
        <v>69.599999999999994</v>
      </c>
      <c r="AO13" s="2">
        <v>51.49</v>
      </c>
      <c r="AP13" s="2" t="s">
        <v>246</v>
      </c>
      <c r="AQ13" s="2" t="s">
        <v>246</v>
      </c>
      <c r="AR13" s="2">
        <v>52.19</v>
      </c>
      <c r="AS13" s="2" t="s">
        <v>246</v>
      </c>
      <c r="AT13" s="245"/>
      <c r="AU13" s="2">
        <v>82.58</v>
      </c>
      <c r="AV13" s="2">
        <v>72.69</v>
      </c>
      <c r="AW13" s="2">
        <v>79.94</v>
      </c>
      <c r="AX13" s="2" t="s">
        <v>246</v>
      </c>
      <c r="AY13" s="2" t="s">
        <v>246</v>
      </c>
      <c r="AZ13" s="2">
        <v>80.58</v>
      </c>
      <c r="BA13" s="2">
        <v>59.53</v>
      </c>
      <c r="BB13" s="245"/>
      <c r="BC13" s="2" t="s">
        <v>246</v>
      </c>
      <c r="BD13" s="2" t="s">
        <v>246</v>
      </c>
      <c r="BE13" s="2">
        <v>73.709999999999994</v>
      </c>
      <c r="BF13" s="2" t="s">
        <v>246</v>
      </c>
      <c r="BG13" s="2">
        <v>76.13</v>
      </c>
      <c r="BH13" s="2">
        <v>72.13</v>
      </c>
      <c r="BI13" s="2">
        <v>60.86</v>
      </c>
      <c r="BJ13" s="245"/>
      <c r="BK13" s="2" t="s">
        <v>246</v>
      </c>
      <c r="BL13" s="2">
        <v>50.06</v>
      </c>
      <c r="BM13" s="245"/>
      <c r="BN13" s="2" t="s">
        <v>246</v>
      </c>
      <c r="BO13" s="2" t="s">
        <v>246</v>
      </c>
      <c r="BP13" s="2" t="s">
        <v>246</v>
      </c>
      <c r="BQ13" s="2" t="s">
        <v>246</v>
      </c>
      <c r="BR13" s="245"/>
      <c r="BS13" s="2" t="s">
        <v>246</v>
      </c>
      <c r="BT13" s="2" t="s">
        <v>246</v>
      </c>
      <c r="BU13" s="2">
        <v>54.29</v>
      </c>
      <c r="BV13" s="2">
        <v>43.81</v>
      </c>
    </row>
    <row r="14" spans="1:74">
      <c r="A14" s="255"/>
      <c r="B14" s="255"/>
      <c r="C14" s="256" t="s">
        <v>248</v>
      </c>
      <c r="D14" s="285"/>
      <c r="E14" s="285"/>
      <c r="F14" s="285"/>
      <c r="G14" s="285"/>
      <c r="H14" s="285"/>
      <c r="I14" s="286"/>
      <c r="J14" s="285">
        <v>99.14</v>
      </c>
      <c r="K14" s="285">
        <v>83.43</v>
      </c>
      <c r="L14" s="285">
        <v>78.489999999999995</v>
      </c>
      <c r="M14" s="285">
        <v>70.23</v>
      </c>
      <c r="N14" s="285" t="s">
        <v>246</v>
      </c>
      <c r="O14" s="286"/>
      <c r="P14" s="285">
        <v>71.61</v>
      </c>
      <c r="Q14" s="285">
        <v>74.44</v>
      </c>
      <c r="R14" s="286"/>
      <c r="S14" s="285">
        <v>70.98</v>
      </c>
      <c r="T14" s="285">
        <v>69.53</v>
      </c>
      <c r="U14" s="285">
        <v>75.62</v>
      </c>
      <c r="V14" s="285">
        <v>71.150000000000006</v>
      </c>
      <c r="W14" s="285">
        <v>77.040000000000006</v>
      </c>
      <c r="X14" s="286"/>
      <c r="Y14" s="285">
        <v>76.2</v>
      </c>
      <c r="Z14" s="285">
        <v>74.25</v>
      </c>
      <c r="AA14" s="285">
        <v>65.959999999999994</v>
      </c>
      <c r="AB14" s="285">
        <v>76.19</v>
      </c>
      <c r="AC14" s="285">
        <v>73.959999999999994</v>
      </c>
      <c r="AD14" s="286"/>
      <c r="AE14" s="285">
        <v>72.680000000000007</v>
      </c>
      <c r="AF14" s="285">
        <v>70.2</v>
      </c>
      <c r="AG14" s="286"/>
      <c r="AH14" s="285">
        <v>82.53</v>
      </c>
      <c r="AI14" s="285">
        <v>75.45</v>
      </c>
      <c r="AJ14" s="285">
        <v>65.260000000000005</v>
      </c>
      <c r="AK14" s="285">
        <v>55.45</v>
      </c>
      <c r="AL14" s="286"/>
      <c r="AM14" s="285">
        <v>57.47</v>
      </c>
      <c r="AN14" s="285">
        <v>54.46</v>
      </c>
      <c r="AO14" s="285">
        <v>61.25</v>
      </c>
      <c r="AP14" s="285" t="s">
        <v>246</v>
      </c>
      <c r="AQ14" s="285" t="s">
        <v>246</v>
      </c>
      <c r="AR14" s="285">
        <v>63.07</v>
      </c>
      <c r="AS14" s="285" t="s">
        <v>246</v>
      </c>
      <c r="AT14" s="286"/>
      <c r="AU14" s="285">
        <v>87.6</v>
      </c>
      <c r="AV14" s="285">
        <v>80.55</v>
      </c>
      <c r="AW14" s="285">
        <v>76.48</v>
      </c>
      <c r="AX14" s="285" t="s">
        <v>246</v>
      </c>
      <c r="AY14" s="285" t="s">
        <v>246</v>
      </c>
      <c r="AZ14" s="285">
        <v>88.89</v>
      </c>
      <c r="BA14" s="285">
        <v>76.92</v>
      </c>
      <c r="BB14" s="286"/>
      <c r="BC14" s="285" t="s">
        <v>246</v>
      </c>
      <c r="BD14" s="285" t="s">
        <v>246</v>
      </c>
      <c r="BE14" s="285">
        <v>75.38</v>
      </c>
      <c r="BF14" s="285" t="s">
        <v>246</v>
      </c>
      <c r="BG14" s="285">
        <v>77.62</v>
      </c>
      <c r="BH14" s="285">
        <v>76.150000000000006</v>
      </c>
      <c r="BI14" s="285">
        <v>68.61</v>
      </c>
      <c r="BJ14" s="286"/>
      <c r="BK14" s="285" t="s">
        <v>246</v>
      </c>
      <c r="BL14" s="285">
        <v>59.05</v>
      </c>
      <c r="BM14" s="286"/>
      <c r="BN14" s="285" t="s">
        <v>246</v>
      </c>
      <c r="BO14" s="285" t="s">
        <v>246</v>
      </c>
      <c r="BP14" s="285" t="s">
        <v>246</v>
      </c>
      <c r="BQ14" s="285">
        <v>53.71</v>
      </c>
      <c r="BR14" s="286"/>
      <c r="BS14" s="285" t="s">
        <v>246</v>
      </c>
      <c r="BT14" s="285" t="s">
        <v>246</v>
      </c>
      <c r="BU14" s="285" t="s">
        <v>246</v>
      </c>
      <c r="BV14" s="285" t="s">
        <v>246</v>
      </c>
    </row>
    <row r="16" spans="1:74">
      <c r="A16" s="249"/>
      <c r="B16" s="249"/>
      <c r="C16" s="250" t="s">
        <v>249</v>
      </c>
      <c r="D16" s="251"/>
      <c r="E16" s="251"/>
      <c r="F16" s="251"/>
      <c r="G16" s="251"/>
      <c r="H16" s="251"/>
      <c r="I16" s="245"/>
      <c r="J16" s="287">
        <f>+SUM(J3:N3)</f>
        <v>546</v>
      </c>
      <c r="K16" s="288"/>
      <c r="L16" s="288"/>
      <c r="M16" s="288"/>
      <c r="N16" s="289"/>
      <c r="O16" s="245"/>
      <c r="P16" s="287">
        <f>+SUM(P3:Q3)</f>
        <v>546</v>
      </c>
      <c r="Q16" s="289"/>
      <c r="R16" s="245"/>
      <c r="S16" s="287">
        <f>+SUM(S3:W3)</f>
        <v>546</v>
      </c>
      <c r="T16" s="288"/>
      <c r="U16" s="288"/>
      <c r="V16" s="288"/>
      <c r="W16" s="289"/>
      <c r="X16" s="245"/>
      <c r="Y16" s="287">
        <f>+SUM(Y3:AC3)</f>
        <v>546</v>
      </c>
      <c r="Z16" s="288"/>
      <c r="AA16" s="288"/>
      <c r="AB16" s="288"/>
      <c r="AC16" s="289"/>
      <c r="AD16" s="245"/>
      <c r="AE16" s="287">
        <f>+SUM(AE3:AF3)</f>
        <v>546</v>
      </c>
      <c r="AF16" s="289"/>
      <c r="AG16" s="245"/>
      <c r="AH16" s="287">
        <f>+SUM(AH3:AK3)</f>
        <v>512</v>
      </c>
      <c r="AI16" s="288"/>
      <c r="AJ16" s="288"/>
      <c r="AK16" s="289"/>
      <c r="AL16" s="245"/>
      <c r="AM16" s="287">
        <f>+SUM(AM3:AS3)</f>
        <v>121</v>
      </c>
      <c r="AN16" s="288"/>
      <c r="AO16" s="288"/>
      <c r="AP16" s="288"/>
      <c r="AQ16" s="288"/>
      <c r="AR16" s="288"/>
      <c r="AS16" s="289"/>
      <c r="AT16" s="245"/>
      <c r="AU16" s="287">
        <f>+SUM(AU3:BA3)</f>
        <v>253</v>
      </c>
      <c r="AV16" s="288"/>
      <c r="AW16" s="288"/>
      <c r="AX16" s="288"/>
      <c r="AY16" s="288"/>
      <c r="AZ16" s="288"/>
      <c r="BA16" s="289"/>
      <c r="BB16" s="245"/>
      <c r="BC16" s="287">
        <f>+SUM(BC3:BI3)</f>
        <v>172</v>
      </c>
      <c r="BD16" s="288"/>
      <c r="BE16" s="288"/>
      <c r="BF16" s="288"/>
      <c r="BG16" s="288"/>
      <c r="BH16" s="288"/>
      <c r="BI16" s="289"/>
      <c r="BJ16" s="245"/>
      <c r="BK16" s="287">
        <f>+SUM(BK3:BL3)</f>
        <v>7</v>
      </c>
      <c r="BL16" s="289"/>
      <c r="BM16" s="245"/>
      <c r="BN16" s="287">
        <f>+SUM(BN3:BQ3)</f>
        <v>6</v>
      </c>
      <c r="BO16" s="288"/>
      <c r="BP16" s="288"/>
      <c r="BQ16" s="289"/>
      <c r="BR16" s="245"/>
      <c r="BS16" s="287">
        <f>+SUM(BS3:BV3)</f>
        <v>54</v>
      </c>
      <c r="BT16" s="288"/>
      <c r="BU16" s="288"/>
      <c r="BV16" s="289"/>
    </row>
    <row r="17" spans="1:74">
      <c r="A17" s="252"/>
      <c r="B17" s="252"/>
      <c r="C17" s="253" t="s">
        <v>250</v>
      </c>
      <c r="D17" s="254"/>
      <c r="E17" s="254"/>
      <c r="F17" s="254"/>
      <c r="G17" s="254"/>
      <c r="H17" s="254"/>
      <c r="I17" s="245"/>
      <c r="J17" s="290">
        <f>+J3/$J$16</f>
        <v>9.1575091575091579E-3</v>
      </c>
      <c r="K17" s="290">
        <f t="shared" ref="K17:N17" si="0">+K3/$J$16</f>
        <v>6.2271062271062272E-2</v>
      </c>
      <c r="L17" s="290">
        <f t="shared" si="0"/>
        <v>0.1446886446886447</v>
      </c>
      <c r="M17" s="290">
        <f t="shared" si="0"/>
        <v>0.74908424908424909</v>
      </c>
      <c r="N17" s="290">
        <f t="shared" si="0"/>
        <v>3.47985347985348E-2</v>
      </c>
      <c r="O17" s="245"/>
      <c r="P17" s="290">
        <f>+P3/$P$16</f>
        <v>0.63369963369963367</v>
      </c>
      <c r="Q17" s="290">
        <f>+Q3/$P$16</f>
        <v>0.36630036630036628</v>
      </c>
      <c r="R17" s="245"/>
      <c r="S17" s="290">
        <f>+S3/$S$16</f>
        <v>4.5787545787545784E-2</v>
      </c>
      <c r="T17" s="290">
        <f t="shared" ref="T17:W17" si="1">+T3/$S$16</f>
        <v>0.29853479853479853</v>
      </c>
      <c r="U17" s="290">
        <f t="shared" si="1"/>
        <v>0.38278388278388276</v>
      </c>
      <c r="V17" s="290">
        <f t="shared" si="1"/>
        <v>0.23443223443223443</v>
      </c>
      <c r="W17" s="290">
        <f t="shared" si="1"/>
        <v>3.8461538461538464E-2</v>
      </c>
      <c r="X17" s="245"/>
      <c r="Y17" s="290">
        <f>+Y3/$Y$16</f>
        <v>0.14102564102564102</v>
      </c>
      <c r="Z17" s="290">
        <f t="shared" ref="Z17:AC17" si="2">+Z3/$Y$16</f>
        <v>0.39194139194139194</v>
      </c>
      <c r="AA17" s="290">
        <f t="shared" si="2"/>
        <v>0.21062271062271062</v>
      </c>
      <c r="AB17" s="290">
        <f t="shared" si="2"/>
        <v>0.11172161172161173</v>
      </c>
      <c r="AC17" s="290">
        <f t="shared" si="2"/>
        <v>0.1446886446886447</v>
      </c>
      <c r="AD17" s="245"/>
      <c r="AE17" s="290">
        <f>+AE3/$AE$16</f>
        <v>0.96336996336996339</v>
      </c>
      <c r="AF17" s="290">
        <f>+AF3/$AE$16</f>
        <v>3.6630036630036632E-2</v>
      </c>
      <c r="AG17" s="245"/>
      <c r="AH17" s="290">
        <f>+AH3/$AH$16</f>
        <v>0.365234375</v>
      </c>
      <c r="AI17" s="290">
        <f t="shared" ref="AI17:AK17" si="3">+AI3/$AH$16</f>
        <v>0.205078125</v>
      </c>
      <c r="AJ17" s="290">
        <f t="shared" si="3"/>
        <v>0.267578125</v>
      </c>
      <c r="AK17" s="290">
        <f t="shared" si="3"/>
        <v>0.162109375</v>
      </c>
      <c r="AL17" s="245"/>
      <c r="AM17" s="290">
        <f>+AM3/$AM$16</f>
        <v>5.7851239669421489E-2</v>
      </c>
      <c r="AN17" s="290">
        <f t="shared" ref="AN17:AS17" si="4">+AN3/$AM$16</f>
        <v>4.9586776859504134E-2</v>
      </c>
      <c r="AO17" s="290">
        <f t="shared" si="4"/>
        <v>0.4462809917355372</v>
      </c>
      <c r="AP17" s="290">
        <f t="shared" si="4"/>
        <v>4.1322314049586778E-2</v>
      </c>
      <c r="AQ17" s="290">
        <f t="shared" si="4"/>
        <v>4.1322314049586778E-2</v>
      </c>
      <c r="AR17" s="290">
        <f t="shared" si="4"/>
        <v>0.33884297520661155</v>
      </c>
      <c r="AS17" s="290">
        <f t="shared" si="4"/>
        <v>2.4793388429752067E-2</v>
      </c>
      <c r="AT17" s="245"/>
      <c r="AU17" s="290">
        <f>+AU3/$AU$16</f>
        <v>8.6956521739130432E-2</v>
      </c>
      <c r="AV17" s="290">
        <f t="shared" ref="AV17:BA17" si="5">+AV3/$AU$16</f>
        <v>0.62055335968379444</v>
      </c>
      <c r="AW17" s="290">
        <f t="shared" si="5"/>
        <v>0.16205533596837945</v>
      </c>
      <c r="AX17" s="290">
        <f t="shared" si="5"/>
        <v>1.9762845849802372E-2</v>
      </c>
      <c r="AY17" s="290">
        <f t="shared" si="5"/>
        <v>1.5810276679841896E-2</v>
      </c>
      <c r="AZ17" s="290">
        <f t="shared" si="5"/>
        <v>2.766798418972332E-2</v>
      </c>
      <c r="BA17" s="290">
        <f t="shared" si="5"/>
        <v>6.7193675889328064E-2</v>
      </c>
      <c r="BB17" s="245"/>
      <c r="BC17" s="290">
        <f>+BC3/$BC$16</f>
        <v>2.9069767441860465E-2</v>
      </c>
      <c r="BD17" s="290">
        <f t="shared" ref="BD17:BI17" si="6">+BD3/$BC$16</f>
        <v>1.1627906976744186E-2</v>
      </c>
      <c r="BE17" s="290">
        <f t="shared" si="6"/>
        <v>0.63953488372093026</v>
      </c>
      <c r="BF17" s="290">
        <f t="shared" si="6"/>
        <v>1.1627906976744186E-2</v>
      </c>
      <c r="BG17" s="290">
        <f t="shared" si="6"/>
        <v>5.232558139534884E-2</v>
      </c>
      <c r="BH17" s="290">
        <f t="shared" si="6"/>
        <v>3.4883720930232558E-2</v>
      </c>
      <c r="BI17" s="290">
        <f t="shared" si="6"/>
        <v>0.22093023255813954</v>
      </c>
      <c r="BJ17" s="245"/>
      <c r="BK17" s="290">
        <f>+BK3/$BK$16</f>
        <v>0.14285714285714285</v>
      </c>
      <c r="BL17" s="290">
        <f>+BL3/$BK$16</f>
        <v>0.8571428571428571</v>
      </c>
      <c r="BM17" s="245"/>
      <c r="BN17" s="290">
        <f>+BN3/$BN$16</f>
        <v>0.16666666666666666</v>
      </c>
      <c r="BO17" s="290">
        <f t="shared" ref="BO17:BQ17" si="7">+BO3/$BN$16</f>
        <v>0.16666666666666666</v>
      </c>
      <c r="BP17" s="290">
        <f t="shared" si="7"/>
        <v>0.66666666666666663</v>
      </c>
      <c r="BQ17" s="290">
        <f t="shared" si="7"/>
        <v>0</v>
      </c>
      <c r="BR17" s="245"/>
      <c r="BS17" s="290">
        <f>+BS3/$BS$16</f>
        <v>1.8518518518518517E-2</v>
      </c>
      <c r="BT17" s="290">
        <f t="shared" ref="BT17:BV17" si="8">+BT3/$BS$16</f>
        <v>1.8518518518518517E-2</v>
      </c>
      <c r="BU17" s="290">
        <f t="shared" si="8"/>
        <v>0.64814814814814814</v>
      </c>
      <c r="BV17" s="290">
        <f t="shared" si="8"/>
        <v>0.31481481481481483</v>
      </c>
    </row>
    <row r="18" spans="1:74">
      <c r="A18" s="309"/>
      <c r="B18" s="309"/>
      <c r="C18" s="310" t="s">
        <v>251</v>
      </c>
      <c r="D18" s="311"/>
      <c r="E18" s="311"/>
      <c r="F18" s="311"/>
      <c r="G18" s="311"/>
      <c r="H18" s="311"/>
      <c r="I18" s="245"/>
      <c r="J18" s="311"/>
      <c r="K18" s="311"/>
      <c r="L18" s="311"/>
      <c r="M18" s="311"/>
      <c r="N18" s="311"/>
      <c r="O18" s="245"/>
      <c r="P18" s="311"/>
      <c r="Q18" s="311"/>
      <c r="R18" s="245"/>
      <c r="S18" s="311"/>
      <c r="T18" s="311"/>
      <c r="U18" s="311"/>
      <c r="V18" s="311"/>
      <c r="W18" s="311"/>
      <c r="X18" s="245"/>
      <c r="Y18" s="311"/>
      <c r="Z18" s="311"/>
      <c r="AA18" s="311"/>
      <c r="AB18" s="311"/>
      <c r="AC18" s="311"/>
      <c r="AD18" s="245"/>
      <c r="AE18" s="311"/>
      <c r="AF18" s="311"/>
      <c r="AG18" s="245"/>
      <c r="AH18" s="311"/>
      <c r="AI18" s="311"/>
      <c r="AJ18" s="311"/>
      <c r="AK18" s="311"/>
      <c r="AL18" s="245"/>
      <c r="AM18" s="312">
        <f>+AM3/AM4</f>
        <v>0.58333333333333337</v>
      </c>
      <c r="AN18" s="312">
        <f t="shared" ref="AN18:AS18" si="9">+AN3/AN4</f>
        <v>0.66666666666666663</v>
      </c>
      <c r="AO18" s="312">
        <f t="shared" si="9"/>
        <v>0.5625</v>
      </c>
      <c r="AP18" s="312">
        <f t="shared" si="9"/>
        <v>0.83333333333333337</v>
      </c>
      <c r="AQ18" s="312">
        <f t="shared" si="9"/>
        <v>0.625</v>
      </c>
      <c r="AR18" s="312">
        <f t="shared" si="9"/>
        <v>0.77358490566037741</v>
      </c>
      <c r="AS18" s="312">
        <f t="shared" si="9"/>
        <v>0.5</v>
      </c>
      <c r="AT18" s="245"/>
      <c r="AU18" s="312">
        <f>+AU3/AU4</f>
        <v>1</v>
      </c>
      <c r="AV18" s="312">
        <f t="shared" ref="AV18:BA18" si="10">+AV3/AV4</f>
        <v>0.96913580246913578</v>
      </c>
      <c r="AW18" s="312">
        <f t="shared" si="10"/>
        <v>0.87234042553191493</v>
      </c>
      <c r="AX18" s="312">
        <f t="shared" si="10"/>
        <v>1</v>
      </c>
      <c r="AY18" s="312">
        <f t="shared" si="10"/>
        <v>1</v>
      </c>
      <c r="AZ18" s="312">
        <f t="shared" si="10"/>
        <v>1</v>
      </c>
      <c r="BA18" s="312">
        <f t="shared" si="10"/>
        <v>0.77272727272727271</v>
      </c>
      <c r="BB18" s="245"/>
      <c r="BC18" s="312">
        <f>+BC3/BC4</f>
        <v>1</v>
      </c>
      <c r="BD18" s="312">
        <f t="shared" ref="BD18:BI18" si="11">+BD3/BD4</f>
        <v>1</v>
      </c>
      <c r="BE18" s="312">
        <f t="shared" si="11"/>
        <v>0.7857142857142857</v>
      </c>
      <c r="BF18" s="312">
        <f t="shared" si="11"/>
        <v>0.66666666666666663</v>
      </c>
      <c r="BG18" s="312">
        <f t="shared" si="11"/>
        <v>0.9</v>
      </c>
      <c r="BH18" s="312">
        <f t="shared" si="11"/>
        <v>1</v>
      </c>
      <c r="BI18" s="312">
        <f t="shared" si="11"/>
        <v>0.73076923076923073</v>
      </c>
      <c r="BJ18" s="245"/>
      <c r="BK18" s="312"/>
      <c r="BL18" s="312"/>
      <c r="BM18" s="245"/>
      <c r="BN18" s="312"/>
      <c r="BO18" s="312"/>
      <c r="BP18" s="312"/>
      <c r="BQ18" s="312"/>
      <c r="BR18" s="245"/>
      <c r="BS18" s="312"/>
      <c r="BT18" s="312"/>
      <c r="BU18" s="312"/>
      <c r="BV18" s="312"/>
    </row>
    <row r="19" spans="1:74">
      <c r="A19" s="255"/>
      <c r="B19" s="255"/>
      <c r="C19" s="256" t="s">
        <v>252</v>
      </c>
      <c r="D19" s="257"/>
      <c r="E19" s="257"/>
      <c r="F19" s="257"/>
      <c r="G19" s="257"/>
      <c r="H19" s="257"/>
      <c r="I19" s="245"/>
      <c r="J19" s="257"/>
      <c r="K19" s="257"/>
      <c r="L19" s="257"/>
      <c r="M19" s="257"/>
      <c r="N19" s="257"/>
      <c r="O19" s="245"/>
      <c r="P19" s="257"/>
      <c r="Q19" s="257"/>
      <c r="R19" s="245"/>
      <c r="S19" s="257"/>
      <c r="T19" s="257"/>
      <c r="U19" s="257"/>
      <c r="V19" s="257"/>
      <c r="W19" s="257"/>
      <c r="X19" s="245"/>
      <c r="Y19" s="257"/>
      <c r="Z19" s="257"/>
      <c r="AA19" s="257"/>
      <c r="AB19" s="257"/>
      <c r="AC19" s="257"/>
      <c r="AD19" s="245"/>
      <c r="AE19" s="257"/>
      <c r="AF19" s="257"/>
      <c r="AG19" s="245"/>
      <c r="AH19" s="257"/>
      <c r="AI19" s="257"/>
      <c r="AJ19" s="257"/>
      <c r="AK19" s="257"/>
      <c r="AL19" s="245"/>
      <c r="AM19" s="257"/>
      <c r="AN19" s="257"/>
      <c r="AO19" s="257"/>
      <c r="AP19" s="257"/>
      <c r="AQ19" s="257"/>
      <c r="AR19" s="257"/>
      <c r="AS19" s="257"/>
      <c r="AT19" s="245"/>
      <c r="AU19" s="257"/>
      <c r="AV19" s="257"/>
      <c r="AW19" s="257"/>
      <c r="AX19" s="257"/>
      <c r="AY19" s="257"/>
      <c r="AZ19" s="257"/>
      <c r="BA19" s="257"/>
      <c r="BB19" s="245"/>
      <c r="BC19" s="257"/>
      <c r="BD19" s="257"/>
      <c r="BE19" s="257"/>
      <c r="BF19" s="257"/>
      <c r="BG19" s="257"/>
      <c r="BH19" s="257"/>
      <c r="BI19" s="257"/>
      <c r="BJ19" s="245"/>
      <c r="BK19" s="257"/>
      <c r="BL19" s="257"/>
      <c r="BM19" s="245"/>
      <c r="BN19" s="257"/>
      <c r="BO19" s="257"/>
      <c r="BP19" s="257"/>
      <c r="BQ19" s="257"/>
      <c r="BR19" s="245"/>
      <c r="BS19" s="257"/>
      <c r="BT19" s="257"/>
      <c r="BU19" s="257"/>
      <c r="BV19" s="257"/>
    </row>
    <row r="20" spans="1:74">
      <c r="A20" s="255"/>
      <c r="B20" s="255"/>
      <c r="C20" s="256" t="s">
        <v>253</v>
      </c>
      <c r="D20" s="257"/>
      <c r="E20" s="257"/>
      <c r="F20" s="257"/>
      <c r="G20" s="257"/>
      <c r="H20" s="257"/>
      <c r="I20" s="245"/>
      <c r="J20" s="257"/>
      <c r="K20" s="257"/>
      <c r="L20" s="257"/>
      <c r="M20" s="257"/>
      <c r="N20" s="257"/>
      <c r="O20" s="245"/>
      <c r="P20" s="257"/>
      <c r="Q20" s="257"/>
      <c r="R20" s="245"/>
      <c r="S20" s="257"/>
      <c r="T20" s="257"/>
      <c r="U20" s="257"/>
      <c r="V20" s="257"/>
      <c r="W20" s="257"/>
      <c r="X20" s="245"/>
      <c r="Y20" s="257"/>
      <c r="Z20" s="257"/>
      <c r="AA20" s="257"/>
      <c r="AB20" s="257"/>
      <c r="AC20" s="257"/>
      <c r="AD20" s="245"/>
      <c r="AE20" s="257"/>
      <c r="AF20" s="257"/>
      <c r="AG20" s="245"/>
      <c r="AH20" s="257"/>
      <c r="AI20" s="257"/>
      <c r="AJ20" s="257"/>
      <c r="AK20" s="257"/>
      <c r="AL20" s="245"/>
      <c r="AM20" s="257"/>
      <c r="AN20" s="257"/>
      <c r="AO20" s="257"/>
      <c r="AP20" s="257"/>
      <c r="AQ20" s="257"/>
      <c r="AR20" s="257"/>
      <c r="AS20" s="257"/>
      <c r="AT20" s="245"/>
      <c r="AU20" s="257"/>
      <c r="AV20" s="257"/>
      <c r="AW20" s="257"/>
      <c r="AX20" s="257"/>
      <c r="AY20" s="257"/>
      <c r="AZ20" s="257"/>
      <c r="BA20" s="257"/>
      <c r="BB20" s="245"/>
      <c r="BC20" s="257"/>
      <c r="BD20" s="257"/>
      <c r="BE20" s="257"/>
      <c r="BF20" s="257"/>
      <c r="BG20" s="257"/>
      <c r="BH20" s="257"/>
      <c r="BI20" s="257"/>
      <c r="BJ20" s="245"/>
      <c r="BK20" s="257"/>
      <c r="BL20" s="257"/>
      <c r="BM20" s="245"/>
      <c r="BN20" s="257"/>
      <c r="BO20" s="257"/>
      <c r="BP20" s="257"/>
      <c r="BQ20" s="257"/>
      <c r="BR20" s="245"/>
      <c r="BS20" s="257"/>
      <c r="BT20" s="257"/>
      <c r="BU20" s="257"/>
      <c r="BV20" s="257"/>
    </row>
  </sheetData>
  <mergeCells count="33">
    <mergeCell ref="BK16:BL16"/>
    <mergeCell ref="BN16:BQ16"/>
    <mergeCell ref="BK1:BL1"/>
    <mergeCell ref="BN1:BQ1"/>
    <mergeCell ref="J16:N16"/>
    <mergeCell ref="P16:Q16"/>
    <mergeCell ref="S16:W16"/>
    <mergeCell ref="Y16:AC16"/>
    <mergeCell ref="AE16:AF16"/>
    <mergeCell ref="AH16:AK16"/>
    <mergeCell ref="AM16:AS16"/>
    <mergeCell ref="AU16:BA16"/>
    <mergeCell ref="BS16:BV16"/>
    <mergeCell ref="D1:H1"/>
    <mergeCell ref="J1:N1"/>
    <mergeCell ref="P1:Q1"/>
    <mergeCell ref="S1:W1"/>
    <mergeCell ref="Y1:AC1"/>
    <mergeCell ref="AE1:AF1"/>
    <mergeCell ref="BC16:BI16"/>
    <mergeCell ref="A7:C7"/>
    <mergeCell ref="A8:C8"/>
    <mergeCell ref="A9:C9"/>
    <mergeCell ref="A10:C10"/>
    <mergeCell ref="A11:C11"/>
    <mergeCell ref="A13:C13"/>
    <mergeCell ref="BS1:BV1"/>
    <mergeCell ref="A2:C2"/>
    <mergeCell ref="AH1:AK1"/>
    <mergeCell ref="AM1:AS1"/>
    <mergeCell ref="AU1:BA1"/>
    <mergeCell ref="BC1:BI1"/>
    <mergeCell ref="A1:B1"/>
  </mergeCells>
  <conditionalFormatting sqref="J7:N11 Y7:AC11 AH7:AK11 AM7:AQ11 BK7:BK11">
    <cfRule type="cellIs" dxfId="131" priority="58" stopIfTrue="1" operator="lessThanOrEqual">
      <formula>44.49</formula>
    </cfRule>
    <cfRule type="cellIs" dxfId="130" priority="59" stopIfTrue="1" operator="greaterThanOrEqual">
      <formula>85.5</formula>
    </cfRule>
    <cfRule type="cellIs" dxfId="129" priority="60" stopIfTrue="1" operator="between">
      <formula>44.5</formula>
      <formula>60.49</formula>
    </cfRule>
  </conditionalFormatting>
  <conditionalFormatting sqref="D7:D11">
    <cfRule type="cellIs" dxfId="128" priority="55" stopIfTrue="1" operator="lessThanOrEqual">
      <formula>44.49</formula>
    </cfRule>
    <cfRule type="cellIs" dxfId="127" priority="56" stopIfTrue="1" operator="greaterThanOrEqual">
      <formula>85.5</formula>
    </cfRule>
    <cfRule type="cellIs" dxfId="126" priority="57" stopIfTrue="1" operator="between">
      <formula>44.5</formula>
      <formula>60.49</formula>
    </cfRule>
  </conditionalFormatting>
  <conditionalFormatting sqref="E7:F11">
    <cfRule type="cellIs" dxfId="125" priority="52" stopIfTrue="1" operator="lessThanOrEqual">
      <formula>44.49</formula>
    </cfRule>
    <cfRule type="cellIs" dxfId="124" priority="53" stopIfTrue="1" operator="greaterThanOrEqual">
      <formula>85.5</formula>
    </cfRule>
    <cfRule type="cellIs" dxfId="123" priority="54" stopIfTrue="1" operator="between">
      <formula>44.5</formula>
      <formula>60.49</formula>
    </cfRule>
  </conditionalFormatting>
  <conditionalFormatting sqref="G7:G11">
    <cfRule type="cellIs" dxfId="122" priority="49" stopIfTrue="1" operator="lessThanOrEqual">
      <formula>44.49</formula>
    </cfRule>
    <cfRule type="cellIs" dxfId="121" priority="50" stopIfTrue="1" operator="greaterThanOrEqual">
      <formula>85.5</formula>
    </cfRule>
    <cfRule type="cellIs" dxfId="120" priority="51" stopIfTrue="1" operator="between">
      <formula>44.5</formula>
      <formula>60.49</formula>
    </cfRule>
  </conditionalFormatting>
  <conditionalFormatting sqref="P7:P11">
    <cfRule type="cellIs" dxfId="119" priority="46" stopIfTrue="1" operator="lessThanOrEqual">
      <formula>44.49</formula>
    </cfRule>
    <cfRule type="cellIs" dxfId="118" priority="47" stopIfTrue="1" operator="greaterThanOrEqual">
      <formula>85.5</formula>
    </cfRule>
    <cfRule type="cellIs" dxfId="117" priority="48" stopIfTrue="1" operator="between">
      <formula>44.5</formula>
      <formula>60.49</formula>
    </cfRule>
  </conditionalFormatting>
  <conditionalFormatting sqref="Q7:Q11">
    <cfRule type="cellIs" dxfId="116" priority="43" stopIfTrue="1" operator="lessThanOrEqual">
      <formula>44.49</formula>
    </cfRule>
    <cfRule type="cellIs" dxfId="115" priority="44" stopIfTrue="1" operator="greaterThanOrEqual">
      <formula>85.5</formula>
    </cfRule>
    <cfRule type="cellIs" dxfId="114" priority="45" stopIfTrue="1" operator="between">
      <formula>44.5</formula>
      <formula>60.49</formula>
    </cfRule>
  </conditionalFormatting>
  <conditionalFormatting sqref="S7:S11">
    <cfRule type="cellIs" dxfId="113" priority="40" stopIfTrue="1" operator="lessThanOrEqual">
      <formula>44.49</formula>
    </cfRule>
    <cfRule type="cellIs" dxfId="112" priority="41" stopIfTrue="1" operator="greaterThanOrEqual">
      <formula>85.5</formula>
    </cfRule>
    <cfRule type="cellIs" dxfId="111" priority="42" stopIfTrue="1" operator="between">
      <formula>44.5</formula>
      <formula>60.49</formula>
    </cfRule>
  </conditionalFormatting>
  <conditionalFormatting sqref="T7:W11">
    <cfRule type="cellIs" dxfId="110" priority="37" stopIfTrue="1" operator="lessThanOrEqual">
      <formula>44.49</formula>
    </cfRule>
    <cfRule type="cellIs" dxfId="109" priority="38" stopIfTrue="1" operator="greaterThanOrEqual">
      <formula>85.5</formula>
    </cfRule>
    <cfRule type="cellIs" dxfId="108" priority="39" stopIfTrue="1" operator="between">
      <formula>44.5</formula>
      <formula>60.49</formula>
    </cfRule>
  </conditionalFormatting>
  <conditionalFormatting sqref="AS7:AS11">
    <cfRule type="cellIs" dxfId="107" priority="34" stopIfTrue="1" operator="lessThanOrEqual">
      <formula>44.49</formula>
    </cfRule>
    <cfRule type="cellIs" dxfId="106" priority="35" stopIfTrue="1" operator="greaterThanOrEqual">
      <formula>85.5</formula>
    </cfRule>
    <cfRule type="cellIs" dxfId="105" priority="36" stopIfTrue="1" operator="between">
      <formula>44.5</formula>
      <formula>60.49</formula>
    </cfRule>
  </conditionalFormatting>
  <conditionalFormatting sqref="AE7:AE11">
    <cfRule type="cellIs" dxfId="104" priority="31" stopIfTrue="1" operator="lessThanOrEqual">
      <formula>44.49</formula>
    </cfRule>
    <cfRule type="cellIs" dxfId="103" priority="32" stopIfTrue="1" operator="greaterThanOrEqual">
      <formula>85.5</formula>
    </cfRule>
    <cfRule type="cellIs" dxfId="102" priority="33" stopIfTrue="1" operator="between">
      <formula>44.5</formula>
      <formula>60.49</formula>
    </cfRule>
  </conditionalFormatting>
  <conditionalFormatting sqref="AF7:AF11">
    <cfRule type="cellIs" dxfId="101" priority="28" stopIfTrue="1" operator="lessThanOrEqual">
      <formula>44.49</formula>
    </cfRule>
    <cfRule type="cellIs" dxfId="100" priority="29" stopIfTrue="1" operator="greaterThanOrEqual">
      <formula>85.5</formula>
    </cfRule>
    <cfRule type="cellIs" dxfId="99" priority="30" stopIfTrue="1" operator="between">
      <formula>44.5</formula>
      <formula>60.49</formula>
    </cfRule>
  </conditionalFormatting>
  <conditionalFormatting sqref="AU7:AY11">
    <cfRule type="cellIs" dxfId="98" priority="25" stopIfTrue="1" operator="lessThanOrEqual">
      <formula>44.49</formula>
    </cfRule>
    <cfRule type="cellIs" dxfId="97" priority="26" stopIfTrue="1" operator="greaterThanOrEqual">
      <formula>85.5</formula>
    </cfRule>
    <cfRule type="cellIs" dxfId="96" priority="27" stopIfTrue="1" operator="between">
      <formula>44.5</formula>
      <formula>60.49</formula>
    </cfRule>
  </conditionalFormatting>
  <conditionalFormatting sqref="BA7:BA11">
    <cfRule type="cellIs" dxfId="95" priority="22" stopIfTrue="1" operator="lessThanOrEqual">
      <formula>44.49</formula>
    </cfRule>
    <cfRule type="cellIs" dxfId="94" priority="23" stopIfTrue="1" operator="greaterThanOrEqual">
      <formula>85.5</formula>
    </cfRule>
    <cfRule type="cellIs" dxfId="93" priority="24" stopIfTrue="1" operator="between">
      <formula>44.5</formula>
      <formula>60.49</formula>
    </cfRule>
  </conditionalFormatting>
  <conditionalFormatting sqref="BC7:BG11">
    <cfRule type="cellIs" dxfId="92" priority="19" stopIfTrue="1" operator="lessThanOrEqual">
      <formula>44.49</formula>
    </cfRule>
    <cfRule type="cellIs" dxfId="91" priority="20" stopIfTrue="1" operator="greaterThanOrEqual">
      <formula>85.5</formula>
    </cfRule>
    <cfRule type="cellIs" dxfId="90" priority="21" stopIfTrue="1" operator="between">
      <formula>44.5</formula>
      <formula>60.49</formula>
    </cfRule>
  </conditionalFormatting>
  <conditionalFormatting sqref="BI7:BI11">
    <cfRule type="cellIs" dxfId="89" priority="16" stopIfTrue="1" operator="lessThanOrEqual">
      <formula>44.49</formula>
    </cfRule>
    <cfRule type="cellIs" dxfId="88" priority="17" stopIfTrue="1" operator="greaterThanOrEqual">
      <formula>85.5</formula>
    </cfRule>
    <cfRule type="cellIs" dxfId="87" priority="18" stopIfTrue="1" operator="between">
      <formula>44.5</formula>
      <formula>60.49</formula>
    </cfRule>
  </conditionalFormatting>
  <conditionalFormatting sqref="BL7:BL11">
    <cfRule type="cellIs" dxfId="86" priority="13" stopIfTrue="1" operator="lessThanOrEqual">
      <formula>44.49</formula>
    </cfRule>
    <cfRule type="cellIs" dxfId="85" priority="14" stopIfTrue="1" operator="greaterThanOrEqual">
      <formula>85.5</formula>
    </cfRule>
    <cfRule type="cellIs" dxfId="84" priority="15" stopIfTrue="1" operator="between">
      <formula>44.5</formula>
      <formula>60.49</formula>
    </cfRule>
  </conditionalFormatting>
  <conditionalFormatting sqref="BN7:BP11">
    <cfRule type="cellIs" dxfId="83" priority="10" stopIfTrue="1" operator="lessThanOrEqual">
      <formula>44.49</formula>
    </cfRule>
    <cfRule type="cellIs" dxfId="82" priority="11" stopIfTrue="1" operator="greaterThanOrEqual">
      <formula>85.5</formula>
    </cfRule>
    <cfRule type="cellIs" dxfId="81" priority="12" stopIfTrue="1" operator="between">
      <formula>44.5</formula>
      <formula>60.49</formula>
    </cfRule>
  </conditionalFormatting>
  <conditionalFormatting sqref="BQ7:BQ11">
    <cfRule type="cellIs" dxfId="80" priority="7" stopIfTrue="1" operator="lessThanOrEqual">
      <formula>44.49</formula>
    </cfRule>
    <cfRule type="cellIs" dxfId="79" priority="8" stopIfTrue="1" operator="greaterThanOrEqual">
      <formula>85.5</formula>
    </cfRule>
    <cfRule type="cellIs" dxfId="78" priority="9" stopIfTrue="1" operator="between">
      <formula>44.5</formula>
      <formula>60.49</formula>
    </cfRule>
  </conditionalFormatting>
  <conditionalFormatting sqref="BS7:BU11">
    <cfRule type="cellIs" dxfId="77" priority="4" stopIfTrue="1" operator="lessThanOrEqual">
      <formula>44.49</formula>
    </cfRule>
    <cfRule type="cellIs" dxfId="76" priority="5" stopIfTrue="1" operator="greaterThanOrEqual">
      <formula>85.5</formula>
    </cfRule>
    <cfRule type="cellIs" dxfId="75" priority="6" stopIfTrue="1" operator="between">
      <formula>44.5</formula>
      <formula>60.49</formula>
    </cfRule>
  </conditionalFormatting>
  <conditionalFormatting sqref="BV7:BV11">
    <cfRule type="cellIs" dxfId="74" priority="1" stopIfTrue="1" operator="lessThanOrEqual">
      <formula>44.49</formula>
    </cfRule>
    <cfRule type="cellIs" dxfId="73" priority="2" stopIfTrue="1" operator="greaterThanOrEqual">
      <formula>85.5</formula>
    </cfRule>
    <cfRule type="cellIs" dxfId="72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07"/>
  <sheetViews>
    <sheetView topLeftCell="H1" zoomScaleNormal="100" workbookViewId="0">
      <selection activeCell="O2" sqref="O2:P15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6" width="8.5703125" customWidth="1"/>
  </cols>
  <sheetData>
    <row r="1" spans="1:17" ht="43.5" thickBot="1">
      <c r="A1" s="33" t="s">
        <v>53</v>
      </c>
      <c r="B1" s="33" t="s">
        <v>54</v>
      </c>
      <c r="C1" s="34">
        <v>2016</v>
      </c>
      <c r="D1" s="34">
        <v>2015</v>
      </c>
      <c r="E1" s="35" t="s">
        <v>55</v>
      </c>
      <c r="F1" s="35" t="s">
        <v>56</v>
      </c>
      <c r="G1" s="34" t="s">
        <v>57</v>
      </c>
      <c r="H1" s="36" t="s">
        <v>58</v>
      </c>
      <c r="I1" s="37" t="s">
        <v>59</v>
      </c>
      <c r="J1" s="38"/>
      <c r="K1" s="38" t="s">
        <v>60</v>
      </c>
      <c r="L1" s="38" t="s">
        <v>61</v>
      </c>
      <c r="M1" s="39">
        <v>2016</v>
      </c>
      <c r="N1" s="39">
        <v>2015</v>
      </c>
      <c r="O1" s="39" t="s">
        <v>55</v>
      </c>
      <c r="P1" s="39" t="s">
        <v>56</v>
      </c>
      <c r="Q1" s="40"/>
    </row>
    <row r="2" spans="1:17">
      <c r="A2" s="150" t="s">
        <v>62</v>
      </c>
      <c r="B2" s="136" t="s">
        <v>63</v>
      </c>
      <c r="C2" s="141">
        <f>+ROUND(AVERAGE(M2:M5),0)</f>
        <v>87</v>
      </c>
      <c r="D2" s="141">
        <f>+ROUND(AVERAGE(N2:N5),0)</f>
        <v>84</v>
      </c>
      <c r="E2" s="141">
        <f>+ROUND(AVERAGE(O2:O5),0)</f>
        <v>89</v>
      </c>
      <c r="F2" s="141">
        <f>+ROUND(AVERAGE(P2:P5),0)</f>
        <v>78</v>
      </c>
      <c r="G2" s="131">
        <f>+C2-E2</f>
        <v>-2</v>
      </c>
      <c r="H2" s="133">
        <f>+C2-F2</f>
        <v>9</v>
      </c>
      <c r="I2" s="127" t="s">
        <v>63</v>
      </c>
      <c r="J2" s="129" t="s">
        <v>64</v>
      </c>
      <c r="K2" s="41">
        <v>1</v>
      </c>
      <c r="L2" s="42" t="s">
        <v>65</v>
      </c>
      <c r="M2" s="43">
        <v>85.48</v>
      </c>
      <c r="N2" s="43">
        <v>81.28</v>
      </c>
      <c r="O2" s="43">
        <v>87</v>
      </c>
      <c r="P2" s="43">
        <v>73.260000000000005</v>
      </c>
      <c r="Q2" s="44">
        <f>+M2-N2</f>
        <v>4.2000000000000028</v>
      </c>
    </row>
    <row r="3" spans="1:17" ht="15.75" thickBot="1">
      <c r="A3" s="150"/>
      <c r="B3" s="136"/>
      <c r="C3" s="141"/>
      <c r="D3" s="141"/>
      <c r="E3" s="141"/>
      <c r="F3" s="141"/>
      <c r="G3" s="131"/>
      <c r="H3" s="133"/>
      <c r="I3" s="127"/>
      <c r="J3" s="130"/>
      <c r="K3" s="45">
        <v>2</v>
      </c>
      <c r="L3" s="46" t="s">
        <v>66</v>
      </c>
      <c r="M3" s="43">
        <v>84.05</v>
      </c>
      <c r="N3" s="43">
        <v>81.319999999999993</v>
      </c>
      <c r="O3" s="43">
        <v>85.72</v>
      </c>
      <c r="P3" s="43">
        <v>73.92</v>
      </c>
      <c r="Q3" s="44">
        <f t="shared" ref="Q3:Q62" si="0">+M3-N3</f>
        <v>2.730000000000004</v>
      </c>
    </row>
    <row r="4" spans="1:17">
      <c r="A4" s="150"/>
      <c r="B4" s="136"/>
      <c r="C4" s="141"/>
      <c r="D4" s="141"/>
      <c r="E4" s="141"/>
      <c r="F4" s="141"/>
      <c r="G4" s="131"/>
      <c r="H4" s="133"/>
      <c r="I4" s="127"/>
      <c r="J4" s="129" t="s">
        <v>67</v>
      </c>
      <c r="K4" s="41">
        <v>3</v>
      </c>
      <c r="L4" s="42" t="s">
        <v>68</v>
      </c>
      <c r="M4" s="47">
        <v>87.08</v>
      </c>
      <c r="N4" s="47">
        <v>84.81</v>
      </c>
      <c r="O4" s="47">
        <v>90.53</v>
      </c>
      <c r="P4" s="47">
        <v>81.55</v>
      </c>
      <c r="Q4" s="44">
        <f t="shared" si="0"/>
        <v>2.269999999999996</v>
      </c>
    </row>
    <row r="5" spans="1:17" ht="15.75" thickBot="1">
      <c r="A5" s="150"/>
      <c r="B5" s="137"/>
      <c r="C5" s="142"/>
      <c r="D5" s="142"/>
      <c r="E5" s="142"/>
      <c r="F5" s="142"/>
      <c r="G5" s="132"/>
      <c r="H5" s="134"/>
      <c r="I5" s="128"/>
      <c r="J5" s="130"/>
      <c r="K5" s="45">
        <v>4</v>
      </c>
      <c r="L5" s="46" t="s">
        <v>69</v>
      </c>
      <c r="M5" s="48">
        <v>89.51</v>
      </c>
      <c r="N5" s="48">
        <v>86.68</v>
      </c>
      <c r="O5" s="48">
        <v>92.63</v>
      </c>
      <c r="P5" s="48">
        <v>85.01</v>
      </c>
      <c r="Q5" s="44">
        <f t="shared" si="0"/>
        <v>2.8299999999999983</v>
      </c>
    </row>
    <row r="6" spans="1:17">
      <c r="A6" s="150"/>
      <c r="B6" s="135" t="s">
        <v>70</v>
      </c>
      <c r="C6" s="138">
        <f>+ROUND(AVERAGE(M6:M11),0)</f>
        <v>86</v>
      </c>
      <c r="D6" s="138">
        <f>+ROUND(AVERAGE(N6:N11),0)</f>
        <v>82</v>
      </c>
      <c r="E6" s="138">
        <f>+ROUND(AVERAGE(O6:O11),0)</f>
        <v>89</v>
      </c>
      <c r="F6" s="138">
        <f>+ROUND(AVERAGE(P6:P11),0)</f>
        <v>80</v>
      </c>
      <c r="G6" s="143">
        <f>+C6-E6</f>
        <v>-3</v>
      </c>
      <c r="H6" s="146">
        <f>+C6-F6</f>
        <v>6</v>
      </c>
      <c r="I6" s="127" t="s">
        <v>70</v>
      </c>
      <c r="J6" s="129" t="s">
        <v>71</v>
      </c>
      <c r="K6" s="41">
        <v>5</v>
      </c>
      <c r="L6" s="42" t="s">
        <v>72</v>
      </c>
      <c r="M6" s="47">
        <v>89.01</v>
      </c>
      <c r="N6" s="47">
        <v>86.33</v>
      </c>
      <c r="O6" s="47">
        <v>92.02</v>
      </c>
      <c r="P6" s="47">
        <v>82.79</v>
      </c>
      <c r="Q6" s="44">
        <f t="shared" si="0"/>
        <v>2.6800000000000068</v>
      </c>
    </row>
    <row r="7" spans="1:17">
      <c r="A7" s="150"/>
      <c r="B7" s="136"/>
      <c r="C7" s="139"/>
      <c r="D7" s="139"/>
      <c r="E7" s="139"/>
      <c r="F7" s="139"/>
      <c r="G7" s="144"/>
      <c r="H7" s="147"/>
      <c r="I7" s="127"/>
      <c r="J7" s="129"/>
      <c r="K7" s="41">
        <v>6</v>
      </c>
      <c r="L7" s="42" t="s">
        <v>73</v>
      </c>
      <c r="M7" s="43">
        <v>84.34</v>
      </c>
      <c r="N7" s="43">
        <v>80.52</v>
      </c>
      <c r="O7" s="43">
        <v>89.81</v>
      </c>
      <c r="P7" s="43">
        <v>77.66</v>
      </c>
      <c r="Q7" s="44">
        <f t="shared" si="0"/>
        <v>3.8200000000000074</v>
      </c>
    </row>
    <row r="8" spans="1:17" ht="15.75" thickBot="1">
      <c r="A8" s="150"/>
      <c r="B8" s="136"/>
      <c r="C8" s="139"/>
      <c r="D8" s="139"/>
      <c r="E8" s="139"/>
      <c r="F8" s="139"/>
      <c r="G8" s="144"/>
      <c r="H8" s="147"/>
      <c r="I8" s="127"/>
      <c r="J8" s="130"/>
      <c r="K8" s="45">
        <v>7</v>
      </c>
      <c r="L8" s="46" t="s">
        <v>74</v>
      </c>
      <c r="M8" s="48">
        <v>76.25</v>
      </c>
      <c r="N8" s="48">
        <v>72.42</v>
      </c>
      <c r="O8" s="48">
        <v>81.66</v>
      </c>
      <c r="P8" s="48">
        <v>69.28</v>
      </c>
      <c r="Q8" s="44">
        <f t="shared" si="0"/>
        <v>3.8299999999999983</v>
      </c>
    </row>
    <row r="9" spans="1:17" ht="28.5">
      <c r="A9" s="150"/>
      <c r="B9" s="136"/>
      <c r="C9" s="139"/>
      <c r="D9" s="139"/>
      <c r="E9" s="139"/>
      <c r="F9" s="139"/>
      <c r="G9" s="144"/>
      <c r="H9" s="147"/>
      <c r="I9" s="127"/>
      <c r="J9" s="129" t="s">
        <v>75</v>
      </c>
      <c r="K9" s="41">
        <v>8</v>
      </c>
      <c r="L9" s="42" t="s">
        <v>76</v>
      </c>
      <c r="M9" s="47">
        <v>87.18</v>
      </c>
      <c r="N9" s="47">
        <v>82.59</v>
      </c>
      <c r="O9" s="47">
        <v>90.81</v>
      </c>
      <c r="P9" s="47">
        <v>83.23</v>
      </c>
      <c r="Q9" s="44">
        <f t="shared" si="0"/>
        <v>4.5900000000000034</v>
      </c>
    </row>
    <row r="10" spans="1:17" ht="15.75" thickBot="1">
      <c r="A10" s="150"/>
      <c r="B10" s="136"/>
      <c r="C10" s="139"/>
      <c r="D10" s="139"/>
      <c r="E10" s="139"/>
      <c r="F10" s="139"/>
      <c r="G10" s="144"/>
      <c r="H10" s="147"/>
      <c r="I10" s="127"/>
      <c r="J10" s="130"/>
      <c r="K10" s="45">
        <v>9</v>
      </c>
      <c r="L10" s="46" t="s">
        <v>77</v>
      </c>
      <c r="M10" s="48">
        <v>89.17</v>
      </c>
      <c r="N10" s="48">
        <v>86.38</v>
      </c>
      <c r="O10" s="48">
        <v>93.8</v>
      </c>
      <c r="P10" s="48">
        <v>86.01</v>
      </c>
      <c r="Q10" s="44">
        <f t="shared" si="0"/>
        <v>2.7900000000000063</v>
      </c>
    </row>
    <row r="11" spans="1:17" ht="15.75" thickBot="1">
      <c r="A11" s="150"/>
      <c r="B11" s="137"/>
      <c r="C11" s="140"/>
      <c r="D11" s="140"/>
      <c r="E11" s="140"/>
      <c r="F11" s="140"/>
      <c r="G11" s="145"/>
      <c r="H11" s="148"/>
      <c r="I11" s="128"/>
      <c r="J11" s="120" t="s">
        <v>78</v>
      </c>
      <c r="K11" s="45">
        <v>10</v>
      </c>
      <c r="L11" s="46" t="s">
        <v>79</v>
      </c>
      <c r="M11" s="47">
        <v>88.56</v>
      </c>
      <c r="N11" s="47">
        <v>85.59</v>
      </c>
      <c r="O11" s="47">
        <v>88.81</v>
      </c>
      <c r="P11" s="47">
        <v>78.319999999999993</v>
      </c>
      <c r="Q11" s="44">
        <f t="shared" si="0"/>
        <v>2.9699999999999989</v>
      </c>
    </row>
    <row r="12" spans="1:17">
      <c r="A12" s="150"/>
      <c r="B12" s="135" t="s">
        <v>80</v>
      </c>
      <c r="C12" s="138">
        <f>+ROUND(AVERAGE(M12:M15),0)</f>
        <v>86</v>
      </c>
      <c r="D12" s="138">
        <f>+ROUND(AVERAGE(N12:N15),0)</f>
        <v>82</v>
      </c>
      <c r="E12" s="138">
        <f>+ROUND(AVERAGE(O12:O15),0)</f>
        <v>90</v>
      </c>
      <c r="F12" s="138">
        <f>+ROUND(AVERAGE(P12:P15),0)</f>
        <v>79</v>
      </c>
      <c r="G12" s="143">
        <f>+C12-E12</f>
        <v>-4</v>
      </c>
      <c r="H12" s="146">
        <f>+C12-F12</f>
        <v>7</v>
      </c>
      <c r="I12" s="127" t="s">
        <v>80</v>
      </c>
      <c r="J12" s="129" t="s">
        <v>81</v>
      </c>
      <c r="K12" s="41">
        <v>11</v>
      </c>
      <c r="L12" s="42" t="s">
        <v>82</v>
      </c>
      <c r="M12" s="47">
        <v>82.4</v>
      </c>
      <c r="N12" s="47">
        <v>79.239999999999995</v>
      </c>
      <c r="O12" s="47">
        <v>87.46</v>
      </c>
      <c r="P12" s="47">
        <v>74.48</v>
      </c>
      <c r="Q12" s="44">
        <f t="shared" si="0"/>
        <v>3.1600000000000108</v>
      </c>
    </row>
    <row r="13" spans="1:17">
      <c r="A13" s="150"/>
      <c r="B13" s="136"/>
      <c r="C13" s="139"/>
      <c r="D13" s="139"/>
      <c r="E13" s="139"/>
      <c r="F13" s="139"/>
      <c r="G13" s="144"/>
      <c r="H13" s="147"/>
      <c r="I13" s="127"/>
      <c r="J13" s="129"/>
      <c r="K13" s="41">
        <v>12</v>
      </c>
      <c r="L13" s="42" t="s">
        <v>83</v>
      </c>
      <c r="M13" s="43">
        <v>82.42</v>
      </c>
      <c r="N13" s="43">
        <v>78.900000000000006</v>
      </c>
      <c r="O13" s="43">
        <v>86.41</v>
      </c>
      <c r="P13" s="43">
        <v>74.459999999999994</v>
      </c>
      <c r="Q13" s="44">
        <f t="shared" si="0"/>
        <v>3.519999999999996</v>
      </c>
    </row>
    <row r="14" spans="1:17" ht="15.75" thickBot="1">
      <c r="A14" s="150"/>
      <c r="B14" s="136"/>
      <c r="C14" s="139"/>
      <c r="D14" s="139"/>
      <c r="E14" s="139"/>
      <c r="F14" s="139"/>
      <c r="G14" s="144"/>
      <c r="H14" s="147"/>
      <c r="I14" s="127"/>
      <c r="J14" s="130"/>
      <c r="K14" s="45">
        <v>13</v>
      </c>
      <c r="L14" s="46" t="s">
        <v>84</v>
      </c>
      <c r="M14" s="48">
        <v>85.31</v>
      </c>
      <c r="N14" s="48">
        <v>81.11</v>
      </c>
      <c r="O14" s="48">
        <v>91.27</v>
      </c>
      <c r="P14" s="48">
        <v>81.56</v>
      </c>
      <c r="Q14" s="44">
        <f t="shared" si="0"/>
        <v>4.2000000000000028</v>
      </c>
    </row>
    <row r="15" spans="1:17" ht="15.75" thickBot="1">
      <c r="A15" s="151"/>
      <c r="B15" s="152"/>
      <c r="C15" s="153"/>
      <c r="D15" s="153"/>
      <c r="E15" s="153"/>
      <c r="F15" s="153"/>
      <c r="G15" s="154"/>
      <c r="H15" s="155"/>
      <c r="I15" s="128"/>
      <c r="J15" s="120" t="s">
        <v>85</v>
      </c>
      <c r="K15" s="45">
        <v>14</v>
      </c>
      <c r="L15" s="46" t="s">
        <v>86</v>
      </c>
      <c r="M15" s="49">
        <v>92.33</v>
      </c>
      <c r="N15" s="49">
        <v>90.16</v>
      </c>
      <c r="O15" s="49">
        <v>94.49</v>
      </c>
      <c r="P15" s="49">
        <v>86.62</v>
      </c>
      <c r="Q15" s="44">
        <f t="shared" si="0"/>
        <v>2.1700000000000017</v>
      </c>
    </row>
    <row r="16" spans="1:17" ht="43.5" thickBot="1">
      <c r="A16" s="33" t="s">
        <v>53</v>
      </c>
      <c r="B16" s="33" t="s">
        <v>54</v>
      </c>
      <c r="C16" s="34">
        <v>2016</v>
      </c>
      <c r="D16" s="34">
        <v>2015</v>
      </c>
      <c r="E16" s="35" t="s">
        <v>55</v>
      </c>
      <c r="F16" s="35" t="s">
        <v>56</v>
      </c>
      <c r="G16" s="34" t="s">
        <v>57</v>
      </c>
      <c r="H16" s="36" t="s">
        <v>58</v>
      </c>
      <c r="I16" s="37" t="s">
        <v>59</v>
      </c>
      <c r="J16" s="38"/>
      <c r="K16" s="38" t="s">
        <v>60</v>
      </c>
      <c r="L16" s="38" t="s">
        <v>61</v>
      </c>
      <c r="M16" s="39">
        <v>2016</v>
      </c>
      <c r="N16" s="39">
        <v>2015</v>
      </c>
      <c r="O16" s="39" t="s">
        <v>55</v>
      </c>
      <c r="P16" s="39" t="s">
        <v>56</v>
      </c>
      <c r="Q16" s="44"/>
    </row>
    <row r="17" spans="1:17">
      <c r="A17" s="149" t="s">
        <v>87</v>
      </c>
      <c r="B17" s="135" t="s">
        <v>88</v>
      </c>
      <c r="C17" s="138">
        <f>+ROUND(AVERAGE(M17:M20),0)</f>
        <v>82</v>
      </c>
      <c r="D17" s="138">
        <f>+ROUND(AVERAGE(N17:N20),0)</f>
        <v>79</v>
      </c>
      <c r="E17" s="138">
        <f>+ROUND(AVERAGE(O17:O20),0)</f>
        <v>89</v>
      </c>
      <c r="F17" s="138">
        <f>+ROUND(AVERAGE(P17:P20),0)</f>
        <v>77</v>
      </c>
      <c r="G17" s="143">
        <f>+C17-E17</f>
        <v>-7</v>
      </c>
      <c r="H17" s="146">
        <f>+C17-F17</f>
        <v>5</v>
      </c>
      <c r="I17" s="156" t="s">
        <v>88</v>
      </c>
      <c r="J17" s="159" t="s">
        <v>89</v>
      </c>
      <c r="K17" s="50">
        <v>15</v>
      </c>
      <c r="L17" s="51" t="s">
        <v>90</v>
      </c>
      <c r="M17" s="52">
        <v>79.709999999999994</v>
      </c>
      <c r="N17" s="52">
        <v>78.09</v>
      </c>
      <c r="O17" s="52">
        <v>90.38</v>
      </c>
      <c r="P17" s="52">
        <v>75.58</v>
      </c>
      <c r="Q17" s="44">
        <f t="shared" si="0"/>
        <v>1.6199999999999903</v>
      </c>
    </row>
    <row r="18" spans="1:17" ht="15.75" thickBot="1">
      <c r="A18" s="149"/>
      <c r="B18" s="136"/>
      <c r="C18" s="139"/>
      <c r="D18" s="139"/>
      <c r="E18" s="139"/>
      <c r="F18" s="139"/>
      <c r="G18" s="144"/>
      <c r="H18" s="147"/>
      <c r="I18" s="157"/>
      <c r="J18" s="160"/>
      <c r="K18" s="53">
        <v>16</v>
      </c>
      <c r="L18" s="46" t="s">
        <v>91</v>
      </c>
      <c r="M18" s="54">
        <v>83.11</v>
      </c>
      <c r="N18" s="54">
        <v>79.209999999999994</v>
      </c>
      <c r="O18" s="54">
        <v>90.31</v>
      </c>
      <c r="P18" s="54">
        <v>80.12</v>
      </c>
      <c r="Q18" s="44">
        <f t="shared" si="0"/>
        <v>3.9000000000000057</v>
      </c>
    </row>
    <row r="19" spans="1:17">
      <c r="A19" s="149"/>
      <c r="B19" s="136"/>
      <c r="C19" s="139"/>
      <c r="D19" s="139"/>
      <c r="E19" s="139"/>
      <c r="F19" s="139"/>
      <c r="G19" s="144"/>
      <c r="H19" s="147"/>
      <c r="I19" s="157"/>
      <c r="J19" s="161" t="s">
        <v>92</v>
      </c>
      <c r="K19" s="55">
        <v>17</v>
      </c>
      <c r="L19" s="42" t="s">
        <v>93</v>
      </c>
      <c r="M19" s="52">
        <v>79.77</v>
      </c>
      <c r="N19" s="52">
        <v>75.95</v>
      </c>
      <c r="O19" s="52">
        <v>86.87</v>
      </c>
      <c r="P19" s="52">
        <v>72.39</v>
      </c>
      <c r="Q19" s="44">
        <f t="shared" si="0"/>
        <v>3.8199999999999932</v>
      </c>
    </row>
    <row r="20" spans="1:17" ht="15.75" thickBot="1">
      <c r="A20" s="149"/>
      <c r="B20" s="137"/>
      <c r="C20" s="140"/>
      <c r="D20" s="140"/>
      <c r="E20" s="140"/>
      <c r="F20" s="140"/>
      <c r="G20" s="145"/>
      <c r="H20" s="148"/>
      <c r="I20" s="158"/>
      <c r="J20" s="160"/>
      <c r="K20" s="53">
        <v>18</v>
      </c>
      <c r="L20" s="46" t="s">
        <v>94</v>
      </c>
      <c r="M20" s="54">
        <v>85.53</v>
      </c>
      <c r="N20" s="54">
        <v>81.819999999999993</v>
      </c>
      <c r="O20" s="54">
        <v>90.24</v>
      </c>
      <c r="P20" s="54">
        <v>80.569999999999993</v>
      </c>
      <c r="Q20" s="44">
        <f t="shared" si="0"/>
        <v>3.710000000000008</v>
      </c>
    </row>
    <row r="21" spans="1:17" ht="28.5">
      <c r="A21" s="149"/>
      <c r="B21" s="135" t="s">
        <v>95</v>
      </c>
      <c r="C21" s="138">
        <f>+ROUND(AVERAGE(M21:M22),0)</f>
        <v>81</v>
      </c>
      <c r="D21" s="138">
        <f>+ROUND(AVERAGE(N21:N22),0)</f>
        <v>77</v>
      </c>
      <c r="E21" s="138">
        <f>+ROUND(AVERAGE(O21:O22),0)</f>
        <v>87</v>
      </c>
      <c r="F21" s="138">
        <f>+ROUND(AVERAGE(P21:P22),0)</f>
        <v>73</v>
      </c>
      <c r="G21" s="143">
        <f>+C21-E21</f>
        <v>-6</v>
      </c>
      <c r="H21" s="146">
        <f>+C21-F21</f>
        <v>8</v>
      </c>
      <c r="I21" s="156" t="s">
        <v>95</v>
      </c>
      <c r="J21" s="161" t="s">
        <v>96</v>
      </c>
      <c r="K21" s="55">
        <v>19</v>
      </c>
      <c r="L21" s="42" t="s">
        <v>97</v>
      </c>
      <c r="M21" s="52">
        <v>83.52</v>
      </c>
      <c r="N21" s="52">
        <v>80.23</v>
      </c>
      <c r="O21" s="52">
        <v>89.1</v>
      </c>
      <c r="P21" s="52">
        <v>75.97</v>
      </c>
      <c r="Q21" s="44">
        <f t="shared" si="0"/>
        <v>3.289999999999992</v>
      </c>
    </row>
    <row r="22" spans="1:17" ht="29.25" thickBot="1">
      <c r="A22" s="149"/>
      <c r="B22" s="137"/>
      <c r="C22" s="140"/>
      <c r="D22" s="140"/>
      <c r="E22" s="140"/>
      <c r="F22" s="140"/>
      <c r="G22" s="145"/>
      <c r="H22" s="148"/>
      <c r="I22" s="158"/>
      <c r="J22" s="160"/>
      <c r="K22" s="53">
        <v>20</v>
      </c>
      <c r="L22" s="46" t="s">
        <v>98</v>
      </c>
      <c r="M22" s="54">
        <v>79.17</v>
      </c>
      <c r="N22" s="54">
        <v>74.58</v>
      </c>
      <c r="O22" s="54">
        <v>85.39</v>
      </c>
      <c r="P22" s="54">
        <v>69.849999999999994</v>
      </c>
      <c r="Q22" s="44">
        <f t="shared" si="0"/>
        <v>4.5900000000000034</v>
      </c>
    </row>
    <row r="23" spans="1:17">
      <c r="A23" s="149"/>
      <c r="B23" s="135" t="s">
        <v>99</v>
      </c>
      <c r="C23" s="138">
        <f>+ROUND(AVERAGE(M23:M29),0)</f>
        <v>81</v>
      </c>
      <c r="D23" s="138">
        <f>+ROUND(AVERAGE(N23:N29),0)</f>
        <v>77</v>
      </c>
      <c r="E23" s="138">
        <f>+ROUND(AVERAGE(O23:O29),0)</f>
        <v>89</v>
      </c>
      <c r="F23" s="138">
        <f>+ROUND(AVERAGE(P23:P29),0)</f>
        <v>78</v>
      </c>
      <c r="G23" s="143">
        <f>+C23-E23</f>
        <v>-8</v>
      </c>
      <c r="H23" s="146">
        <f>+C23-F23</f>
        <v>3</v>
      </c>
      <c r="I23" s="156" t="s">
        <v>99</v>
      </c>
      <c r="J23" s="161" t="s">
        <v>100</v>
      </c>
      <c r="K23" s="55">
        <v>21</v>
      </c>
      <c r="L23" s="42" t="s">
        <v>101</v>
      </c>
      <c r="M23" s="52">
        <v>91.17</v>
      </c>
      <c r="N23" s="52">
        <v>87.92</v>
      </c>
      <c r="O23" s="52">
        <v>93.89</v>
      </c>
      <c r="P23" s="52">
        <v>87.06</v>
      </c>
      <c r="Q23" s="44">
        <f t="shared" si="0"/>
        <v>3.25</v>
      </c>
    </row>
    <row r="24" spans="1:17">
      <c r="A24" s="149"/>
      <c r="B24" s="136"/>
      <c r="C24" s="139"/>
      <c r="D24" s="139"/>
      <c r="E24" s="139"/>
      <c r="F24" s="139"/>
      <c r="G24" s="144"/>
      <c r="H24" s="147"/>
      <c r="I24" s="157"/>
      <c r="J24" s="161"/>
      <c r="K24" s="55">
        <v>22</v>
      </c>
      <c r="L24" s="42" t="s">
        <v>102</v>
      </c>
      <c r="M24" s="56">
        <v>69.52</v>
      </c>
      <c r="N24" s="56">
        <v>62.9</v>
      </c>
      <c r="O24" s="56">
        <v>84.39</v>
      </c>
      <c r="P24" s="56">
        <v>75.239999999999995</v>
      </c>
      <c r="Q24" s="44">
        <f t="shared" si="0"/>
        <v>6.6199999999999974</v>
      </c>
    </row>
    <row r="25" spans="1:17" ht="15.75" thickBot="1">
      <c r="A25" s="149"/>
      <c r="B25" s="136"/>
      <c r="C25" s="139"/>
      <c r="D25" s="139"/>
      <c r="E25" s="139"/>
      <c r="F25" s="139"/>
      <c r="G25" s="144"/>
      <c r="H25" s="147"/>
      <c r="I25" s="157"/>
      <c r="J25" s="160"/>
      <c r="K25" s="53">
        <v>23</v>
      </c>
      <c r="L25" s="46" t="s">
        <v>103</v>
      </c>
      <c r="M25" s="54">
        <v>80.98</v>
      </c>
      <c r="N25" s="54">
        <v>79.680000000000007</v>
      </c>
      <c r="O25" s="54">
        <v>91.12</v>
      </c>
      <c r="P25" s="54">
        <v>79.72</v>
      </c>
      <c r="Q25" s="44">
        <f t="shared" si="0"/>
        <v>1.2999999999999972</v>
      </c>
    </row>
    <row r="26" spans="1:17">
      <c r="A26" s="149"/>
      <c r="B26" s="136"/>
      <c r="C26" s="139"/>
      <c r="D26" s="139"/>
      <c r="E26" s="139"/>
      <c r="F26" s="139"/>
      <c r="G26" s="144"/>
      <c r="H26" s="147"/>
      <c r="I26" s="157"/>
      <c r="J26" s="161" t="s">
        <v>104</v>
      </c>
      <c r="K26" s="55">
        <v>24</v>
      </c>
      <c r="L26" s="42" t="s">
        <v>105</v>
      </c>
      <c r="M26" s="52">
        <v>84.76</v>
      </c>
      <c r="N26" s="52">
        <v>80.78</v>
      </c>
      <c r="O26" s="52">
        <v>89.06</v>
      </c>
      <c r="P26" s="52">
        <v>84.38</v>
      </c>
      <c r="Q26" s="44">
        <f t="shared" si="0"/>
        <v>3.980000000000004</v>
      </c>
    </row>
    <row r="27" spans="1:17">
      <c r="A27" s="149"/>
      <c r="B27" s="136"/>
      <c r="C27" s="139"/>
      <c r="D27" s="139"/>
      <c r="E27" s="139"/>
      <c r="F27" s="139"/>
      <c r="G27" s="144"/>
      <c r="H27" s="147"/>
      <c r="I27" s="157"/>
      <c r="J27" s="161"/>
      <c r="K27" s="55">
        <v>25</v>
      </c>
      <c r="L27" s="42" t="s">
        <v>106</v>
      </c>
      <c r="M27" s="56">
        <v>75.88</v>
      </c>
      <c r="N27" s="56">
        <v>70.78</v>
      </c>
      <c r="O27" s="56">
        <v>82.86</v>
      </c>
      <c r="P27" s="56">
        <v>71.58</v>
      </c>
      <c r="Q27" s="44">
        <f t="shared" si="0"/>
        <v>5.0999999999999943</v>
      </c>
    </row>
    <row r="28" spans="1:17">
      <c r="A28" s="149"/>
      <c r="B28" s="136"/>
      <c r="C28" s="139"/>
      <c r="D28" s="139"/>
      <c r="E28" s="139"/>
      <c r="F28" s="139"/>
      <c r="G28" s="144"/>
      <c r="H28" s="147"/>
      <c r="I28" s="157"/>
      <c r="J28" s="161"/>
      <c r="K28" s="55">
        <v>26</v>
      </c>
      <c r="L28" s="42" t="s">
        <v>107</v>
      </c>
      <c r="M28" s="56">
        <v>85.43</v>
      </c>
      <c r="N28" s="56">
        <v>82.23</v>
      </c>
      <c r="O28" s="56">
        <v>89.55</v>
      </c>
      <c r="P28" s="56">
        <v>78.52</v>
      </c>
      <c r="Q28" s="44">
        <f t="shared" si="0"/>
        <v>3.2000000000000028</v>
      </c>
    </row>
    <row r="29" spans="1:17" ht="15.75" thickBot="1">
      <c r="A29" s="149"/>
      <c r="B29" s="152"/>
      <c r="C29" s="153"/>
      <c r="D29" s="153"/>
      <c r="E29" s="153"/>
      <c r="F29" s="153"/>
      <c r="G29" s="154"/>
      <c r="H29" s="155"/>
      <c r="I29" s="158"/>
      <c r="J29" s="160"/>
      <c r="K29" s="53">
        <v>27</v>
      </c>
      <c r="L29" s="46" t="s">
        <v>108</v>
      </c>
      <c r="M29" s="57">
        <v>81.680000000000007</v>
      </c>
      <c r="N29" s="57">
        <v>74.459999999999994</v>
      </c>
      <c r="O29" s="57">
        <v>88.64</v>
      </c>
      <c r="P29" s="57">
        <v>72.95</v>
      </c>
      <c r="Q29" s="44">
        <f t="shared" si="0"/>
        <v>7.2200000000000131</v>
      </c>
    </row>
    <row r="30" spans="1:17" ht="44.25" thickTop="1" thickBot="1">
      <c r="A30" s="33" t="s">
        <v>53</v>
      </c>
      <c r="B30" s="33" t="s">
        <v>54</v>
      </c>
      <c r="C30" s="34">
        <v>2016</v>
      </c>
      <c r="D30" s="34">
        <v>2015</v>
      </c>
      <c r="E30" s="35" t="s">
        <v>55</v>
      </c>
      <c r="F30" s="35" t="s">
        <v>56</v>
      </c>
      <c r="G30" s="34" t="s">
        <v>57</v>
      </c>
      <c r="H30" s="36" t="s">
        <v>58</v>
      </c>
      <c r="I30" s="37" t="s">
        <v>59</v>
      </c>
      <c r="J30" s="38"/>
      <c r="K30" s="38" t="s">
        <v>60</v>
      </c>
      <c r="L30" s="38" t="s">
        <v>61</v>
      </c>
      <c r="M30" s="39">
        <v>2016</v>
      </c>
      <c r="N30" s="39">
        <v>2015</v>
      </c>
      <c r="O30" s="39" t="s">
        <v>55</v>
      </c>
      <c r="P30" s="39" t="s">
        <v>56</v>
      </c>
      <c r="Q30" s="44"/>
    </row>
    <row r="31" spans="1:17">
      <c r="A31" s="162" t="s">
        <v>109</v>
      </c>
      <c r="B31" s="135" t="s">
        <v>110</v>
      </c>
      <c r="C31" s="138">
        <f>+ROUND(AVERAGE(M31:M34),0)</f>
        <v>69</v>
      </c>
      <c r="D31" s="138">
        <f>+ROUND(AVERAGE(N31:N34),0)</f>
        <v>63</v>
      </c>
      <c r="E31" s="138">
        <f>+ROUND(AVERAGE(O31:O34),0)</f>
        <v>77</v>
      </c>
      <c r="F31" s="138">
        <f>+ROUND(AVERAGE(P31:P34),0)</f>
        <v>65</v>
      </c>
      <c r="G31" s="143">
        <f>+C31-E31</f>
        <v>-8</v>
      </c>
      <c r="H31" s="146">
        <f>+C31-F31</f>
        <v>4</v>
      </c>
      <c r="I31" s="164" t="s">
        <v>110</v>
      </c>
      <c r="J31" s="166" t="s">
        <v>111</v>
      </c>
      <c r="K31" s="58">
        <v>28</v>
      </c>
      <c r="L31" s="59" t="s">
        <v>112</v>
      </c>
      <c r="M31" s="52">
        <v>63.94</v>
      </c>
      <c r="N31" s="52">
        <v>58.53</v>
      </c>
      <c r="O31" s="52">
        <v>63.86</v>
      </c>
      <c r="P31" s="52">
        <v>53.61</v>
      </c>
      <c r="Q31" s="44">
        <f t="shared" si="0"/>
        <v>5.4099999999999966</v>
      </c>
    </row>
    <row r="32" spans="1:17" ht="15.75" thickBot="1">
      <c r="A32" s="162"/>
      <c r="B32" s="136"/>
      <c r="C32" s="139"/>
      <c r="D32" s="139"/>
      <c r="E32" s="139"/>
      <c r="F32" s="139"/>
      <c r="G32" s="144"/>
      <c r="H32" s="147"/>
      <c r="I32" s="164"/>
      <c r="J32" s="167"/>
      <c r="K32" s="55">
        <v>29</v>
      </c>
      <c r="L32" s="42" t="s">
        <v>113</v>
      </c>
      <c r="M32" s="54">
        <v>45.85</v>
      </c>
      <c r="N32" s="54">
        <v>40.159999999999997</v>
      </c>
      <c r="O32" s="54">
        <v>60.32</v>
      </c>
      <c r="P32" s="54">
        <v>46.37</v>
      </c>
      <c r="Q32" s="44">
        <f t="shared" si="0"/>
        <v>5.6900000000000048</v>
      </c>
    </row>
    <row r="33" spans="1:17">
      <c r="A33" s="162"/>
      <c r="B33" s="136"/>
      <c r="C33" s="139"/>
      <c r="D33" s="139"/>
      <c r="E33" s="139"/>
      <c r="F33" s="139"/>
      <c r="G33" s="144"/>
      <c r="H33" s="147"/>
      <c r="I33" s="164"/>
      <c r="J33" s="168" t="s">
        <v>114</v>
      </c>
      <c r="K33" s="50">
        <v>30</v>
      </c>
      <c r="L33" s="51" t="s">
        <v>115</v>
      </c>
      <c r="M33" s="52">
        <v>72.17</v>
      </c>
      <c r="N33" s="52">
        <v>65.27</v>
      </c>
      <c r="O33" s="52">
        <v>87.32</v>
      </c>
      <c r="P33" s="52">
        <v>68.23</v>
      </c>
      <c r="Q33" s="44">
        <f t="shared" si="0"/>
        <v>6.9000000000000057</v>
      </c>
    </row>
    <row r="34" spans="1:17" ht="15.75" thickBot="1">
      <c r="A34" s="162"/>
      <c r="B34" s="137"/>
      <c r="C34" s="140"/>
      <c r="D34" s="140"/>
      <c r="E34" s="140"/>
      <c r="F34" s="140"/>
      <c r="G34" s="144"/>
      <c r="H34" s="148"/>
      <c r="I34" s="165"/>
      <c r="J34" s="169"/>
      <c r="K34" s="53">
        <v>31</v>
      </c>
      <c r="L34" s="46" t="s">
        <v>116</v>
      </c>
      <c r="M34" s="54">
        <v>92.08</v>
      </c>
      <c r="N34" s="54">
        <v>89.27</v>
      </c>
      <c r="O34" s="54">
        <v>96.07</v>
      </c>
      <c r="P34" s="54">
        <v>90.73</v>
      </c>
      <c r="Q34" s="44">
        <f t="shared" si="0"/>
        <v>2.8100000000000023</v>
      </c>
    </row>
    <row r="35" spans="1:17">
      <c r="A35" s="162"/>
      <c r="B35" s="170" t="s">
        <v>117</v>
      </c>
      <c r="C35" s="138">
        <f>+ROUND(AVERAGE(M35:M37),0)</f>
        <v>68</v>
      </c>
      <c r="D35" s="138">
        <f>+ROUND(AVERAGE(N35:N37),0)</f>
        <v>62</v>
      </c>
      <c r="E35" s="138">
        <f>+ROUND(AVERAGE(O35:O37),0)</f>
        <v>78</v>
      </c>
      <c r="F35" s="138">
        <f>+ROUND(AVERAGE(P35:P37),0)</f>
        <v>64</v>
      </c>
      <c r="G35" s="173">
        <f>+C35-E35</f>
        <v>-10</v>
      </c>
      <c r="H35" s="146">
        <f>+C35-F35</f>
        <v>4</v>
      </c>
      <c r="I35" s="176" t="s">
        <v>117</v>
      </c>
      <c r="J35" s="176"/>
      <c r="K35" s="55">
        <v>32</v>
      </c>
      <c r="L35" s="42" t="s">
        <v>118</v>
      </c>
      <c r="M35" s="52">
        <v>58.81</v>
      </c>
      <c r="N35" s="52">
        <v>53.37</v>
      </c>
      <c r="O35" s="52">
        <v>74.13</v>
      </c>
      <c r="P35" s="52">
        <v>60.01</v>
      </c>
      <c r="Q35" s="44">
        <f t="shared" si="0"/>
        <v>5.4400000000000048</v>
      </c>
    </row>
    <row r="36" spans="1:17">
      <c r="A36" s="162"/>
      <c r="B36" s="171"/>
      <c r="C36" s="139"/>
      <c r="D36" s="139"/>
      <c r="E36" s="139"/>
      <c r="F36" s="139"/>
      <c r="G36" s="174"/>
      <c r="H36" s="147"/>
      <c r="I36" s="177"/>
      <c r="J36" s="177"/>
      <c r="K36" s="55">
        <v>33</v>
      </c>
      <c r="L36" s="42" t="s">
        <v>119</v>
      </c>
      <c r="M36" s="56">
        <v>73.19</v>
      </c>
      <c r="N36" s="56">
        <v>68.22</v>
      </c>
      <c r="O36" s="56">
        <v>77.489999999999995</v>
      </c>
      <c r="P36" s="56">
        <v>64.290000000000006</v>
      </c>
      <c r="Q36" s="44">
        <f t="shared" si="0"/>
        <v>4.9699999999999989</v>
      </c>
    </row>
    <row r="37" spans="1:17" ht="15.75" thickBot="1">
      <c r="A37" s="162"/>
      <c r="B37" s="172"/>
      <c r="C37" s="140"/>
      <c r="D37" s="140"/>
      <c r="E37" s="140"/>
      <c r="F37" s="140"/>
      <c r="G37" s="175"/>
      <c r="H37" s="148"/>
      <c r="I37" s="178"/>
      <c r="J37" s="178"/>
      <c r="K37" s="53">
        <v>34</v>
      </c>
      <c r="L37" s="46" t="s">
        <v>120</v>
      </c>
      <c r="M37" s="54">
        <v>71.930000000000007</v>
      </c>
      <c r="N37" s="54">
        <v>65.42</v>
      </c>
      <c r="O37" s="54">
        <v>81.13</v>
      </c>
      <c r="P37" s="54">
        <v>68.75</v>
      </c>
      <c r="Q37" s="44">
        <f t="shared" si="0"/>
        <v>6.5100000000000051</v>
      </c>
    </row>
    <row r="38" spans="1:17">
      <c r="A38" s="162"/>
      <c r="B38" s="135" t="s">
        <v>121</v>
      </c>
      <c r="C38" s="138">
        <f>+ROUND(AVERAGE(M38:M42),0)</f>
        <v>91</v>
      </c>
      <c r="D38" s="138">
        <f>+ROUND(AVERAGE(N38:N42),0)</f>
        <v>89</v>
      </c>
      <c r="E38" s="138">
        <f>+ROUND(AVERAGE(O38:O42),0)</f>
        <v>96</v>
      </c>
      <c r="F38" s="138">
        <f>+ROUND(AVERAGE(P38:P42),0)</f>
        <v>91</v>
      </c>
      <c r="G38" s="181">
        <f>+C38-E38</f>
        <v>-5</v>
      </c>
      <c r="H38" s="146">
        <f>+C38-F38</f>
        <v>0</v>
      </c>
      <c r="I38" s="184" t="s">
        <v>121</v>
      </c>
      <c r="J38" s="168" t="s">
        <v>122</v>
      </c>
      <c r="K38" s="50">
        <v>35</v>
      </c>
      <c r="L38" s="51" t="s">
        <v>123</v>
      </c>
      <c r="M38" s="52">
        <v>85.43</v>
      </c>
      <c r="N38" s="52">
        <v>82.03</v>
      </c>
      <c r="O38" s="52">
        <v>94.36</v>
      </c>
      <c r="P38" s="52">
        <v>88.94</v>
      </c>
      <c r="Q38" s="44">
        <f t="shared" si="0"/>
        <v>3.4000000000000057</v>
      </c>
    </row>
    <row r="39" spans="1:17">
      <c r="A39" s="162"/>
      <c r="B39" s="136"/>
      <c r="C39" s="139"/>
      <c r="D39" s="139"/>
      <c r="E39" s="139"/>
      <c r="F39" s="139"/>
      <c r="G39" s="144"/>
      <c r="H39" s="147"/>
      <c r="I39" s="164"/>
      <c r="J39" s="167"/>
      <c r="K39" s="55">
        <v>36</v>
      </c>
      <c r="L39" s="42" t="s">
        <v>124</v>
      </c>
      <c r="M39" s="56">
        <v>96.52</v>
      </c>
      <c r="N39" s="56">
        <v>94.93</v>
      </c>
      <c r="O39" s="56">
        <v>97.91</v>
      </c>
      <c r="P39" s="56">
        <v>94.99</v>
      </c>
      <c r="Q39" s="44">
        <f t="shared" si="0"/>
        <v>1.5899999999999892</v>
      </c>
    </row>
    <row r="40" spans="1:17">
      <c r="A40" s="162"/>
      <c r="B40" s="136"/>
      <c r="C40" s="139"/>
      <c r="D40" s="139"/>
      <c r="E40" s="139"/>
      <c r="F40" s="139"/>
      <c r="G40" s="144"/>
      <c r="H40" s="147"/>
      <c r="I40" s="164"/>
      <c r="J40" s="167"/>
      <c r="K40" s="55">
        <v>37</v>
      </c>
      <c r="L40" s="42" t="s">
        <v>125</v>
      </c>
      <c r="M40" s="56">
        <v>94.97</v>
      </c>
      <c r="N40" s="56">
        <v>93.2</v>
      </c>
      <c r="O40" s="56">
        <v>97.37</v>
      </c>
      <c r="P40" s="56">
        <v>94.39</v>
      </c>
      <c r="Q40" s="44">
        <f t="shared" si="0"/>
        <v>1.769999999999996</v>
      </c>
    </row>
    <row r="41" spans="1:17" ht="15.75" thickBot="1">
      <c r="A41" s="162"/>
      <c r="B41" s="136"/>
      <c r="C41" s="139"/>
      <c r="D41" s="139"/>
      <c r="E41" s="139"/>
      <c r="F41" s="139"/>
      <c r="G41" s="144"/>
      <c r="H41" s="147"/>
      <c r="I41" s="164"/>
      <c r="J41" s="167"/>
      <c r="K41" s="55">
        <v>38</v>
      </c>
      <c r="L41" s="46" t="s">
        <v>126</v>
      </c>
      <c r="M41" s="54">
        <v>93.83</v>
      </c>
      <c r="N41" s="54">
        <v>91.3</v>
      </c>
      <c r="O41" s="54">
        <v>96.74</v>
      </c>
      <c r="P41" s="54">
        <v>92.77</v>
      </c>
      <c r="Q41" s="44">
        <f t="shared" si="0"/>
        <v>2.5300000000000011</v>
      </c>
    </row>
    <row r="42" spans="1:17" ht="29.25" thickBot="1">
      <c r="A42" s="163"/>
      <c r="B42" s="179"/>
      <c r="C42" s="180"/>
      <c r="D42" s="180"/>
      <c r="E42" s="180"/>
      <c r="F42" s="180"/>
      <c r="G42" s="182"/>
      <c r="H42" s="183"/>
      <c r="I42" s="165"/>
      <c r="J42" s="60" t="s">
        <v>127</v>
      </c>
      <c r="K42" s="61">
        <v>39</v>
      </c>
      <c r="L42" s="46" t="s">
        <v>128</v>
      </c>
      <c r="M42" s="62">
        <v>84.65</v>
      </c>
      <c r="N42" s="62">
        <v>81.040000000000006</v>
      </c>
      <c r="O42" s="62">
        <v>92.19</v>
      </c>
      <c r="P42" s="62">
        <v>82.14</v>
      </c>
      <c r="Q42" s="44">
        <f t="shared" si="0"/>
        <v>3.6099999999999994</v>
      </c>
    </row>
    <row r="43" spans="1:17" ht="44.25" thickTop="1" thickBot="1">
      <c r="A43" s="33" t="s">
        <v>53</v>
      </c>
      <c r="B43" s="33" t="s">
        <v>54</v>
      </c>
      <c r="C43" s="34">
        <v>2016</v>
      </c>
      <c r="D43" s="34">
        <v>2015</v>
      </c>
      <c r="E43" s="35" t="s">
        <v>55</v>
      </c>
      <c r="F43" s="35" t="s">
        <v>56</v>
      </c>
      <c r="G43" s="34" t="s">
        <v>57</v>
      </c>
      <c r="H43" s="36" t="s">
        <v>58</v>
      </c>
      <c r="I43" s="37" t="s">
        <v>59</v>
      </c>
      <c r="J43" s="38"/>
      <c r="K43" s="38" t="s">
        <v>60</v>
      </c>
      <c r="L43" s="38" t="s">
        <v>61</v>
      </c>
      <c r="M43" s="39">
        <v>2016</v>
      </c>
      <c r="N43" s="39">
        <v>2015</v>
      </c>
      <c r="O43" s="39" t="s">
        <v>55</v>
      </c>
      <c r="P43" s="39" t="s">
        <v>56</v>
      </c>
      <c r="Q43" s="44"/>
    </row>
    <row r="44" spans="1:17">
      <c r="A44" s="185" t="s">
        <v>129</v>
      </c>
      <c r="B44" s="187" t="s">
        <v>130</v>
      </c>
      <c r="C44" s="139">
        <f>+ROUND(AVERAGE(M44:M45),0)</f>
        <v>81</v>
      </c>
      <c r="D44" s="139">
        <f>+ROUND(AVERAGE(N44:N45),0)</f>
        <v>76</v>
      </c>
      <c r="E44" s="139">
        <f>+ROUND(AVERAGE(O44:O45),0)</f>
        <v>88</v>
      </c>
      <c r="F44" s="139">
        <f>+ROUND(AVERAGE(P44:P45),0)</f>
        <v>77</v>
      </c>
      <c r="G44" s="189">
        <f>+C44-E44</f>
        <v>-7</v>
      </c>
      <c r="H44" s="147">
        <f>+C44-F44</f>
        <v>4</v>
      </c>
      <c r="I44" s="191" t="s">
        <v>130</v>
      </c>
      <c r="J44" s="192"/>
      <c r="K44" s="63">
        <v>40</v>
      </c>
      <c r="L44" s="51" t="s">
        <v>131</v>
      </c>
      <c r="M44" s="52">
        <v>83.95</v>
      </c>
      <c r="N44" s="52">
        <v>80.67</v>
      </c>
      <c r="O44" s="52">
        <v>88.08</v>
      </c>
      <c r="P44" s="52">
        <v>77.91</v>
      </c>
      <c r="Q44" s="44">
        <f t="shared" si="0"/>
        <v>3.2800000000000011</v>
      </c>
    </row>
    <row r="45" spans="1:17" ht="15.75" thickBot="1">
      <c r="A45" s="185"/>
      <c r="B45" s="188"/>
      <c r="C45" s="140"/>
      <c r="D45" s="140"/>
      <c r="E45" s="140"/>
      <c r="F45" s="140"/>
      <c r="G45" s="190"/>
      <c r="H45" s="148"/>
      <c r="I45" s="193"/>
      <c r="J45" s="194"/>
      <c r="K45" s="45">
        <v>41</v>
      </c>
      <c r="L45" s="46" t="s">
        <v>132</v>
      </c>
      <c r="M45" s="54">
        <v>77.3</v>
      </c>
      <c r="N45" s="54">
        <v>71.92</v>
      </c>
      <c r="O45" s="54">
        <v>86.97</v>
      </c>
      <c r="P45" s="54">
        <v>75.81</v>
      </c>
      <c r="Q45" s="44">
        <f t="shared" si="0"/>
        <v>5.3799999999999955</v>
      </c>
    </row>
    <row r="46" spans="1:17">
      <c r="A46" s="185"/>
      <c r="B46" s="195" t="s">
        <v>133</v>
      </c>
      <c r="C46" s="138">
        <f>+ROUND(AVERAGE(M46:M47),0)</f>
        <v>84</v>
      </c>
      <c r="D46" s="138">
        <f>+ROUND(AVERAGE(N46:N47),0)</f>
        <v>79</v>
      </c>
      <c r="E46" s="138">
        <f>+ROUND(AVERAGE(O46:O47),0)</f>
        <v>91</v>
      </c>
      <c r="F46" s="138">
        <f>+ROUND(AVERAGE(P46:P47),0)</f>
        <v>80</v>
      </c>
      <c r="G46" s="196">
        <f>+C46-E46</f>
        <v>-7</v>
      </c>
      <c r="H46" s="146">
        <f>+C46-F46</f>
        <v>4</v>
      </c>
      <c r="I46" s="191" t="s">
        <v>133</v>
      </c>
      <c r="J46" s="192"/>
      <c r="K46" s="63">
        <v>42</v>
      </c>
      <c r="L46" s="51" t="s">
        <v>134</v>
      </c>
      <c r="M46" s="52">
        <v>90.85</v>
      </c>
      <c r="N46" s="52">
        <v>87.71</v>
      </c>
      <c r="O46" s="52">
        <v>93.18</v>
      </c>
      <c r="P46" s="52">
        <v>87.14</v>
      </c>
      <c r="Q46" s="44">
        <f t="shared" si="0"/>
        <v>3.1400000000000006</v>
      </c>
    </row>
    <row r="47" spans="1:17" ht="15.75" thickBot="1">
      <c r="A47" s="185"/>
      <c r="B47" s="188"/>
      <c r="C47" s="140"/>
      <c r="D47" s="140"/>
      <c r="E47" s="140"/>
      <c r="F47" s="140"/>
      <c r="G47" s="190"/>
      <c r="H47" s="148"/>
      <c r="I47" s="193"/>
      <c r="J47" s="194"/>
      <c r="K47" s="45">
        <v>43</v>
      </c>
      <c r="L47" s="46" t="s">
        <v>135</v>
      </c>
      <c r="M47" s="54">
        <v>77.12</v>
      </c>
      <c r="N47" s="54">
        <v>71.23</v>
      </c>
      <c r="O47" s="54">
        <v>89.07</v>
      </c>
      <c r="P47" s="54">
        <v>73.77</v>
      </c>
      <c r="Q47" s="44">
        <f t="shared" si="0"/>
        <v>5.8900000000000006</v>
      </c>
    </row>
    <row r="48" spans="1:17">
      <c r="A48" s="185"/>
      <c r="B48" s="195" t="s">
        <v>136</v>
      </c>
      <c r="C48" s="138">
        <f>+ROUND(AVERAGE(M48:M51),0)</f>
        <v>84</v>
      </c>
      <c r="D48" s="138">
        <f>+ROUND(AVERAGE(N48:N51),0)</f>
        <v>79</v>
      </c>
      <c r="E48" s="138">
        <f>+ROUND(AVERAGE(O48:O51),0)</f>
        <v>91</v>
      </c>
      <c r="F48" s="138">
        <f>+ROUND(AVERAGE(P48:P51),0)</f>
        <v>82</v>
      </c>
      <c r="G48" s="196">
        <f>+C48-E48</f>
        <v>-7</v>
      </c>
      <c r="H48" s="146">
        <f>+C48-F48</f>
        <v>2</v>
      </c>
      <c r="I48" s="191" t="s">
        <v>136</v>
      </c>
      <c r="J48" s="192"/>
      <c r="K48" s="63">
        <v>44</v>
      </c>
      <c r="L48" s="51" t="s">
        <v>137</v>
      </c>
      <c r="M48" s="52">
        <v>86.83</v>
      </c>
      <c r="N48" s="52">
        <v>82.92</v>
      </c>
      <c r="O48" s="52">
        <v>89.26</v>
      </c>
      <c r="P48" s="52">
        <v>80.959999999999994</v>
      </c>
      <c r="Q48" s="44">
        <f t="shared" si="0"/>
        <v>3.9099999999999966</v>
      </c>
    </row>
    <row r="49" spans="1:17">
      <c r="A49" s="185"/>
      <c r="B49" s="187"/>
      <c r="C49" s="139"/>
      <c r="D49" s="139"/>
      <c r="E49" s="139"/>
      <c r="F49" s="139"/>
      <c r="G49" s="174"/>
      <c r="H49" s="147"/>
      <c r="I49" s="198"/>
      <c r="J49" s="199"/>
      <c r="K49" s="41">
        <v>45</v>
      </c>
      <c r="L49" s="42" t="s">
        <v>138</v>
      </c>
      <c r="M49" s="56">
        <v>89.37</v>
      </c>
      <c r="N49" s="56">
        <v>85.1</v>
      </c>
      <c r="O49" s="56">
        <v>94.14</v>
      </c>
      <c r="P49" s="56">
        <v>86.83</v>
      </c>
      <c r="Q49" s="44">
        <f t="shared" si="0"/>
        <v>4.2700000000000102</v>
      </c>
    </row>
    <row r="50" spans="1:17">
      <c r="A50" s="185"/>
      <c r="B50" s="187"/>
      <c r="C50" s="139"/>
      <c r="D50" s="139"/>
      <c r="E50" s="139"/>
      <c r="F50" s="139"/>
      <c r="G50" s="174"/>
      <c r="H50" s="147"/>
      <c r="I50" s="198"/>
      <c r="J50" s="199"/>
      <c r="K50" s="41">
        <v>46</v>
      </c>
      <c r="L50" s="42" t="s">
        <v>139</v>
      </c>
      <c r="M50" s="56">
        <v>79.180000000000007</v>
      </c>
      <c r="N50" s="56">
        <v>71.760000000000005</v>
      </c>
      <c r="O50" s="56">
        <v>91.3</v>
      </c>
      <c r="P50" s="56">
        <v>79.239999999999995</v>
      </c>
      <c r="Q50" s="44">
        <f t="shared" si="0"/>
        <v>7.4200000000000017</v>
      </c>
    </row>
    <row r="51" spans="1:17" ht="15.75" thickBot="1">
      <c r="A51" s="186"/>
      <c r="B51" s="204"/>
      <c r="C51" s="205"/>
      <c r="D51" s="205"/>
      <c r="E51" s="205"/>
      <c r="F51" s="205"/>
      <c r="G51" s="206"/>
      <c r="H51" s="197"/>
      <c r="I51" s="193"/>
      <c r="J51" s="194"/>
      <c r="K51" s="45">
        <v>47</v>
      </c>
      <c r="L51" s="46" t="s">
        <v>140</v>
      </c>
      <c r="M51" s="54">
        <v>81.77</v>
      </c>
      <c r="N51" s="54">
        <v>76.97</v>
      </c>
      <c r="O51" s="54">
        <v>90.91</v>
      </c>
      <c r="P51" s="54">
        <v>80.56</v>
      </c>
      <c r="Q51" s="44">
        <f t="shared" si="0"/>
        <v>4.7999999999999972</v>
      </c>
    </row>
    <row r="52" spans="1:17" ht="43.5" thickBot="1">
      <c r="A52" s="33" t="s">
        <v>53</v>
      </c>
      <c r="B52" s="33" t="s">
        <v>54</v>
      </c>
      <c r="C52" s="34">
        <v>2016</v>
      </c>
      <c r="D52" s="34">
        <v>2015</v>
      </c>
      <c r="E52" s="35" t="s">
        <v>55</v>
      </c>
      <c r="F52" s="35" t="s">
        <v>56</v>
      </c>
      <c r="G52" s="34" t="s">
        <v>57</v>
      </c>
      <c r="H52" s="36" t="s">
        <v>58</v>
      </c>
      <c r="I52" s="37" t="s">
        <v>59</v>
      </c>
      <c r="J52" s="38"/>
      <c r="K52" s="38" t="s">
        <v>60</v>
      </c>
      <c r="L52" s="38" t="s">
        <v>61</v>
      </c>
      <c r="M52" s="39">
        <v>2016</v>
      </c>
      <c r="N52" s="39">
        <v>2015</v>
      </c>
      <c r="O52" s="39" t="s">
        <v>55</v>
      </c>
      <c r="P52" s="39" t="s">
        <v>56</v>
      </c>
      <c r="Q52" s="44"/>
    </row>
    <row r="53" spans="1:17">
      <c r="A53" s="200" t="s">
        <v>141</v>
      </c>
      <c r="B53" s="202" t="s">
        <v>142</v>
      </c>
      <c r="C53" s="139">
        <f>+ROUND(AVERAGE(M53:M55),0)</f>
        <v>87</v>
      </c>
      <c r="D53" s="139">
        <f>+ROUND(AVERAGE(N53:N55),0)</f>
        <v>83</v>
      </c>
      <c r="E53" s="139">
        <f>+ROUND(AVERAGE(O53:O55),0)</f>
        <v>93</v>
      </c>
      <c r="F53" s="139">
        <f>+ROUND(AVERAGE(P53:P55),0)</f>
        <v>84</v>
      </c>
      <c r="G53" s="189">
        <f>+C53-E53</f>
        <v>-6</v>
      </c>
      <c r="H53" s="147">
        <f>+C53-F53</f>
        <v>3</v>
      </c>
      <c r="I53" s="207" t="s">
        <v>142</v>
      </c>
      <c r="J53" s="207"/>
      <c r="K53" s="64">
        <v>48</v>
      </c>
      <c r="L53" s="65" t="s">
        <v>143</v>
      </c>
      <c r="M53" s="56">
        <v>89.81</v>
      </c>
      <c r="N53" s="56">
        <v>86.4</v>
      </c>
      <c r="O53" s="56">
        <v>94.33</v>
      </c>
      <c r="P53" s="56">
        <v>87.83</v>
      </c>
      <c r="Q53" s="44">
        <f t="shared" si="0"/>
        <v>3.4099999999999966</v>
      </c>
    </row>
    <row r="54" spans="1:17">
      <c r="A54" s="200"/>
      <c r="B54" s="202"/>
      <c r="C54" s="139"/>
      <c r="D54" s="139"/>
      <c r="E54" s="139"/>
      <c r="F54" s="139"/>
      <c r="G54" s="174"/>
      <c r="H54" s="147"/>
      <c r="I54" s="207"/>
      <c r="J54" s="207"/>
      <c r="K54" s="64">
        <v>49</v>
      </c>
      <c r="L54" s="65" t="s">
        <v>144</v>
      </c>
      <c r="M54" s="56">
        <v>88.17</v>
      </c>
      <c r="N54" s="56">
        <v>83.83</v>
      </c>
      <c r="O54" s="56">
        <v>93.57</v>
      </c>
      <c r="P54" s="56">
        <v>84.51</v>
      </c>
      <c r="Q54" s="44">
        <f t="shared" si="0"/>
        <v>4.3400000000000034</v>
      </c>
    </row>
    <row r="55" spans="1:17" ht="15.75" thickBot="1">
      <c r="A55" s="200"/>
      <c r="B55" s="203"/>
      <c r="C55" s="140"/>
      <c r="D55" s="140"/>
      <c r="E55" s="140"/>
      <c r="F55" s="140"/>
      <c r="G55" s="175"/>
      <c r="H55" s="148"/>
      <c r="I55" s="208"/>
      <c r="J55" s="208"/>
      <c r="K55" s="66">
        <v>50</v>
      </c>
      <c r="L55" s="67" t="s">
        <v>145</v>
      </c>
      <c r="M55" s="54">
        <v>83.84</v>
      </c>
      <c r="N55" s="54">
        <v>80.12</v>
      </c>
      <c r="O55" s="54">
        <v>91.57</v>
      </c>
      <c r="P55" s="54">
        <v>80.680000000000007</v>
      </c>
      <c r="Q55" s="44">
        <f t="shared" si="0"/>
        <v>3.7199999999999989</v>
      </c>
    </row>
    <row r="56" spans="1:17">
      <c r="A56" s="200"/>
      <c r="B56" s="135" t="s">
        <v>146</v>
      </c>
      <c r="C56" s="138">
        <f>+ROUND(AVERAGE(M56:M59),0)</f>
        <v>88</v>
      </c>
      <c r="D56" s="138">
        <f>+ROUND(AVERAGE(N56:N59),0)</f>
        <v>84</v>
      </c>
      <c r="E56" s="138">
        <f>+ROUND(AVERAGE(O56:O59),0)</f>
        <v>94</v>
      </c>
      <c r="F56" s="138">
        <f>+ROUND(AVERAGE(P56:P59),0)</f>
        <v>86</v>
      </c>
      <c r="G56" s="181">
        <f>+C56-E56</f>
        <v>-6</v>
      </c>
      <c r="H56" s="146">
        <f>+C56-F56</f>
        <v>2</v>
      </c>
      <c r="I56" s="209" t="s">
        <v>146</v>
      </c>
      <c r="J56" s="212" t="s">
        <v>147</v>
      </c>
      <c r="K56" s="68">
        <v>51</v>
      </c>
      <c r="L56" s="69" t="s">
        <v>148</v>
      </c>
      <c r="M56" s="52">
        <v>90.49</v>
      </c>
      <c r="N56" s="52">
        <v>86.01</v>
      </c>
      <c r="O56" s="52">
        <v>95.77</v>
      </c>
      <c r="P56" s="52">
        <v>88.53</v>
      </c>
      <c r="Q56" s="44">
        <f t="shared" si="0"/>
        <v>4.4799999999999898</v>
      </c>
    </row>
    <row r="57" spans="1:17" ht="15.75" thickBot="1">
      <c r="A57" s="200"/>
      <c r="B57" s="136"/>
      <c r="C57" s="139"/>
      <c r="D57" s="139"/>
      <c r="E57" s="139"/>
      <c r="F57" s="139"/>
      <c r="G57" s="144"/>
      <c r="H57" s="147"/>
      <c r="I57" s="210"/>
      <c r="J57" s="213"/>
      <c r="K57" s="66">
        <v>52</v>
      </c>
      <c r="L57" s="67" t="s">
        <v>149</v>
      </c>
      <c r="M57" s="54">
        <v>84.02</v>
      </c>
      <c r="N57" s="54">
        <v>78.760000000000005</v>
      </c>
      <c r="O57" s="54">
        <v>92.87</v>
      </c>
      <c r="P57" s="54">
        <v>83.38</v>
      </c>
      <c r="Q57" s="44">
        <f t="shared" si="0"/>
        <v>5.2599999999999909</v>
      </c>
    </row>
    <row r="58" spans="1:17">
      <c r="A58" s="200"/>
      <c r="B58" s="136"/>
      <c r="C58" s="139"/>
      <c r="D58" s="139"/>
      <c r="E58" s="139"/>
      <c r="F58" s="139"/>
      <c r="G58" s="144"/>
      <c r="H58" s="147"/>
      <c r="I58" s="210"/>
      <c r="J58" s="212" t="s">
        <v>150</v>
      </c>
      <c r="K58" s="68">
        <v>53</v>
      </c>
      <c r="L58" s="69" t="s">
        <v>151</v>
      </c>
      <c r="M58" s="52">
        <v>93.54</v>
      </c>
      <c r="N58" s="52">
        <v>90.86</v>
      </c>
      <c r="O58" s="52">
        <v>96.24</v>
      </c>
      <c r="P58" s="52">
        <v>90.59</v>
      </c>
      <c r="Q58" s="44">
        <f t="shared" si="0"/>
        <v>2.6800000000000068</v>
      </c>
    </row>
    <row r="59" spans="1:17" ht="29.25" thickBot="1">
      <c r="A59" s="200"/>
      <c r="B59" s="137"/>
      <c r="C59" s="140"/>
      <c r="D59" s="140"/>
      <c r="E59" s="140"/>
      <c r="F59" s="140"/>
      <c r="G59" s="144"/>
      <c r="H59" s="148"/>
      <c r="I59" s="211"/>
      <c r="J59" s="214"/>
      <c r="K59" s="64">
        <v>54</v>
      </c>
      <c r="L59" s="65" t="s">
        <v>152</v>
      </c>
      <c r="M59" s="54">
        <v>85.06</v>
      </c>
      <c r="N59" s="54">
        <v>80.09</v>
      </c>
      <c r="O59" s="54">
        <v>91.76</v>
      </c>
      <c r="P59" s="54">
        <v>82.18</v>
      </c>
      <c r="Q59" s="44">
        <f t="shared" si="0"/>
        <v>4.9699999999999989</v>
      </c>
    </row>
    <row r="60" spans="1:17">
      <c r="A60" s="200"/>
      <c r="B60" s="215" t="s">
        <v>153</v>
      </c>
      <c r="C60" s="138">
        <f>+ROUND(AVERAGE(M60:M62),0)</f>
        <v>82</v>
      </c>
      <c r="D60" s="138">
        <f>+ROUND(AVERAGE(N60:N62),0)</f>
        <v>78</v>
      </c>
      <c r="E60" s="138">
        <f>+ROUND(AVERAGE(O60:O62),0)</f>
        <v>90</v>
      </c>
      <c r="F60" s="138">
        <f>+ROUND(AVERAGE(P60:P62),0)</f>
        <v>78</v>
      </c>
      <c r="G60" s="173">
        <f>+C60-E60</f>
        <v>-8</v>
      </c>
      <c r="H60" s="146">
        <f>+C60-F60</f>
        <v>4</v>
      </c>
      <c r="I60" s="217" t="s">
        <v>153</v>
      </c>
      <c r="J60" s="217"/>
      <c r="K60" s="68">
        <v>55</v>
      </c>
      <c r="L60" s="69" t="s">
        <v>154</v>
      </c>
      <c r="M60" s="52">
        <v>81.8</v>
      </c>
      <c r="N60" s="52">
        <v>76.98</v>
      </c>
      <c r="O60" s="52">
        <v>90.42</v>
      </c>
      <c r="P60" s="52">
        <v>78.38</v>
      </c>
      <c r="Q60" s="44">
        <f t="shared" si="0"/>
        <v>4.8199999999999932</v>
      </c>
    </row>
    <row r="61" spans="1:17">
      <c r="A61" s="200"/>
      <c r="B61" s="202"/>
      <c r="C61" s="139"/>
      <c r="D61" s="139"/>
      <c r="E61" s="139"/>
      <c r="F61" s="139"/>
      <c r="G61" s="174"/>
      <c r="H61" s="147"/>
      <c r="I61" s="207"/>
      <c r="J61" s="207"/>
      <c r="K61" s="64">
        <v>56</v>
      </c>
      <c r="L61" s="65" t="s">
        <v>155</v>
      </c>
      <c r="M61" s="56">
        <v>81.81</v>
      </c>
      <c r="N61" s="56">
        <v>76.680000000000007</v>
      </c>
      <c r="O61" s="56">
        <v>88.99</v>
      </c>
      <c r="P61" s="56">
        <v>75.88</v>
      </c>
      <c r="Q61" s="44">
        <f t="shared" si="0"/>
        <v>5.1299999999999955</v>
      </c>
    </row>
    <row r="62" spans="1:17" ht="15.75" thickBot="1">
      <c r="A62" s="201"/>
      <c r="B62" s="216"/>
      <c r="C62" s="153"/>
      <c r="D62" s="153"/>
      <c r="E62" s="153"/>
      <c r="F62" s="153"/>
      <c r="G62" s="175"/>
      <c r="H62" s="155"/>
      <c r="I62" s="208"/>
      <c r="J62" s="208"/>
      <c r="K62" s="66">
        <v>57</v>
      </c>
      <c r="L62" s="67" t="s">
        <v>156</v>
      </c>
      <c r="M62" s="54">
        <v>83.31</v>
      </c>
      <c r="N62" s="54">
        <v>78.87</v>
      </c>
      <c r="O62" s="54">
        <v>90.81</v>
      </c>
      <c r="P62" s="54">
        <v>81.12</v>
      </c>
      <c r="Q62" s="44">
        <f t="shared" si="0"/>
        <v>4.4399999999999977</v>
      </c>
    </row>
    <row r="63" spans="1:17" ht="43.5" thickBot="1">
      <c r="A63" s="33" t="s">
        <v>53</v>
      </c>
      <c r="B63" s="33" t="s">
        <v>54</v>
      </c>
      <c r="C63" s="34">
        <v>2016</v>
      </c>
      <c r="D63" s="34">
        <v>2015</v>
      </c>
      <c r="E63" s="35" t="s">
        <v>55</v>
      </c>
      <c r="F63" s="35" t="s">
        <v>56</v>
      </c>
      <c r="G63" s="34" t="s">
        <v>57</v>
      </c>
      <c r="H63" s="36" t="s">
        <v>58</v>
      </c>
      <c r="I63" s="37" t="s">
        <v>59</v>
      </c>
      <c r="J63" s="38"/>
      <c r="K63" s="38" t="s">
        <v>60</v>
      </c>
      <c r="L63" s="38" t="s">
        <v>61</v>
      </c>
      <c r="M63" s="39">
        <v>2016</v>
      </c>
      <c r="N63" s="39">
        <v>2015</v>
      </c>
      <c r="O63" s="39" t="s">
        <v>55</v>
      </c>
      <c r="P63" s="39" t="s">
        <v>56</v>
      </c>
      <c r="Q63" s="44"/>
    </row>
    <row r="64" spans="1:17">
      <c r="A64" s="70"/>
      <c r="B64" s="202"/>
      <c r="C64" s="139"/>
      <c r="D64" s="139"/>
      <c r="E64" s="139"/>
      <c r="F64" s="139"/>
      <c r="G64" s="189"/>
      <c r="H64" s="147"/>
      <c r="I64" s="71"/>
      <c r="J64" s="218" t="s">
        <v>157</v>
      </c>
      <c r="K64" s="64">
        <v>59</v>
      </c>
      <c r="L64" s="65" t="s">
        <v>158</v>
      </c>
      <c r="M64" s="56">
        <v>85.1</v>
      </c>
      <c r="N64" s="56">
        <v>87.45</v>
      </c>
      <c r="O64" s="56"/>
      <c r="P64" s="56"/>
      <c r="Q64" s="44">
        <f>+M64-N64</f>
        <v>-2.3500000000000085</v>
      </c>
    </row>
    <row r="65" spans="1:17" ht="28.5">
      <c r="A65" s="70"/>
      <c r="B65" s="202"/>
      <c r="C65" s="139"/>
      <c r="D65" s="139"/>
      <c r="E65" s="139"/>
      <c r="F65" s="139"/>
      <c r="G65" s="189"/>
      <c r="H65" s="147"/>
      <c r="I65" s="71"/>
      <c r="J65" s="219"/>
      <c r="K65" s="64">
        <v>60</v>
      </c>
      <c r="L65" s="65" t="s">
        <v>159</v>
      </c>
      <c r="M65" s="56">
        <v>85.09</v>
      </c>
      <c r="N65" s="56">
        <v>79.87</v>
      </c>
      <c r="O65" s="56"/>
      <c r="P65" s="56"/>
      <c r="Q65" s="44">
        <f>+M65-N65</f>
        <v>5.2199999999999989</v>
      </c>
    </row>
    <row r="66" spans="1:17" ht="28.5">
      <c r="A66" s="70"/>
      <c r="B66" s="202"/>
      <c r="C66" s="139"/>
      <c r="D66" s="139"/>
      <c r="E66" s="139"/>
      <c r="F66" s="139"/>
      <c r="G66" s="189"/>
      <c r="H66" s="147"/>
      <c r="I66" s="71"/>
      <c r="J66" s="219"/>
      <c r="K66" s="64">
        <v>61</v>
      </c>
      <c r="L66" s="65" t="s">
        <v>160</v>
      </c>
      <c r="M66" s="56">
        <v>54.8</v>
      </c>
      <c r="N66" s="56">
        <v>51.23</v>
      </c>
      <c r="O66" s="56"/>
      <c r="P66" s="56"/>
      <c r="Q66" s="44">
        <f>+M66-N66</f>
        <v>3.5700000000000003</v>
      </c>
    </row>
    <row r="67" spans="1:17" ht="28.5">
      <c r="A67" s="70"/>
      <c r="B67" s="202"/>
      <c r="C67" s="139"/>
      <c r="D67" s="139"/>
      <c r="E67" s="139"/>
      <c r="F67" s="139"/>
      <c r="G67" s="189"/>
      <c r="H67" s="147"/>
      <c r="I67" s="71"/>
      <c r="J67" s="219"/>
      <c r="K67" s="64">
        <v>62</v>
      </c>
      <c r="L67" s="65" t="s">
        <v>161</v>
      </c>
      <c r="M67" s="56">
        <v>92.57</v>
      </c>
      <c r="N67" s="56">
        <v>89.81</v>
      </c>
      <c r="O67" s="56"/>
      <c r="P67" s="56"/>
      <c r="Q67" s="44">
        <f>+M67-N67</f>
        <v>2.7599999999999909</v>
      </c>
    </row>
    <row r="68" spans="1:17">
      <c r="A68" s="70"/>
      <c r="B68" s="202"/>
      <c r="C68" s="139"/>
      <c r="D68" s="139"/>
      <c r="E68" s="139"/>
      <c r="F68" s="139"/>
      <c r="G68" s="189"/>
      <c r="H68" s="147"/>
      <c r="I68" s="71"/>
      <c r="J68" s="219"/>
      <c r="K68" s="64">
        <v>63</v>
      </c>
      <c r="L68" s="65" t="s">
        <v>162</v>
      </c>
      <c r="M68" s="56">
        <v>93.13</v>
      </c>
      <c r="N68" s="56">
        <v>90.92</v>
      </c>
      <c r="O68" s="56"/>
      <c r="P68" s="56"/>
      <c r="Q68" s="44">
        <f>+M68-N68</f>
        <v>2.2099999999999937</v>
      </c>
    </row>
    <row r="69" spans="1:17" ht="28.5">
      <c r="A69" s="70"/>
      <c r="B69" s="202"/>
      <c r="C69" s="139"/>
      <c r="D69" s="139"/>
      <c r="E69" s="139"/>
      <c r="F69" s="139"/>
      <c r="G69" s="174"/>
      <c r="H69" s="147"/>
      <c r="I69" s="71"/>
      <c r="J69" s="219"/>
      <c r="K69" s="64">
        <v>64</v>
      </c>
      <c r="L69" s="65" t="s">
        <v>163</v>
      </c>
      <c r="M69" s="56">
        <v>85.46</v>
      </c>
      <c r="N69" s="56" t="s">
        <v>11</v>
      </c>
      <c r="O69" s="56"/>
      <c r="P69" s="56"/>
      <c r="Q69" s="44" t="s">
        <v>11</v>
      </c>
    </row>
    <row r="70" spans="1:17" ht="29.25" thickBot="1">
      <c r="A70" s="70"/>
      <c r="B70" s="203"/>
      <c r="C70" s="140"/>
      <c r="D70" s="140"/>
      <c r="E70" s="140"/>
      <c r="F70" s="140"/>
      <c r="G70" s="175"/>
      <c r="H70" s="148"/>
      <c r="I70" s="71"/>
      <c r="J70" s="220"/>
      <c r="K70" s="66">
        <v>65</v>
      </c>
      <c r="L70" s="67" t="s">
        <v>164</v>
      </c>
      <c r="M70" s="54">
        <v>80.86</v>
      </c>
      <c r="N70" s="56" t="s">
        <v>11</v>
      </c>
      <c r="O70" s="54"/>
      <c r="P70" s="54"/>
      <c r="Q70" s="44" t="s">
        <v>11</v>
      </c>
    </row>
    <row r="71" spans="1:17" ht="15.75" thickBot="1">
      <c r="A71" s="70"/>
      <c r="B71" s="72"/>
      <c r="C71" s="72"/>
      <c r="D71" s="72"/>
      <c r="E71" s="72"/>
      <c r="F71" s="72"/>
      <c r="G71" s="72"/>
      <c r="H71" s="72"/>
      <c r="I71" s="71"/>
      <c r="J71" s="72"/>
      <c r="K71" s="73"/>
      <c r="L71" s="72"/>
      <c r="M71" s="72"/>
      <c r="N71" s="74"/>
      <c r="O71" s="72"/>
      <c r="P71" s="72"/>
      <c r="Q71" s="75"/>
    </row>
    <row r="72" spans="1:17" ht="29.25" thickBot="1">
      <c r="A72" s="70"/>
      <c r="B72" s="72"/>
      <c r="C72" s="72"/>
      <c r="D72" s="72"/>
      <c r="E72" s="72"/>
      <c r="F72" s="72"/>
      <c r="G72" s="72"/>
      <c r="H72" s="72"/>
      <c r="I72" s="71"/>
      <c r="J72" s="221" t="s">
        <v>165</v>
      </c>
      <c r="K72" s="38" t="s">
        <v>60</v>
      </c>
      <c r="L72" s="38" t="s">
        <v>61</v>
      </c>
      <c r="M72" s="39">
        <v>2016</v>
      </c>
      <c r="N72" s="39">
        <v>2015</v>
      </c>
      <c r="O72" s="39" t="s">
        <v>55</v>
      </c>
      <c r="P72" s="39" t="s">
        <v>56</v>
      </c>
      <c r="Q72" s="75"/>
    </row>
    <row r="73" spans="1:17">
      <c r="A73" s="70"/>
      <c r="B73" s="72"/>
      <c r="C73" s="72"/>
      <c r="D73" s="72"/>
      <c r="E73" s="72"/>
      <c r="F73" s="72"/>
      <c r="G73" s="72"/>
      <c r="H73" s="72"/>
      <c r="I73" s="71"/>
      <c r="J73" s="222"/>
      <c r="K73" s="76">
        <v>58</v>
      </c>
      <c r="L73" s="77" t="s">
        <v>17</v>
      </c>
      <c r="M73" s="78">
        <v>84.08</v>
      </c>
      <c r="N73" s="78">
        <v>79.319999999999993</v>
      </c>
      <c r="O73" s="79">
        <v>91.62</v>
      </c>
      <c r="P73" s="78">
        <v>82.28</v>
      </c>
      <c r="Q73" s="75"/>
    </row>
    <row r="74" spans="1:17">
      <c r="A74" s="70"/>
      <c r="B74" s="72"/>
      <c r="C74" s="72"/>
      <c r="D74" s="72"/>
      <c r="E74" s="72"/>
      <c r="F74" s="72"/>
      <c r="G74" s="72"/>
      <c r="H74" s="72"/>
      <c r="I74" s="71"/>
      <c r="J74" s="222"/>
      <c r="K74" s="80"/>
      <c r="L74" s="81" t="s">
        <v>18</v>
      </c>
      <c r="M74" s="2">
        <v>82.91</v>
      </c>
      <c r="N74" s="2">
        <v>78.88</v>
      </c>
      <c r="O74" s="2">
        <v>89.03</v>
      </c>
      <c r="P74" s="2">
        <v>78.88</v>
      </c>
      <c r="Q74" s="75"/>
    </row>
    <row r="75" spans="1:17">
      <c r="A75" s="70"/>
      <c r="B75" s="72"/>
      <c r="C75" s="72"/>
      <c r="D75" s="72"/>
      <c r="E75" s="72"/>
      <c r="F75" s="72"/>
      <c r="G75" s="72"/>
      <c r="H75" s="72"/>
      <c r="I75" s="71"/>
      <c r="J75" s="222"/>
      <c r="K75" s="82"/>
      <c r="L75" s="82" t="s">
        <v>166</v>
      </c>
      <c r="M75" s="83">
        <f>+AVERAGE(M2:M15,M17:M29,M31:M42)</f>
        <v>81.966410256410228</v>
      </c>
      <c r="N75" s="83">
        <f>+AVERAGE(N2:N15,N17:N29,N31:N42)</f>
        <v>78.171794871794873</v>
      </c>
      <c r="O75" s="83">
        <f>+AVERAGE(O2:O15,O17:O29,O31:O42)</f>
        <v>87.772051282051294</v>
      </c>
      <c r="P75" s="83">
        <f>+AVERAGE(P2:P15,P17:P29,P31:P42)</f>
        <v>77.366666666666646</v>
      </c>
      <c r="Q75" s="75"/>
    </row>
    <row r="76" spans="1:17" ht="15.75" thickBot="1">
      <c r="A76" s="70"/>
      <c r="B76" s="72"/>
      <c r="C76" s="72"/>
      <c r="D76" s="72"/>
      <c r="E76" s="72"/>
      <c r="F76" s="72"/>
      <c r="G76" s="72"/>
      <c r="H76" s="72"/>
      <c r="I76" s="71"/>
      <c r="J76" s="72"/>
      <c r="K76" s="73"/>
      <c r="L76" s="72"/>
      <c r="M76" s="72"/>
      <c r="N76" s="72"/>
      <c r="O76" s="72"/>
      <c r="P76" s="72"/>
      <c r="Q76" s="75"/>
    </row>
    <row r="77" spans="1:17" ht="29.25" thickBot="1">
      <c r="A77" s="70"/>
      <c r="B77" s="72"/>
      <c r="C77" s="72"/>
      <c r="D77" s="72"/>
      <c r="E77" s="72"/>
      <c r="F77" s="72"/>
      <c r="G77" s="72"/>
      <c r="H77" s="72"/>
      <c r="I77" s="71"/>
      <c r="J77" s="72"/>
      <c r="K77" s="73"/>
      <c r="L77" s="72"/>
      <c r="M77" s="39">
        <v>2016</v>
      </c>
      <c r="N77" s="39">
        <v>2015</v>
      </c>
      <c r="O77" s="39" t="s">
        <v>55</v>
      </c>
      <c r="P77" s="39" t="s">
        <v>56</v>
      </c>
      <c r="Q77" s="75"/>
    </row>
    <row r="78" spans="1:17">
      <c r="A78" s="70"/>
      <c r="B78" s="72"/>
      <c r="C78" s="72"/>
      <c r="D78" s="72"/>
      <c r="E78" s="72"/>
      <c r="F78" s="72"/>
      <c r="G78" s="72"/>
      <c r="H78" s="72"/>
      <c r="I78" s="71"/>
      <c r="J78" s="223" t="s">
        <v>167</v>
      </c>
      <c r="K78" s="84" t="s">
        <v>12</v>
      </c>
      <c r="L78" s="85"/>
      <c r="M78" s="86">
        <v>85.93</v>
      </c>
      <c r="N78" s="86">
        <v>82.67</v>
      </c>
      <c r="O78" s="86">
        <v>89.46</v>
      </c>
      <c r="P78" s="86">
        <v>79.150000000000006</v>
      </c>
      <c r="Q78" s="75"/>
    </row>
    <row r="79" spans="1:17">
      <c r="A79" s="70"/>
      <c r="B79" s="72"/>
      <c r="C79" s="72"/>
      <c r="D79" s="72"/>
      <c r="E79" s="72"/>
      <c r="F79" s="72"/>
      <c r="G79" s="72"/>
      <c r="H79" s="72"/>
      <c r="I79" s="71"/>
      <c r="J79" s="223"/>
      <c r="K79" s="84" t="s">
        <v>13</v>
      </c>
      <c r="L79" s="85"/>
      <c r="M79" s="87">
        <v>81.56</v>
      </c>
      <c r="N79" s="87">
        <v>77.59</v>
      </c>
      <c r="O79" s="87">
        <v>88.6</v>
      </c>
      <c r="P79" s="87">
        <v>77.23</v>
      </c>
      <c r="Q79" s="75"/>
    </row>
    <row r="80" spans="1:17">
      <c r="A80" s="70"/>
      <c r="B80" s="72"/>
      <c r="C80" s="72"/>
      <c r="D80" s="72"/>
      <c r="E80" s="72"/>
      <c r="F80" s="72"/>
      <c r="G80" s="72"/>
      <c r="H80" s="72"/>
      <c r="I80" s="71"/>
      <c r="J80" s="223"/>
      <c r="K80" s="84" t="s">
        <v>14</v>
      </c>
      <c r="L80" s="85"/>
      <c r="M80" s="88">
        <v>77.78</v>
      </c>
      <c r="N80" s="88">
        <v>73.56</v>
      </c>
      <c r="O80" s="88">
        <v>84.91</v>
      </c>
      <c r="P80" s="88">
        <v>75.44</v>
      </c>
      <c r="Q80" s="75"/>
    </row>
    <row r="81" spans="1:17">
      <c r="A81" s="70"/>
      <c r="B81" s="72"/>
      <c r="C81" s="72"/>
      <c r="D81" s="72"/>
      <c r="E81" s="72"/>
      <c r="F81" s="72"/>
      <c r="G81" s="72"/>
      <c r="H81" s="72"/>
      <c r="I81" s="71"/>
      <c r="J81" s="223"/>
      <c r="K81" s="84" t="s">
        <v>15</v>
      </c>
      <c r="L81" s="85"/>
      <c r="M81" s="89">
        <v>83.3</v>
      </c>
      <c r="N81" s="89">
        <v>78.540000000000006</v>
      </c>
      <c r="O81" s="89">
        <v>90.36</v>
      </c>
      <c r="P81" s="89">
        <v>80.28</v>
      </c>
      <c r="Q81" s="75"/>
    </row>
    <row r="82" spans="1:17">
      <c r="A82" s="70"/>
      <c r="B82" s="72"/>
      <c r="C82" s="72"/>
      <c r="D82" s="72"/>
      <c r="E82" s="72"/>
      <c r="F82" s="72"/>
      <c r="G82" s="72"/>
      <c r="H82" s="72"/>
      <c r="I82" s="71"/>
      <c r="J82" s="223"/>
      <c r="K82" s="84" t="s">
        <v>16</v>
      </c>
      <c r="L82" s="85"/>
      <c r="M82" s="90">
        <v>86.19</v>
      </c>
      <c r="N82" s="90">
        <v>81.86</v>
      </c>
      <c r="O82" s="90">
        <v>92.63</v>
      </c>
      <c r="P82" s="90">
        <v>83.31</v>
      </c>
      <c r="Q82" s="75"/>
    </row>
    <row r="83" spans="1:17">
      <c r="A83" s="70"/>
      <c r="B83" s="72"/>
      <c r="C83" s="72"/>
      <c r="D83" s="72"/>
      <c r="E83" s="72"/>
      <c r="F83" s="72"/>
      <c r="G83" s="72"/>
      <c r="H83" s="72"/>
      <c r="I83" s="71"/>
      <c r="J83" s="72"/>
      <c r="K83" s="73"/>
      <c r="L83" s="72"/>
      <c r="M83" s="72"/>
      <c r="N83" s="72"/>
      <c r="O83" s="72"/>
      <c r="P83" s="72"/>
      <c r="Q83" s="75"/>
    </row>
    <row r="84" spans="1:17">
      <c r="A84" s="70"/>
      <c r="B84" s="72"/>
      <c r="C84" s="72"/>
      <c r="D84" s="72"/>
      <c r="E84" s="72"/>
      <c r="F84" s="72"/>
      <c r="G84" s="72"/>
      <c r="H84" s="72"/>
      <c r="I84" s="71"/>
      <c r="J84" s="72"/>
      <c r="K84" s="73"/>
      <c r="L84" s="72"/>
      <c r="M84" s="72"/>
      <c r="N84" s="72"/>
      <c r="O84" s="72"/>
      <c r="P84" s="72"/>
      <c r="Q84" s="75"/>
    </row>
    <row r="85" spans="1:17" ht="25.5">
      <c r="A85" s="70"/>
      <c r="B85" s="72"/>
      <c r="C85" s="72"/>
      <c r="D85" s="72"/>
      <c r="E85" s="72"/>
      <c r="F85" s="72"/>
      <c r="G85" s="72"/>
      <c r="H85" s="91" t="s">
        <v>168</v>
      </c>
      <c r="I85" s="92"/>
      <c r="J85" s="92" t="s">
        <v>169</v>
      </c>
      <c r="K85" s="92" t="s">
        <v>60</v>
      </c>
      <c r="L85" s="92" t="s">
        <v>61</v>
      </c>
      <c r="M85" s="92">
        <v>2016</v>
      </c>
      <c r="N85" s="92" t="s">
        <v>170</v>
      </c>
      <c r="O85" s="72"/>
      <c r="P85" s="72"/>
      <c r="Q85" s="75"/>
    </row>
    <row r="86" spans="1:17">
      <c r="A86" s="70"/>
      <c r="B86" s="72"/>
      <c r="C86" s="72"/>
      <c r="D86" s="72"/>
      <c r="E86" s="72"/>
      <c r="F86" s="72"/>
      <c r="G86" s="93">
        <v>1</v>
      </c>
      <c r="H86" s="94" t="s">
        <v>171</v>
      </c>
      <c r="I86" s="95"/>
      <c r="J86" s="95" t="s">
        <v>121</v>
      </c>
      <c r="K86" s="96">
        <v>36</v>
      </c>
      <c r="L86" s="96" t="s">
        <v>124</v>
      </c>
      <c r="M86" s="97">
        <v>96.52</v>
      </c>
      <c r="N86" s="98">
        <v>13.61</v>
      </c>
      <c r="O86" s="72"/>
      <c r="P86" s="72"/>
      <c r="Q86" s="75"/>
    </row>
    <row r="87" spans="1:17">
      <c r="A87" s="70"/>
      <c r="B87" s="72"/>
      <c r="C87" s="72"/>
      <c r="D87" s="72"/>
      <c r="E87" s="72"/>
      <c r="F87" s="72"/>
      <c r="G87" s="93">
        <v>2</v>
      </c>
      <c r="H87" s="99" t="s">
        <v>171</v>
      </c>
      <c r="I87" s="100"/>
      <c r="J87" s="100" t="s">
        <v>121</v>
      </c>
      <c r="K87" s="101">
        <v>37</v>
      </c>
      <c r="L87" s="101" t="s">
        <v>125</v>
      </c>
      <c r="M87" s="102">
        <v>94.97</v>
      </c>
      <c r="N87" s="103">
        <v>12.060000000000002</v>
      </c>
      <c r="O87" s="72"/>
      <c r="P87" s="72"/>
      <c r="Q87" s="75"/>
    </row>
    <row r="88" spans="1:17">
      <c r="A88" s="70"/>
      <c r="B88" s="72"/>
      <c r="C88" s="72"/>
      <c r="D88" s="72"/>
      <c r="E88" s="72"/>
      <c r="F88" s="72"/>
      <c r="G88" s="93">
        <v>3</v>
      </c>
      <c r="H88" s="99" t="s">
        <v>171</v>
      </c>
      <c r="I88" s="100"/>
      <c r="J88" s="100" t="s">
        <v>121</v>
      </c>
      <c r="K88" s="101">
        <v>38</v>
      </c>
      <c r="L88" s="101" t="s">
        <v>126</v>
      </c>
      <c r="M88" s="102">
        <v>93.83</v>
      </c>
      <c r="N88" s="103">
        <v>10.920000000000002</v>
      </c>
      <c r="O88" s="72"/>
      <c r="P88" s="72"/>
      <c r="Q88" s="75"/>
    </row>
    <row r="89" spans="1:17">
      <c r="A89" s="70"/>
      <c r="B89" s="72"/>
      <c r="C89" s="72"/>
      <c r="D89" s="72"/>
      <c r="E89" s="72"/>
      <c r="F89" s="72"/>
      <c r="G89" s="93">
        <v>4</v>
      </c>
      <c r="H89" s="99" t="s">
        <v>172</v>
      </c>
      <c r="I89" s="100"/>
      <c r="J89" s="100" t="s">
        <v>80</v>
      </c>
      <c r="K89" s="101">
        <v>14</v>
      </c>
      <c r="L89" s="101" t="s">
        <v>86</v>
      </c>
      <c r="M89" s="102">
        <v>92.33</v>
      </c>
      <c r="N89" s="103">
        <v>9.4200000000000017</v>
      </c>
      <c r="O89" s="72"/>
      <c r="P89" s="72"/>
      <c r="Q89" s="75"/>
    </row>
    <row r="90" spans="1:17">
      <c r="A90" s="70"/>
      <c r="B90" s="72"/>
      <c r="C90" s="72"/>
      <c r="D90" s="72"/>
      <c r="E90" s="72"/>
      <c r="F90" s="72"/>
      <c r="G90" s="93">
        <v>5</v>
      </c>
      <c r="H90" s="99" t="s">
        <v>171</v>
      </c>
      <c r="I90" s="100"/>
      <c r="J90" s="100" t="s">
        <v>110</v>
      </c>
      <c r="K90" s="101">
        <v>31</v>
      </c>
      <c r="L90" s="101" t="s">
        <v>116</v>
      </c>
      <c r="M90" s="102">
        <v>92.08</v>
      </c>
      <c r="N90" s="103">
        <v>9.1700000000000017</v>
      </c>
      <c r="O90" s="72"/>
      <c r="P90" s="72"/>
      <c r="Q90" s="75"/>
    </row>
    <row r="91" spans="1:17" ht="24">
      <c r="A91" s="70"/>
      <c r="B91" s="72"/>
      <c r="C91" s="72"/>
      <c r="D91" s="72"/>
      <c r="E91" s="72"/>
      <c r="F91" s="72"/>
      <c r="G91" s="93">
        <v>6</v>
      </c>
      <c r="H91" s="99" t="s">
        <v>173</v>
      </c>
      <c r="I91" s="100"/>
      <c r="J91" s="100" t="s">
        <v>99</v>
      </c>
      <c r="K91" s="101">
        <v>21</v>
      </c>
      <c r="L91" s="101" t="s">
        <v>101</v>
      </c>
      <c r="M91" s="102">
        <v>91.17</v>
      </c>
      <c r="N91" s="103">
        <v>8.2600000000000051</v>
      </c>
      <c r="O91" s="72"/>
      <c r="P91" s="72"/>
      <c r="Q91" s="75"/>
    </row>
    <row r="92" spans="1:17">
      <c r="A92" s="70"/>
      <c r="B92" s="72"/>
      <c r="C92" s="72"/>
      <c r="D92" s="72"/>
      <c r="E92" s="72"/>
      <c r="F92" s="72"/>
      <c r="G92" s="93">
        <v>7</v>
      </c>
      <c r="H92" s="99" t="s">
        <v>172</v>
      </c>
      <c r="I92" s="100"/>
      <c r="J92" s="100" t="s">
        <v>63</v>
      </c>
      <c r="K92" s="101">
        <v>4</v>
      </c>
      <c r="L92" s="101" t="s">
        <v>69</v>
      </c>
      <c r="M92" s="102">
        <v>89.51</v>
      </c>
      <c r="N92" s="103">
        <v>6.6000000000000085</v>
      </c>
      <c r="O92" s="72"/>
      <c r="P92" s="72"/>
      <c r="Q92" s="75"/>
    </row>
    <row r="93" spans="1:17">
      <c r="A93" s="70"/>
      <c r="B93" s="72"/>
      <c r="C93" s="72"/>
      <c r="D93" s="72"/>
      <c r="E93" s="72"/>
      <c r="F93" s="72"/>
      <c r="G93" s="93">
        <v>8</v>
      </c>
      <c r="H93" s="99" t="s">
        <v>172</v>
      </c>
      <c r="I93" s="100"/>
      <c r="J93" s="100" t="s">
        <v>70</v>
      </c>
      <c r="K93" s="101">
        <v>9</v>
      </c>
      <c r="L93" s="101" t="s">
        <v>77</v>
      </c>
      <c r="M93" s="102">
        <v>89.17</v>
      </c>
      <c r="N93" s="103">
        <v>6.2600000000000051</v>
      </c>
      <c r="O93" s="72"/>
      <c r="P93" s="72"/>
      <c r="Q93" s="75"/>
    </row>
    <row r="94" spans="1:17">
      <c r="A94" s="70"/>
      <c r="B94" s="72"/>
      <c r="C94" s="72"/>
      <c r="D94" s="72"/>
      <c r="E94" s="72"/>
      <c r="F94" s="72"/>
      <c r="G94" s="93">
        <v>9</v>
      </c>
      <c r="H94" s="99" t="s">
        <v>172</v>
      </c>
      <c r="I94" s="100"/>
      <c r="J94" s="100" t="s">
        <v>70</v>
      </c>
      <c r="K94" s="101">
        <v>5</v>
      </c>
      <c r="L94" s="101" t="s">
        <v>72</v>
      </c>
      <c r="M94" s="102">
        <v>89.01</v>
      </c>
      <c r="N94" s="103">
        <v>6.1000000000000085</v>
      </c>
      <c r="O94" s="72"/>
      <c r="P94" s="72"/>
      <c r="Q94" s="75"/>
    </row>
    <row r="95" spans="1:17">
      <c r="A95" s="70"/>
      <c r="B95" s="72"/>
      <c r="C95" s="72"/>
      <c r="D95" s="72"/>
      <c r="E95" s="72"/>
      <c r="F95" s="72"/>
      <c r="G95" s="93">
        <v>10</v>
      </c>
      <c r="H95" s="99" t="s">
        <v>172</v>
      </c>
      <c r="I95" s="100"/>
      <c r="J95" s="100" t="s">
        <v>70</v>
      </c>
      <c r="K95" s="101">
        <v>10</v>
      </c>
      <c r="L95" s="101" t="s">
        <v>79</v>
      </c>
      <c r="M95" s="102">
        <v>88.56</v>
      </c>
      <c r="N95" s="103">
        <v>5.6500000000000057</v>
      </c>
      <c r="O95" s="72"/>
      <c r="P95" s="72"/>
      <c r="Q95" s="75"/>
    </row>
    <row r="96" spans="1:17">
      <c r="A96" s="70"/>
      <c r="B96" s="72"/>
      <c r="C96" s="72"/>
      <c r="D96" s="72"/>
      <c r="E96" s="72"/>
      <c r="F96" s="72"/>
      <c r="G96" s="72"/>
      <c r="H96" s="104"/>
      <c r="I96" s="105"/>
      <c r="J96" s="105"/>
      <c r="K96" s="106"/>
      <c r="L96" s="105"/>
      <c r="M96" s="107"/>
      <c r="N96" s="108"/>
      <c r="O96" s="72"/>
      <c r="P96" s="72"/>
      <c r="Q96" s="75"/>
    </row>
    <row r="97" spans="1:17" ht="25.5">
      <c r="A97" s="70"/>
      <c r="B97" s="72"/>
      <c r="C97" s="72"/>
      <c r="D97" s="72"/>
      <c r="E97" s="72"/>
      <c r="F97" s="72"/>
      <c r="G97" s="72"/>
      <c r="H97" s="91" t="s">
        <v>168</v>
      </c>
      <c r="I97" s="92"/>
      <c r="J97" s="92" t="s">
        <v>169</v>
      </c>
      <c r="K97" s="92" t="s">
        <v>60</v>
      </c>
      <c r="L97" s="92" t="s">
        <v>61</v>
      </c>
      <c r="M97" s="92">
        <v>2016</v>
      </c>
      <c r="N97" s="92" t="s">
        <v>170</v>
      </c>
      <c r="O97" s="72"/>
      <c r="P97" s="72"/>
      <c r="Q97" s="75"/>
    </row>
    <row r="98" spans="1:17">
      <c r="A98" s="70"/>
      <c r="B98" s="72"/>
      <c r="C98" s="72"/>
      <c r="D98" s="72"/>
      <c r="E98" s="72"/>
      <c r="F98" s="72"/>
      <c r="G98" s="93">
        <v>1</v>
      </c>
      <c r="H98" s="94" t="s">
        <v>171</v>
      </c>
      <c r="I98" s="95"/>
      <c r="J98" s="95" t="s">
        <v>110</v>
      </c>
      <c r="K98" s="96">
        <v>29</v>
      </c>
      <c r="L98" s="96" t="s">
        <v>113</v>
      </c>
      <c r="M98" s="97">
        <v>45.85</v>
      </c>
      <c r="N98" s="98">
        <v>-37.059999999999995</v>
      </c>
      <c r="O98" s="72"/>
      <c r="P98" s="72"/>
      <c r="Q98" s="75"/>
    </row>
    <row r="99" spans="1:17" ht="24">
      <c r="A99" s="70"/>
      <c r="B99" s="72"/>
      <c r="C99" s="72"/>
      <c r="D99" s="72"/>
      <c r="E99" s="72"/>
      <c r="F99" s="72"/>
      <c r="G99" s="93">
        <v>2</v>
      </c>
      <c r="H99" s="94" t="s">
        <v>171</v>
      </c>
      <c r="I99" s="95"/>
      <c r="J99" s="95" t="s">
        <v>117</v>
      </c>
      <c r="K99" s="96">
        <v>32</v>
      </c>
      <c r="L99" s="96" t="s">
        <v>118</v>
      </c>
      <c r="M99" s="97">
        <v>58.81</v>
      </c>
      <c r="N99" s="98">
        <v>-24.099999999999994</v>
      </c>
      <c r="O99" s="72"/>
      <c r="P99" s="72"/>
      <c r="Q99" s="75"/>
    </row>
    <row r="100" spans="1:17">
      <c r="A100" s="70"/>
      <c r="B100" s="72"/>
      <c r="C100" s="72"/>
      <c r="D100" s="72"/>
      <c r="E100" s="72"/>
      <c r="F100" s="72"/>
      <c r="G100" s="93">
        <v>3</v>
      </c>
      <c r="H100" s="94" t="s">
        <v>171</v>
      </c>
      <c r="I100" s="95"/>
      <c r="J100" s="95" t="s">
        <v>110</v>
      </c>
      <c r="K100" s="96">
        <v>28</v>
      </c>
      <c r="L100" s="96" t="s">
        <v>112</v>
      </c>
      <c r="M100" s="97">
        <v>63.94</v>
      </c>
      <c r="N100" s="98">
        <v>-18.97</v>
      </c>
      <c r="O100" s="72"/>
      <c r="P100" s="72"/>
      <c r="Q100" s="75"/>
    </row>
    <row r="101" spans="1:17" ht="24">
      <c r="A101" s="70"/>
      <c r="B101" s="72"/>
      <c r="C101" s="72"/>
      <c r="D101" s="72"/>
      <c r="E101" s="72"/>
      <c r="F101" s="72"/>
      <c r="G101" s="93">
        <v>4</v>
      </c>
      <c r="H101" s="94" t="s">
        <v>173</v>
      </c>
      <c r="I101" s="95"/>
      <c r="J101" s="95" t="s">
        <v>99</v>
      </c>
      <c r="K101" s="96">
        <v>22</v>
      </c>
      <c r="L101" s="96" t="s">
        <v>102</v>
      </c>
      <c r="M101" s="97">
        <v>69.52</v>
      </c>
      <c r="N101" s="98">
        <v>-13.39</v>
      </c>
      <c r="O101" s="72"/>
      <c r="P101" s="72"/>
      <c r="Q101" s="75"/>
    </row>
    <row r="102" spans="1:17" ht="24">
      <c r="A102" s="70"/>
      <c r="B102" s="72"/>
      <c r="C102" s="72"/>
      <c r="D102" s="72"/>
      <c r="E102" s="72"/>
      <c r="F102" s="72"/>
      <c r="G102" s="93">
        <v>5</v>
      </c>
      <c r="H102" s="94" t="s">
        <v>171</v>
      </c>
      <c r="I102" s="95"/>
      <c r="J102" s="95" t="s">
        <v>117</v>
      </c>
      <c r="K102" s="96">
        <v>34</v>
      </c>
      <c r="L102" s="96" t="s">
        <v>120</v>
      </c>
      <c r="M102" s="97">
        <v>71.930000000000007</v>
      </c>
      <c r="N102" s="98">
        <v>-10.97999999999999</v>
      </c>
      <c r="O102" s="72"/>
      <c r="P102" s="72"/>
      <c r="Q102" s="75"/>
    </row>
    <row r="103" spans="1:17">
      <c r="A103" s="70"/>
      <c r="B103" s="72"/>
      <c r="C103" s="72"/>
      <c r="D103" s="72"/>
      <c r="E103" s="72"/>
      <c r="F103" s="72"/>
      <c r="G103" s="93">
        <v>6</v>
      </c>
      <c r="H103" s="94" t="s">
        <v>171</v>
      </c>
      <c r="I103" s="95"/>
      <c r="J103" s="95" t="s">
        <v>110</v>
      </c>
      <c r="K103" s="96">
        <v>30</v>
      </c>
      <c r="L103" s="96" t="s">
        <v>115</v>
      </c>
      <c r="M103" s="97">
        <v>72.17</v>
      </c>
      <c r="N103" s="98">
        <v>-10.739999999999995</v>
      </c>
      <c r="O103" s="72"/>
      <c r="P103" s="72"/>
      <c r="Q103" s="75"/>
    </row>
    <row r="104" spans="1:17" ht="24">
      <c r="A104" s="70"/>
      <c r="B104" s="72"/>
      <c r="C104" s="72"/>
      <c r="D104" s="72"/>
      <c r="E104" s="72"/>
      <c r="F104" s="72"/>
      <c r="G104" s="93">
        <v>7</v>
      </c>
      <c r="H104" s="94" t="s">
        <v>171</v>
      </c>
      <c r="I104" s="95"/>
      <c r="J104" s="95" t="s">
        <v>117</v>
      </c>
      <c r="K104" s="96">
        <v>33</v>
      </c>
      <c r="L104" s="96" t="s">
        <v>119</v>
      </c>
      <c r="M104" s="97">
        <v>73.19</v>
      </c>
      <c r="N104" s="98">
        <v>-9.7199999999999989</v>
      </c>
      <c r="O104" s="72"/>
      <c r="P104" s="72"/>
      <c r="Q104" s="75"/>
    </row>
    <row r="105" spans="1:17" ht="24">
      <c r="A105" s="70"/>
      <c r="B105" s="72"/>
      <c r="C105" s="72"/>
      <c r="D105" s="72"/>
      <c r="E105" s="72"/>
      <c r="F105" s="72"/>
      <c r="G105" s="93">
        <v>8</v>
      </c>
      <c r="H105" s="94" t="s">
        <v>173</v>
      </c>
      <c r="I105" s="95"/>
      <c r="J105" s="95" t="s">
        <v>99</v>
      </c>
      <c r="K105" s="96">
        <v>25</v>
      </c>
      <c r="L105" s="96" t="s">
        <v>106</v>
      </c>
      <c r="M105" s="97">
        <v>75.88</v>
      </c>
      <c r="N105" s="98">
        <v>-7.0300000000000011</v>
      </c>
      <c r="O105" s="72"/>
      <c r="P105" s="72"/>
      <c r="Q105" s="75"/>
    </row>
    <row r="106" spans="1:17">
      <c r="A106" s="70"/>
      <c r="B106" s="72"/>
      <c r="C106" s="72"/>
      <c r="D106" s="72"/>
      <c r="E106" s="72"/>
      <c r="F106" s="72"/>
      <c r="G106" s="93">
        <v>9</v>
      </c>
      <c r="H106" s="94" t="s">
        <v>172</v>
      </c>
      <c r="I106" s="95"/>
      <c r="J106" s="95" t="s">
        <v>70</v>
      </c>
      <c r="K106" s="96">
        <v>7</v>
      </c>
      <c r="L106" s="96" t="s">
        <v>74</v>
      </c>
      <c r="M106" s="97">
        <v>76.25</v>
      </c>
      <c r="N106" s="98">
        <v>-6.6599999999999966</v>
      </c>
      <c r="O106" s="72"/>
      <c r="P106" s="72"/>
      <c r="Q106" s="75"/>
    </row>
    <row r="107" spans="1:17">
      <c r="A107" s="70"/>
      <c r="B107" s="72"/>
      <c r="C107" s="72"/>
      <c r="D107" s="72"/>
      <c r="E107" s="72"/>
      <c r="F107" s="72"/>
      <c r="G107" s="93">
        <v>10</v>
      </c>
      <c r="H107" s="94" t="s">
        <v>174</v>
      </c>
      <c r="I107" s="95"/>
      <c r="J107" s="95" t="s">
        <v>174</v>
      </c>
      <c r="K107" s="96" t="s">
        <v>174</v>
      </c>
      <c r="L107" s="96" t="s">
        <v>174</v>
      </c>
      <c r="M107" s="97" t="s">
        <v>174</v>
      </c>
      <c r="N107" s="98" t="s">
        <v>174</v>
      </c>
      <c r="O107" s="72"/>
      <c r="P107" s="72"/>
      <c r="Q107" s="75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07">
    <cfRule type="cellIs" dxfId="140" priority="102" operator="lessThanOrEqual">
      <formula>-5</formula>
    </cfRule>
    <cfRule type="cellIs" dxfId="139" priority="103" operator="greaterThanOrEqual">
      <formula>5</formula>
    </cfRule>
  </conditionalFormatting>
  <conditionalFormatting sqref="Q63:Q70">
    <cfRule type="cellIs" dxfId="138" priority="20" operator="lessThanOrEqual">
      <formula>-5</formula>
    </cfRule>
    <cfRule type="cellIs" dxfId="137" priority="21" operator="greaterThanOrEqual">
      <formula>5</formula>
    </cfRule>
  </conditionalFormatting>
  <conditionalFormatting sqref="J86 H86">
    <cfRule type="expression" dxfId="136" priority="3">
      <formula>$C86="IMPARCIALIDAD"</formula>
    </cfRule>
  </conditionalFormatting>
  <conditionalFormatting sqref="J98:J107 H98:H107 J86:J96 H86:H96">
    <cfRule type="expression" dxfId="135" priority="4">
      <formula>$C86="RESPETO"</formula>
    </cfRule>
    <cfRule type="expression" dxfId="134" priority="104">
      <formula>$C86="CREDIBILIDAD"</formula>
    </cfRule>
  </conditionalFormatting>
  <conditionalFormatting sqref="I86">
    <cfRule type="expression" dxfId="133" priority="1">
      <formula>$C86="IMPARCIALIDAD"</formula>
    </cfRule>
  </conditionalFormatting>
  <conditionalFormatting sqref="I98:I107 I86:I96">
    <cfRule type="expression" dxfId="132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49"/>
  <sheetViews>
    <sheetView topLeftCell="A4" zoomScale="85" zoomScaleNormal="85" workbookViewId="0">
      <selection activeCell="H2" sqref="H2"/>
    </sheetView>
  </sheetViews>
  <sheetFormatPr baseColWidth="10" defaultRowHeight="15"/>
  <cols>
    <col min="1" max="1" width="5.7109375" customWidth="1"/>
    <col min="2" max="2" width="35.7109375" customWidth="1"/>
    <col min="3" max="7" width="13.85546875" customWidth="1"/>
  </cols>
  <sheetData>
    <row r="1" spans="2:9" ht="15.75" thickBot="1">
      <c r="B1" s="11"/>
      <c r="C1" s="12"/>
      <c r="D1" s="12"/>
      <c r="E1" s="12"/>
      <c r="F1" s="12"/>
      <c r="G1" s="12"/>
    </row>
    <row r="2" spans="2:9" ht="41.25" customHeight="1" thickBot="1">
      <c r="B2" s="13" t="s">
        <v>22</v>
      </c>
      <c r="C2" s="14">
        <v>2010</v>
      </c>
      <c r="D2" s="14">
        <v>2012</v>
      </c>
      <c r="E2" s="14">
        <v>2014</v>
      </c>
      <c r="F2" s="14">
        <v>2015</v>
      </c>
      <c r="G2" s="14">
        <v>2016</v>
      </c>
    </row>
    <row r="3" spans="2:9" ht="25.5" customHeight="1" thickBot="1">
      <c r="B3" s="15" t="s">
        <v>23</v>
      </c>
      <c r="C3" s="16">
        <v>5100</v>
      </c>
      <c r="D3" s="16">
        <v>5496</v>
      </c>
      <c r="E3" s="16">
        <v>5209</v>
      </c>
      <c r="F3" s="16">
        <v>5159</v>
      </c>
      <c r="G3" s="16">
        <v>5231</v>
      </c>
    </row>
    <row r="4" spans="2:9" ht="25.5" customHeight="1" thickBot="1">
      <c r="B4" s="15" t="s">
        <v>10</v>
      </c>
      <c r="C4" s="16">
        <v>3406</v>
      </c>
      <c r="D4" s="16">
        <v>4232</v>
      </c>
      <c r="E4" s="16">
        <v>4504</v>
      </c>
      <c r="F4" s="16">
        <v>4735</v>
      </c>
      <c r="G4" s="16">
        <v>4886</v>
      </c>
    </row>
    <row r="5" spans="2:9" ht="25.5" customHeight="1" thickBot="1">
      <c r="B5" s="15" t="s">
        <v>24</v>
      </c>
      <c r="C5" s="17">
        <v>0.66784313725490196</v>
      </c>
      <c r="D5" s="17">
        <v>0.77</v>
      </c>
      <c r="E5" s="17">
        <v>0.86465732386254557</v>
      </c>
      <c r="F5" s="17">
        <v>0.91781352975382824</v>
      </c>
      <c r="G5" s="18">
        <f>G4/G3</f>
        <v>0.93404702733702927</v>
      </c>
    </row>
    <row r="6" spans="2:9" ht="25.5" customHeight="1" thickBot="1">
      <c r="B6" s="15" t="str">
        <f>"Margen de error ("&amp;TEXT(VLOOKUP(E31,G15:H18,2,0),0&amp;"%")&amp;" Conf.)"</f>
        <v>Margen de error (90% Conf.)</v>
      </c>
      <c r="C6" s="19">
        <v>9.6777716109144544E-3</v>
      </c>
      <c r="D6" s="19">
        <v>7.1999999999999998E-3</v>
      </c>
      <c r="E6" s="19">
        <v>5.3721021797821624E-3</v>
      </c>
      <c r="F6" s="19">
        <v>4.0828765462807793E-3</v>
      </c>
      <c r="G6" s="20">
        <f>E42</f>
        <v>3.0310591025924593E-3</v>
      </c>
    </row>
    <row r="7" spans="2:9" ht="25.5" customHeight="1" thickBot="1">
      <c r="B7" s="15" t="s">
        <v>25</v>
      </c>
      <c r="C7" s="21" t="s">
        <v>26</v>
      </c>
      <c r="D7" s="21" t="s">
        <v>27</v>
      </c>
      <c r="E7" s="21" t="s">
        <v>27</v>
      </c>
      <c r="F7" s="21" t="s">
        <v>27</v>
      </c>
      <c r="G7" s="21" t="s">
        <v>27</v>
      </c>
    </row>
    <row r="8" spans="2:9" ht="25.5" customHeight="1" thickBot="1">
      <c r="B8" s="15" t="s">
        <v>28</v>
      </c>
      <c r="C8" s="16" t="s">
        <v>29</v>
      </c>
      <c r="D8" s="16" t="s">
        <v>29</v>
      </c>
      <c r="E8" s="16" t="s">
        <v>29</v>
      </c>
      <c r="F8" s="16" t="s">
        <v>29</v>
      </c>
      <c r="G8" s="16" t="s">
        <v>29</v>
      </c>
    </row>
    <row r="10" spans="2:9">
      <c r="H10" s="11"/>
    </row>
    <row r="11" spans="2:9" ht="23.25">
      <c r="C11" s="224" t="s">
        <v>30</v>
      </c>
      <c r="D11" s="225"/>
      <c r="E11" s="225"/>
      <c r="F11" s="225"/>
      <c r="G11" s="225"/>
      <c r="H11" s="11"/>
    </row>
    <row r="12" spans="2:9">
      <c r="H12" s="11"/>
    </row>
    <row r="13" spans="2:9">
      <c r="C13" s="233" t="s">
        <v>31</v>
      </c>
      <c r="D13" s="233"/>
      <c r="E13" s="234"/>
      <c r="G13" s="231" t="s">
        <v>32</v>
      </c>
      <c r="H13" s="231"/>
      <c r="I13" s="11"/>
    </row>
    <row r="14" spans="2:9">
      <c r="C14" s="228" t="s">
        <v>33</v>
      </c>
      <c r="D14" s="229"/>
      <c r="E14" s="109">
        <v>1.96</v>
      </c>
      <c r="G14" s="111" t="s">
        <v>33</v>
      </c>
      <c r="H14" s="111" t="s">
        <v>34</v>
      </c>
      <c r="I14" s="11"/>
    </row>
    <row r="15" spans="2:9">
      <c r="C15" s="230" t="s">
        <v>35</v>
      </c>
      <c r="D15" s="229"/>
      <c r="E15" s="109">
        <v>0.05</v>
      </c>
      <c r="G15" s="112">
        <v>1.282</v>
      </c>
      <c r="H15" s="113">
        <v>0.8</v>
      </c>
      <c r="I15" s="11"/>
    </row>
    <row r="16" spans="2:9">
      <c r="C16" s="228" t="s">
        <v>36</v>
      </c>
      <c r="D16" s="229"/>
      <c r="E16" s="109">
        <v>0.5</v>
      </c>
      <c r="G16" s="112">
        <v>1.44</v>
      </c>
      <c r="H16" s="113">
        <v>0.85</v>
      </c>
      <c r="I16" s="11"/>
    </row>
    <row r="17" spans="3:9">
      <c r="C17" s="228" t="s">
        <v>37</v>
      </c>
      <c r="D17" s="229"/>
      <c r="E17" s="109">
        <v>0.5</v>
      </c>
      <c r="G17" s="112">
        <v>1.65</v>
      </c>
      <c r="H17" s="113">
        <v>0.9</v>
      </c>
      <c r="I17" s="11"/>
    </row>
    <row r="18" spans="3:9">
      <c r="C18" s="232" t="s">
        <v>38</v>
      </c>
      <c r="D18" s="229"/>
      <c r="E18" s="110">
        <v>115</v>
      </c>
      <c r="G18" s="112">
        <v>1.96</v>
      </c>
      <c r="H18" s="113">
        <v>0.95</v>
      </c>
      <c r="I18" s="11"/>
    </row>
    <row r="19" spans="3:9">
      <c r="I19" s="11"/>
    </row>
    <row r="20" spans="3:9">
      <c r="C20" s="231" t="s">
        <v>39</v>
      </c>
      <c r="D20" s="231"/>
      <c r="E20" s="235"/>
      <c r="I20" s="11"/>
    </row>
    <row r="21" spans="3:9">
      <c r="C21" s="228" t="s">
        <v>40</v>
      </c>
      <c r="D21" s="229"/>
      <c r="E21" s="109">
        <f>+(E16*E17)</f>
        <v>0.25</v>
      </c>
      <c r="I21" s="11"/>
    </row>
    <row r="22" spans="3:9">
      <c r="C22" s="228" t="s">
        <v>41</v>
      </c>
      <c r="D22" s="229"/>
      <c r="E22" s="114">
        <f>+E15/E14</f>
        <v>2.5510204081632654E-2</v>
      </c>
      <c r="I22" s="11"/>
    </row>
    <row r="23" spans="3:9">
      <c r="C23" s="228" t="s">
        <v>52</v>
      </c>
      <c r="D23" s="229"/>
      <c r="E23" s="114">
        <f>+E22*E22</f>
        <v>6.5077051228654734E-4</v>
      </c>
      <c r="I23" s="11"/>
    </row>
    <row r="24" spans="3:9">
      <c r="C24" s="228" t="s">
        <v>42</v>
      </c>
      <c r="D24" s="229"/>
      <c r="E24" s="109">
        <f>+E21/E18</f>
        <v>2.1739130434782609E-3</v>
      </c>
      <c r="I24" s="11"/>
    </row>
    <row r="25" spans="3:9" ht="15.75" thickBot="1">
      <c r="C25" s="238" t="s">
        <v>43</v>
      </c>
      <c r="D25" s="229"/>
      <c r="E25" s="115">
        <f>+E21/(E23+E24)</f>
        <v>88.505489221892788</v>
      </c>
      <c r="I25" s="11"/>
    </row>
    <row r="26" spans="3:9" ht="15.75" thickBot="1">
      <c r="C26" s="238" t="s">
        <v>44</v>
      </c>
      <c r="D26" s="229"/>
      <c r="E26" s="115">
        <f>+E25*2</f>
        <v>177.01097844378558</v>
      </c>
      <c r="G26" s="226" t="s">
        <v>45</v>
      </c>
      <c r="H26" s="227"/>
      <c r="I26" s="32">
        <f>E21/(E23+E24)</f>
        <v>88.505489221892788</v>
      </c>
    </row>
    <row r="27" spans="3:9">
      <c r="H27" s="11"/>
    </row>
    <row r="28" spans="3:9">
      <c r="H28" s="11"/>
    </row>
    <row r="29" spans="3:9" ht="23.25">
      <c r="C29" s="224" t="s">
        <v>46</v>
      </c>
      <c r="D29" s="225"/>
      <c r="E29" s="225"/>
      <c r="F29" s="225"/>
      <c r="G29" s="225"/>
      <c r="H29" s="11"/>
    </row>
    <row r="30" spans="3:9">
      <c r="C30" s="231" t="s">
        <v>31</v>
      </c>
      <c r="D30" s="231"/>
      <c r="E30" s="235"/>
      <c r="G30" s="31"/>
      <c r="H30" s="31"/>
      <c r="I30" s="22"/>
    </row>
    <row r="31" spans="3:9" ht="20.100000000000001" customHeight="1">
      <c r="C31" s="228" t="s">
        <v>33</v>
      </c>
      <c r="D31" s="229"/>
      <c r="E31" s="116">
        <v>1.65</v>
      </c>
      <c r="G31" s="25"/>
      <c r="H31" s="25"/>
      <c r="I31" s="11"/>
    </row>
    <row r="32" spans="3:9">
      <c r="C32" s="228" t="s">
        <v>36</v>
      </c>
      <c r="D32" s="229"/>
      <c r="E32" s="109">
        <v>0.5</v>
      </c>
      <c r="G32" s="25"/>
      <c r="H32" s="25"/>
      <c r="I32" s="11"/>
    </row>
    <row r="33" spans="3:9">
      <c r="C33" s="228" t="s">
        <v>37</v>
      </c>
      <c r="D33" s="229"/>
      <c r="E33" s="109">
        <v>0.5</v>
      </c>
      <c r="G33" s="25"/>
      <c r="H33" s="25"/>
      <c r="I33" s="11"/>
    </row>
    <row r="34" spans="3:9">
      <c r="C34" s="236" t="s">
        <v>38</v>
      </c>
      <c r="D34" s="237"/>
      <c r="E34" s="110">
        <f>$G$3</f>
        <v>5231</v>
      </c>
      <c r="G34" s="26"/>
      <c r="H34" s="26"/>
      <c r="I34" s="11"/>
    </row>
    <row r="35" spans="3:9">
      <c r="C35" s="236" t="s">
        <v>43</v>
      </c>
      <c r="D35" s="237"/>
      <c r="E35" s="110">
        <f>$G$4</f>
        <v>4886</v>
      </c>
      <c r="G35" s="26"/>
      <c r="H35" s="26"/>
      <c r="I35" s="11"/>
    </row>
    <row r="36" spans="3:9">
      <c r="G36" s="27"/>
      <c r="H36" s="27"/>
      <c r="I36" s="11"/>
    </row>
    <row r="37" spans="3:9">
      <c r="C37" s="231" t="s">
        <v>39</v>
      </c>
      <c r="D37" s="231"/>
      <c r="E37" s="235"/>
      <c r="G37" s="31"/>
      <c r="H37" s="31"/>
      <c r="I37" s="11"/>
    </row>
    <row r="38" spans="3:9">
      <c r="C38" s="228" t="s">
        <v>40</v>
      </c>
      <c r="D38" s="229"/>
      <c r="E38" s="117">
        <f>+(E32*E33)</f>
        <v>0.25</v>
      </c>
      <c r="F38" s="23"/>
      <c r="G38" s="25"/>
      <c r="H38" s="28"/>
      <c r="I38" s="11"/>
    </row>
    <row r="39" spans="3:9">
      <c r="C39" s="228" t="s">
        <v>47</v>
      </c>
      <c r="D39" s="229"/>
      <c r="E39" s="114">
        <f>(1/E35)-(1/E34)</f>
        <v>1.3498357073878575E-5</v>
      </c>
      <c r="F39" s="23"/>
      <c r="G39" s="25"/>
      <c r="H39" s="29"/>
      <c r="I39" s="11"/>
    </row>
    <row r="40" spans="3:9">
      <c r="C40" s="228" t="s">
        <v>48</v>
      </c>
      <c r="D40" s="229"/>
      <c r="E40" s="118">
        <f>+E38*E39</f>
        <v>3.3745892684696436E-6</v>
      </c>
      <c r="F40" s="23"/>
      <c r="G40" s="25"/>
      <c r="H40" s="30"/>
      <c r="I40" s="11"/>
    </row>
    <row r="41" spans="3:9" ht="15.75" thickBot="1">
      <c r="C41" s="228" t="s">
        <v>49</v>
      </c>
      <c r="D41" s="239"/>
      <c r="E41" s="118">
        <f>SQRT(E40)</f>
        <v>1.8370055167227027E-3</v>
      </c>
      <c r="F41" s="23"/>
      <c r="G41" s="25"/>
      <c r="H41" s="30"/>
      <c r="I41" s="11"/>
    </row>
    <row r="42" spans="3:9" ht="15.75" thickBot="1">
      <c r="C42" s="238" t="s">
        <v>50</v>
      </c>
      <c r="D42" s="229"/>
      <c r="E42" s="119">
        <f>+E41*E31</f>
        <v>3.0310591025924593E-3</v>
      </c>
      <c r="G42" s="226" t="s">
        <v>51</v>
      </c>
      <c r="H42" s="227"/>
      <c r="I42" s="24">
        <f>E31*E41</f>
        <v>3.0310591025924593E-3</v>
      </c>
    </row>
    <row r="43" spans="3:9">
      <c r="H43" s="11"/>
    </row>
    <row r="44" spans="3:9">
      <c r="H44" s="11"/>
    </row>
    <row r="46" spans="3:9">
      <c r="H46" s="11"/>
    </row>
    <row r="47" spans="3:9">
      <c r="H47" s="11"/>
    </row>
    <row r="48" spans="3:9">
      <c r="H48" s="11"/>
    </row>
    <row r="49" spans="8:8">
      <c r="H49" s="11"/>
    </row>
  </sheetData>
  <mergeCells count="30">
    <mergeCell ref="C40:D40"/>
    <mergeCell ref="C41:D41"/>
    <mergeCell ref="C42:D42"/>
    <mergeCell ref="C31:D31"/>
    <mergeCell ref="C32:D32"/>
    <mergeCell ref="C33:D33"/>
    <mergeCell ref="C34:D34"/>
    <mergeCell ref="C38:D38"/>
    <mergeCell ref="C37:E37"/>
    <mergeCell ref="C24:D24"/>
    <mergeCell ref="C25:D25"/>
    <mergeCell ref="C26:D26"/>
    <mergeCell ref="C30:E30"/>
    <mergeCell ref="C39:D39"/>
    <mergeCell ref="C11:G11"/>
    <mergeCell ref="G42:H42"/>
    <mergeCell ref="C14:D14"/>
    <mergeCell ref="C15:D15"/>
    <mergeCell ref="C16:D16"/>
    <mergeCell ref="G13:H13"/>
    <mergeCell ref="G26:H26"/>
    <mergeCell ref="C29:G29"/>
    <mergeCell ref="C17:D17"/>
    <mergeCell ref="C18:D18"/>
    <mergeCell ref="C13:E13"/>
    <mergeCell ref="C20:E20"/>
    <mergeCell ref="C35:D35"/>
    <mergeCell ref="C21:D21"/>
    <mergeCell ref="C22:D22"/>
    <mergeCell ref="C23:D2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4" r:id="rId3" name="ComboBox1">
          <controlPr locked="0" defaultSize="0" autoLine="0" linkedCell="E31" listFillRange="G15:G18" r:id="rId4">
            <anchor moveWithCells="1">
              <from>
                <xdr:col>4</xdr:col>
                <xdr:colOff>38100</xdr:colOff>
                <xdr:row>30</xdr:row>
                <xdr:rowOff>19050</xdr:rowOff>
              </from>
              <to>
                <xdr:col>4</xdr:col>
                <xdr:colOff>914400</xdr:colOff>
                <xdr:row>30</xdr:row>
                <xdr:rowOff>238125</xdr:rowOff>
              </to>
            </anchor>
          </controlPr>
        </control>
      </mc:Choice>
      <mc:Fallback>
        <control shapeId="5134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B2:L29"/>
  <sheetViews>
    <sheetView topLeftCell="E1" workbookViewId="0">
      <selection activeCell="L29" sqref="L29"/>
    </sheetView>
  </sheetViews>
  <sheetFormatPr baseColWidth="10" defaultRowHeight="15"/>
  <cols>
    <col min="2" max="2" width="15.85546875" bestFit="1" customWidth="1"/>
    <col min="3" max="3" width="40.8554687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  <col min="11" max="11" width="18.7109375" bestFit="1" customWidth="1"/>
    <col min="12" max="12" width="10.7109375" bestFit="1" customWidth="1"/>
  </cols>
  <sheetData>
    <row r="2" spans="2:12" ht="18.75" customHeight="1">
      <c r="B2" s="240" t="s">
        <v>192</v>
      </c>
      <c r="C2" s="240"/>
      <c r="D2" s="240"/>
      <c r="E2" s="240"/>
      <c r="F2" s="240"/>
      <c r="G2" s="240"/>
      <c r="H2" s="240"/>
      <c r="I2" s="240"/>
      <c r="J2" s="240"/>
      <c r="K2" s="240"/>
      <c r="L2" s="240"/>
    </row>
    <row r="3" spans="2:12" ht="20.100000000000001" customHeight="1">
      <c r="B3" s="122" t="s">
        <v>195</v>
      </c>
      <c r="C3" s="122" t="s">
        <v>190</v>
      </c>
      <c r="D3" s="122" t="s">
        <v>196</v>
      </c>
      <c r="E3" s="122" t="s">
        <v>193</v>
      </c>
      <c r="F3" s="122" t="s">
        <v>194</v>
      </c>
      <c r="G3" s="122" t="s">
        <v>187</v>
      </c>
      <c r="H3" s="122" t="s">
        <v>188</v>
      </c>
      <c r="I3" s="122" t="s">
        <v>191</v>
      </c>
      <c r="J3" s="122" t="s">
        <v>178</v>
      </c>
      <c r="K3" s="122" t="s">
        <v>219</v>
      </c>
      <c r="L3" s="122" t="s">
        <v>220</v>
      </c>
    </row>
    <row r="4" spans="2:12">
      <c r="B4" s="121" t="s">
        <v>197</v>
      </c>
      <c r="C4" s="121" t="s">
        <v>175</v>
      </c>
      <c r="D4" s="121" t="s">
        <v>189</v>
      </c>
      <c r="E4" s="121" t="s">
        <v>198</v>
      </c>
      <c r="F4" s="121" t="s">
        <v>309</v>
      </c>
      <c r="G4" s="121" t="s">
        <v>200</v>
      </c>
      <c r="H4" s="121" t="s">
        <v>310</v>
      </c>
      <c r="I4" s="121">
        <v>2</v>
      </c>
      <c r="J4" s="121"/>
      <c r="K4" s="121">
        <v>31</v>
      </c>
      <c r="L4" s="125" t="s">
        <v>221</v>
      </c>
    </row>
    <row r="5" spans="2:12">
      <c r="B5" s="121" t="s">
        <v>222</v>
      </c>
      <c r="C5" s="121" t="s">
        <v>175</v>
      </c>
      <c r="D5" s="121" t="s">
        <v>189</v>
      </c>
      <c r="E5" s="121" t="s">
        <v>198</v>
      </c>
      <c r="F5" s="121" t="s">
        <v>309</v>
      </c>
      <c r="G5" s="121"/>
      <c r="H5" s="121"/>
      <c r="I5" s="121">
        <v>1</v>
      </c>
      <c r="J5" s="121"/>
      <c r="K5" s="121">
        <v>69</v>
      </c>
      <c r="L5" s="125" t="s">
        <v>221</v>
      </c>
    </row>
    <row r="6" spans="2:12">
      <c r="B6" s="121" t="s">
        <v>202</v>
      </c>
      <c r="C6" s="121" t="s">
        <v>254</v>
      </c>
      <c r="D6" s="121" t="s">
        <v>189</v>
      </c>
      <c r="E6" s="121" t="s">
        <v>199</v>
      </c>
      <c r="F6" s="121" t="s">
        <v>311</v>
      </c>
      <c r="G6" s="121" t="s">
        <v>201</v>
      </c>
      <c r="H6" s="121" t="s">
        <v>312</v>
      </c>
      <c r="I6" s="121">
        <v>2</v>
      </c>
      <c r="J6" s="121"/>
      <c r="K6" s="121">
        <v>32</v>
      </c>
      <c r="L6" s="125" t="s">
        <v>221</v>
      </c>
    </row>
    <row r="7" spans="2:12">
      <c r="B7" s="121" t="s">
        <v>223</v>
      </c>
      <c r="C7" s="121" t="s">
        <v>254</v>
      </c>
      <c r="D7" s="121" t="s">
        <v>189</v>
      </c>
      <c r="E7" s="121" t="s">
        <v>199</v>
      </c>
      <c r="F7" s="121" t="s">
        <v>311</v>
      </c>
      <c r="G7" s="121"/>
      <c r="H7" s="121"/>
      <c r="I7" s="121">
        <v>1</v>
      </c>
      <c r="J7" s="121"/>
      <c r="K7" s="121">
        <v>70</v>
      </c>
      <c r="L7" s="125" t="s">
        <v>221</v>
      </c>
    </row>
    <row r="8" spans="2:12">
      <c r="B8" s="121" t="s">
        <v>203</v>
      </c>
      <c r="C8" s="121" t="s">
        <v>177</v>
      </c>
      <c r="D8" s="121" t="s">
        <v>189</v>
      </c>
      <c r="E8" s="121" t="s">
        <v>179</v>
      </c>
      <c r="F8" s="121" t="s">
        <v>313</v>
      </c>
      <c r="G8" s="121" t="s">
        <v>180</v>
      </c>
      <c r="H8" s="121" t="s">
        <v>314</v>
      </c>
      <c r="I8" s="121">
        <v>2</v>
      </c>
      <c r="J8" s="121"/>
      <c r="K8" s="121">
        <v>33</v>
      </c>
      <c r="L8" s="125" t="s">
        <v>221</v>
      </c>
    </row>
    <row r="9" spans="2:12">
      <c r="B9" s="121" t="s">
        <v>224</v>
      </c>
      <c r="C9" s="121" t="s">
        <v>177</v>
      </c>
      <c r="D9" s="121" t="s">
        <v>189</v>
      </c>
      <c r="E9" s="121" t="s">
        <v>179</v>
      </c>
      <c r="F9" s="121" t="s">
        <v>313</v>
      </c>
      <c r="G9" s="121"/>
      <c r="H9" s="121"/>
      <c r="I9" s="121">
        <v>1</v>
      </c>
      <c r="J9" s="121"/>
      <c r="K9" s="121">
        <v>71</v>
      </c>
      <c r="L9" s="125" t="s">
        <v>221</v>
      </c>
    </row>
    <row r="10" spans="2:12">
      <c r="B10" s="121" t="s">
        <v>204</v>
      </c>
      <c r="C10" s="121" t="s">
        <v>176</v>
      </c>
      <c r="D10" s="121" t="s">
        <v>189</v>
      </c>
      <c r="E10" s="121" t="s">
        <v>181</v>
      </c>
      <c r="F10" s="121" t="s">
        <v>315</v>
      </c>
      <c r="G10" s="121" t="s">
        <v>182</v>
      </c>
      <c r="H10" s="121" t="s">
        <v>316</v>
      </c>
      <c r="I10" s="121">
        <v>2</v>
      </c>
      <c r="J10" s="121"/>
      <c r="K10" s="121">
        <v>34</v>
      </c>
      <c r="L10" s="125" t="s">
        <v>221</v>
      </c>
    </row>
    <row r="11" spans="2:12">
      <c r="B11" s="121" t="s">
        <v>225</v>
      </c>
      <c r="C11" s="121" t="s">
        <v>176</v>
      </c>
      <c r="D11" s="121" t="s">
        <v>189</v>
      </c>
      <c r="E11" s="121" t="s">
        <v>181</v>
      </c>
      <c r="F11" s="121" t="s">
        <v>315</v>
      </c>
      <c r="G11" s="121"/>
      <c r="H11" s="121"/>
      <c r="I11" s="121">
        <v>1</v>
      </c>
      <c r="J11" s="121"/>
      <c r="K11" s="121">
        <v>72</v>
      </c>
      <c r="L11" s="125" t="s">
        <v>221</v>
      </c>
    </row>
    <row r="12" spans="2:12">
      <c r="B12" s="121" t="s">
        <v>205</v>
      </c>
      <c r="C12" s="121" t="s">
        <v>255</v>
      </c>
      <c r="D12" s="121" t="s">
        <v>189</v>
      </c>
      <c r="E12" s="121" t="s">
        <v>183</v>
      </c>
      <c r="F12" s="121" t="s">
        <v>317</v>
      </c>
      <c r="G12" s="121" t="s">
        <v>184</v>
      </c>
      <c r="H12" s="121" t="s">
        <v>318</v>
      </c>
      <c r="I12" s="121">
        <v>2</v>
      </c>
      <c r="J12" s="121"/>
      <c r="K12" s="121">
        <v>35</v>
      </c>
      <c r="L12" s="125" t="s">
        <v>221</v>
      </c>
    </row>
    <row r="13" spans="2:12">
      <c r="B13" s="121" t="s">
        <v>226</v>
      </c>
      <c r="C13" s="121" t="s">
        <v>255</v>
      </c>
      <c r="D13" s="121" t="s">
        <v>189</v>
      </c>
      <c r="E13" s="121" t="s">
        <v>183</v>
      </c>
      <c r="F13" s="121" t="s">
        <v>317</v>
      </c>
      <c r="G13" s="121"/>
      <c r="H13" s="121"/>
      <c r="I13" s="121">
        <v>1</v>
      </c>
      <c r="J13" s="121"/>
      <c r="K13" s="121">
        <v>73</v>
      </c>
      <c r="L13" s="125" t="s">
        <v>221</v>
      </c>
    </row>
    <row r="14" spans="2:12">
      <c r="B14" s="121" t="s">
        <v>206</v>
      </c>
      <c r="C14" s="121" t="s">
        <v>256</v>
      </c>
      <c r="D14" s="121" t="s">
        <v>189</v>
      </c>
      <c r="E14" s="121" t="s">
        <v>319</v>
      </c>
      <c r="F14" s="121" t="s">
        <v>320</v>
      </c>
      <c r="G14" s="121" t="s">
        <v>321</v>
      </c>
      <c r="H14" s="121" t="s">
        <v>322</v>
      </c>
      <c r="I14" s="121">
        <v>2</v>
      </c>
      <c r="J14" s="121"/>
      <c r="K14" s="121">
        <v>36</v>
      </c>
      <c r="L14" s="125" t="s">
        <v>221</v>
      </c>
    </row>
    <row r="15" spans="2:12">
      <c r="B15" s="121" t="s">
        <v>227</v>
      </c>
      <c r="C15" s="121" t="s">
        <v>256</v>
      </c>
      <c r="D15" s="121" t="s">
        <v>189</v>
      </c>
      <c r="E15" s="121" t="s">
        <v>319</v>
      </c>
      <c r="F15" s="121" t="s">
        <v>320</v>
      </c>
      <c r="G15" s="121"/>
      <c r="H15" s="121"/>
      <c r="I15" s="121">
        <v>1</v>
      </c>
      <c r="J15" s="121"/>
      <c r="K15" s="121">
        <v>74</v>
      </c>
      <c r="L15" s="125" t="s">
        <v>221</v>
      </c>
    </row>
    <row r="16" spans="2:12">
      <c r="B16" s="121" t="s">
        <v>207</v>
      </c>
      <c r="C16" s="121" t="s">
        <v>257</v>
      </c>
      <c r="D16" s="121" t="s">
        <v>189</v>
      </c>
      <c r="E16" s="121" t="s">
        <v>323</v>
      </c>
      <c r="F16" s="121" t="s">
        <v>324</v>
      </c>
      <c r="G16" s="121" t="s">
        <v>325</v>
      </c>
      <c r="H16" s="121" t="s">
        <v>326</v>
      </c>
      <c r="I16" s="121">
        <v>2</v>
      </c>
      <c r="J16" s="121"/>
      <c r="K16" s="121">
        <v>37</v>
      </c>
      <c r="L16" s="125" t="s">
        <v>221</v>
      </c>
    </row>
    <row r="17" spans="2:12">
      <c r="B17" s="121" t="s">
        <v>228</v>
      </c>
      <c r="C17" s="121" t="s">
        <v>257</v>
      </c>
      <c r="D17" s="121" t="s">
        <v>189</v>
      </c>
      <c r="E17" s="121" t="s">
        <v>323</v>
      </c>
      <c r="F17" s="121" t="s">
        <v>324</v>
      </c>
      <c r="G17" s="121"/>
      <c r="H17" s="121"/>
      <c r="I17" s="121">
        <v>1</v>
      </c>
      <c r="J17" s="121"/>
      <c r="K17" s="121">
        <v>75</v>
      </c>
      <c r="L17" s="125" t="s">
        <v>221</v>
      </c>
    </row>
    <row r="18" spans="2:12">
      <c r="B18" s="121" t="s">
        <v>208</v>
      </c>
      <c r="C18" s="121" t="s">
        <v>258</v>
      </c>
      <c r="D18" s="121" t="s">
        <v>189</v>
      </c>
      <c r="E18" s="121" t="s">
        <v>327</v>
      </c>
      <c r="F18" s="121" t="s">
        <v>185</v>
      </c>
      <c r="G18" s="121" t="s">
        <v>328</v>
      </c>
      <c r="H18" s="121" t="s">
        <v>186</v>
      </c>
      <c r="I18" s="121">
        <v>2</v>
      </c>
      <c r="J18" s="121"/>
      <c r="K18" s="121">
        <v>38</v>
      </c>
      <c r="L18" s="125" t="s">
        <v>221</v>
      </c>
    </row>
    <row r="19" spans="2:12">
      <c r="B19" s="121" t="s">
        <v>229</v>
      </c>
      <c r="C19" s="121" t="s">
        <v>258</v>
      </c>
      <c r="D19" s="121" t="s">
        <v>189</v>
      </c>
      <c r="E19" s="121" t="s">
        <v>327</v>
      </c>
      <c r="F19" s="121" t="s">
        <v>185</v>
      </c>
      <c r="G19" s="121"/>
      <c r="H19" s="121"/>
      <c r="I19" s="121">
        <v>1</v>
      </c>
      <c r="J19" s="121"/>
      <c r="K19" s="121">
        <v>76</v>
      </c>
      <c r="L19" s="125" t="s">
        <v>221</v>
      </c>
    </row>
    <row r="20" spans="2:12">
      <c r="B20" s="121" t="s">
        <v>211</v>
      </c>
      <c r="C20" s="121" t="s">
        <v>259</v>
      </c>
      <c r="D20" s="121" t="s">
        <v>189</v>
      </c>
      <c r="E20" s="121" t="s">
        <v>329</v>
      </c>
      <c r="F20" s="121" t="s">
        <v>330</v>
      </c>
      <c r="G20" s="121" t="s">
        <v>331</v>
      </c>
      <c r="H20" s="121" t="s">
        <v>332</v>
      </c>
      <c r="I20" s="121">
        <v>2</v>
      </c>
      <c r="J20" s="121"/>
      <c r="K20" s="121">
        <v>39</v>
      </c>
      <c r="L20" s="125" t="s">
        <v>221</v>
      </c>
    </row>
    <row r="21" spans="2:12">
      <c r="B21" s="121" t="s">
        <v>230</v>
      </c>
      <c r="C21" s="121" t="s">
        <v>259</v>
      </c>
      <c r="D21" s="121" t="s">
        <v>189</v>
      </c>
      <c r="E21" s="121" t="s">
        <v>329</v>
      </c>
      <c r="F21" s="121" t="s">
        <v>330</v>
      </c>
      <c r="G21" s="121"/>
      <c r="H21" s="121"/>
      <c r="I21" s="121">
        <v>1</v>
      </c>
      <c r="J21" s="121"/>
      <c r="K21" s="121">
        <v>77</v>
      </c>
      <c r="L21" s="125" t="s">
        <v>221</v>
      </c>
    </row>
    <row r="22" spans="2:12">
      <c r="B22" s="121" t="s">
        <v>214</v>
      </c>
      <c r="C22" s="121" t="s">
        <v>260</v>
      </c>
      <c r="D22" s="121" t="s">
        <v>189</v>
      </c>
      <c r="E22" s="121" t="s">
        <v>333</v>
      </c>
      <c r="F22" s="121" t="s">
        <v>334</v>
      </c>
      <c r="G22" s="121" t="s">
        <v>335</v>
      </c>
      <c r="H22" s="121" t="s">
        <v>336</v>
      </c>
      <c r="I22" s="121">
        <v>2</v>
      </c>
      <c r="J22" s="121"/>
      <c r="K22" s="121">
        <v>40</v>
      </c>
      <c r="L22" s="125" t="s">
        <v>221</v>
      </c>
    </row>
    <row r="23" spans="2:12">
      <c r="B23" s="121" t="s">
        <v>231</v>
      </c>
      <c r="C23" s="121" t="s">
        <v>260</v>
      </c>
      <c r="D23" s="121" t="s">
        <v>189</v>
      </c>
      <c r="E23" s="121" t="s">
        <v>333</v>
      </c>
      <c r="F23" s="121" t="s">
        <v>334</v>
      </c>
      <c r="G23" s="121"/>
      <c r="H23" s="121"/>
      <c r="I23" s="121">
        <v>1</v>
      </c>
      <c r="J23" s="121"/>
      <c r="K23" s="121">
        <v>78</v>
      </c>
      <c r="L23" s="125" t="s">
        <v>221</v>
      </c>
    </row>
    <row r="24" spans="2:12">
      <c r="B24" s="121" t="s">
        <v>337</v>
      </c>
      <c r="C24" s="121" t="s">
        <v>261</v>
      </c>
      <c r="D24" s="121" t="s">
        <v>189</v>
      </c>
      <c r="E24" s="121" t="s">
        <v>209</v>
      </c>
      <c r="F24" s="121" t="s">
        <v>338</v>
      </c>
      <c r="G24" s="121" t="s">
        <v>210</v>
      </c>
      <c r="H24" s="121" t="s">
        <v>339</v>
      </c>
      <c r="I24" s="121">
        <v>2</v>
      </c>
      <c r="J24" s="121"/>
      <c r="K24" s="121">
        <v>41</v>
      </c>
      <c r="L24" s="125" t="s">
        <v>221</v>
      </c>
    </row>
    <row r="25" spans="2:12">
      <c r="B25" s="121" t="s">
        <v>340</v>
      </c>
      <c r="C25" s="121" t="s">
        <v>261</v>
      </c>
      <c r="D25" s="121" t="s">
        <v>189</v>
      </c>
      <c r="E25" s="121" t="s">
        <v>209</v>
      </c>
      <c r="F25" s="121" t="s">
        <v>338</v>
      </c>
      <c r="G25" s="121"/>
      <c r="H25" s="121"/>
      <c r="I25" s="121">
        <v>1</v>
      </c>
      <c r="J25" s="121"/>
      <c r="K25" s="121">
        <v>79</v>
      </c>
      <c r="L25" s="125" t="s">
        <v>221</v>
      </c>
    </row>
    <row r="26" spans="2:12">
      <c r="B26" s="121" t="s">
        <v>341</v>
      </c>
      <c r="C26" s="121" t="s">
        <v>262</v>
      </c>
      <c r="D26" s="121" t="s">
        <v>189</v>
      </c>
      <c r="E26" s="121" t="s">
        <v>342</v>
      </c>
      <c r="F26" s="121" t="s">
        <v>212</v>
      </c>
      <c r="G26" s="121" t="s">
        <v>343</v>
      </c>
      <c r="H26" s="121" t="s">
        <v>213</v>
      </c>
      <c r="I26" s="121">
        <v>2</v>
      </c>
      <c r="J26" s="121"/>
      <c r="K26" s="121">
        <v>42</v>
      </c>
      <c r="L26" s="125" t="s">
        <v>221</v>
      </c>
    </row>
    <row r="27" spans="2:12">
      <c r="B27" s="121" t="s">
        <v>344</v>
      </c>
      <c r="C27" s="121" t="s">
        <v>262</v>
      </c>
      <c r="D27" s="121" t="s">
        <v>189</v>
      </c>
      <c r="E27" s="121" t="s">
        <v>342</v>
      </c>
      <c r="F27" s="121" t="s">
        <v>212</v>
      </c>
      <c r="G27" s="121"/>
      <c r="H27" s="121"/>
      <c r="I27" s="121">
        <v>1</v>
      </c>
      <c r="J27" s="121"/>
      <c r="K27" s="121">
        <v>80</v>
      </c>
      <c r="L27" s="125" t="s">
        <v>221</v>
      </c>
    </row>
    <row r="28" spans="2:12">
      <c r="B28" s="121" t="s">
        <v>345</v>
      </c>
      <c r="C28" s="121" t="s">
        <v>263</v>
      </c>
      <c r="D28" s="121" t="s">
        <v>189</v>
      </c>
      <c r="E28" s="121" t="s">
        <v>215</v>
      </c>
      <c r="F28" s="121" t="s">
        <v>216</v>
      </c>
      <c r="G28" s="121" t="s">
        <v>217</v>
      </c>
      <c r="H28" s="121" t="s">
        <v>218</v>
      </c>
      <c r="I28" s="121">
        <v>2</v>
      </c>
      <c r="J28" s="121"/>
      <c r="K28" s="121">
        <v>43</v>
      </c>
      <c r="L28" s="125" t="s">
        <v>221</v>
      </c>
    </row>
    <row r="29" spans="2:12">
      <c r="B29" s="123" t="s">
        <v>346</v>
      </c>
      <c r="C29" s="123" t="s">
        <v>263</v>
      </c>
      <c r="D29" s="123" t="s">
        <v>189</v>
      </c>
      <c r="E29" s="123" t="s">
        <v>215</v>
      </c>
      <c r="F29" s="123" t="s">
        <v>216</v>
      </c>
      <c r="G29" s="123"/>
      <c r="H29" s="123"/>
      <c r="I29" s="123">
        <v>1</v>
      </c>
      <c r="J29" s="123"/>
      <c r="K29" s="123">
        <v>81</v>
      </c>
      <c r="L29" s="124" t="s">
        <v>221</v>
      </c>
    </row>
  </sheetData>
  <mergeCells count="1">
    <mergeCell ref="B2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8353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4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5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6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7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8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9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60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61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62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63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64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65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66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67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68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69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70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71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72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73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74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75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76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77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78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79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80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81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82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83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84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85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86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87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88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89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90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91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92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93" r:id="rId43" name="DropDowns_Demo11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94" r:id="rId44" name="CheckBox_Demo11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95" r:id="rId45" name="DropDowns_Demo_Bis11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96" r:id="rId46" name="CheckBox_Demo_Bis11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97" r:id="rId47" name="DropDowns_Demo12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98" r:id="rId48" name="CheckBox_Demo12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99" r:id="rId49" name="DropDowns_Demo_Bis12">
              <controlPr defaultSize="0" autoFill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00" r:id="rId50" name="CheckBox_Demo_Bis12">
              <controlPr defaultSize="0" autoFill="0" autoLine="0" autoPict="0">
                <anchor moveWithCells="1">
                  <from>
                    <xdr:col>9</xdr:col>
                    <xdr:colOff>342900</xdr:colOff>
                    <xdr:row>26</xdr:row>
                    <xdr:rowOff>0</xdr:rowOff>
                  </from>
                  <to>
                    <xdr:col>9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01" r:id="rId51" name="DropDowns_Demo13">
              <controlPr defaultSize="0" autoFill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02" r:id="rId52" name="CheckBox_Demo13">
              <controlPr defaultSize="0" autoFill="0" autoLine="0" autoPict="0">
                <anchor moveWithCells="1">
                  <from>
                    <xdr:col>9</xdr:col>
                    <xdr:colOff>342900</xdr:colOff>
                    <xdr:row>27</xdr:row>
                    <xdr:rowOff>0</xdr:rowOff>
                  </from>
                  <to>
                    <xdr:col>9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03" r:id="rId53" name="DropDowns_Demo_Bis13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04" r:id="rId54" name="CheckBox_Demo_Bis13">
              <controlPr defaultSize="0" autoFill="0" autoLine="0" autoPict="0">
                <anchor moveWithCells="1">
                  <from>
                    <xdr:col>9</xdr:col>
                    <xdr:colOff>342900</xdr:colOff>
                    <xdr:row>28</xdr:row>
                    <xdr:rowOff>0</xdr:rowOff>
                  </from>
                  <to>
                    <xdr:col>9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05" r:id="rId55" name="Button 53">
              <controlPr defaultSize="0" print="0" autoFill="0" autoPict="0" macro="[0]!Generar_Graficos_Demografias">
                <anchor moveWithCells="1" siz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06" r:id="rId56" name="Button 54">
              <controlPr defaultSize="0" print="0" autoFill="0" autoPict="0" macro="[0]!Clear_Graficos">
                <anchor moveWithCells="1" siz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45:I776"/>
  <sheetViews>
    <sheetView tabSelected="1" topLeftCell="A22" workbookViewId="0">
      <selection activeCell="C776" sqref="C776:F776"/>
    </sheetView>
  </sheetViews>
  <sheetFormatPr baseColWidth="10" defaultRowHeight="15"/>
  <cols>
    <col min="2" max="2" width="17.7109375" bestFit="1" customWidth="1"/>
  </cols>
  <sheetData>
    <row r="45" spans="2:7">
      <c r="B45" t="s">
        <v>347</v>
      </c>
      <c r="C45" s="263">
        <v>69.59</v>
      </c>
      <c r="D45" s="263">
        <v>74.33</v>
      </c>
      <c r="E45" s="263">
        <v>79.150000000000006</v>
      </c>
      <c r="F45" s="263">
        <v>-4.7399999999999949</v>
      </c>
      <c r="G45" s="264">
        <v>-9.5600000000000023</v>
      </c>
    </row>
    <row r="46" spans="2:7">
      <c r="B46" t="s">
        <v>348</v>
      </c>
      <c r="C46" s="263">
        <v>70.69</v>
      </c>
      <c r="D46" s="263">
        <v>73.81</v>
      </c>
      <c r="E46" s="263">
        <v>77.23</v>
      </c>
      <c r="F46" s="263">
        <v>-3.1200000000000045</v>
      </c>
      <c r="G46" s="264">
        <v>-6.5400000000000063</v>
      </c>
    </row>
    <row r="47" spans="2:7">
      <c r="B47" t="s">
        <v>349</v>
      </c>
      <c r="C47" s="263">
        <v>66.069999999999993</v>
      </c>
      <c r="D47" s="263">
        <v>69.739999999999995</v>
      </c>
      <c r="E47" s="263">
        <v>75.44</v>
      </c>
      <c r="F47" s="263">
        <v>-3.6700000000000017</v>
      </c>
      <c r="G47" s="264">
        <v>-9.3700000000000045</v>
      </c>
    </row>
    <row r="48" spans="2:7">
      <c r="B48" t="s">
        <v>350</v>
      </c>
      <c r="C48" s="263">
        <v>67.180000000000007</v>
      </c>
      <c r="D48" s="263">
        <v>71.430000000000007</v>
      </c>
      <c r="E48" s="263">
        <v>80.28</v>
      </c>
      <c r="F48" s="263">
        <v>-4.25</v>
      </c>
      <c r="G48" s="264">
        <v>-13.099999999999994</v>
      </c>
    </row>
    <row r="49" spans="2:7">
      <c r="B49" t="s">
        <v>351</v>
      </c>
      <c r="C49" s="263">
        <v>69.290000000000006</v>
      </c>
      <c r="D49" s="263">
        <v>73.430000000000007</v>
      </c>
      <c r="E49" s="263">
        <v>83.31</v>
      </c>
      <c r="F49" s="263">
        <v>-4.1400000000000006</v>
      </c>
      <c r="G49" s="264">
        <v>-14.019999999999996</v>
      </c>
    </row>
    <row r="50" spans="2:7">
      <c r="B50" t="s">
        <v>352</v>
      </c>
      <c r="C50" s="2">
        <v>68.66</v>
      </c>
      <c r="D50" s="2">
        <v>72.650000000000006</v>
      </c>
      <c r="E50" s="2">
        <v>78.88</v>
      </c>
      <c r="F50" s="2">
        <v>-3.9900000000000091</v>
      </c>
      <c r="G50" s="2">
        <v>-10.219999999999999</v>
      </c>
    </row>
    <row r="51" spans="2:7">
      <c r="B51" t="s">
        <v>353</v>
      </c>
      <c r="C51" s="251">
        <v>546</v>
      </c>
      <c r="D51" s="251">
        <v>600</v>
      </c>
      <c r="E51" s="292"/>
      <c r="F51" s="292"/>
      <c r="G51" s="291"/>
    </row>
    <row r="52" spans="2:7">
      <c r="B52" t="s">
        <v>354</v>
      </c>
      <c r="C52" s="285"/>
      <c r="D52" s="285"/>
      <c r="E52" s="285"/>
      <c r="F52" s="285"/>
      <c r="G52" s="285"/>
    </row>
    <row r="53" spans="2:7">
      <c r="B53" t="s">
        <v>355</v>
      </c>
      <c r="C53" s="257"/>
      <c r="D53" s="257"/>
      <c r="E53" s="257"/>
      <c r="F53" s="257"/>
      <c r="G53" s="257"/>
    </row>
    <row r="54" spans="2:7" ht="45">
      <c r="B54" t="s">
        <v>356</v>
      </c>
      <c r="C54" s="313">
        <v>2016</v>
      </c>
      <c r="D54" s="314">
        <v>2015</v>
      </c>
      <c r="E54" s="315" t="s">
        <v>265</v>
      </c>
      <c r="F54" s="316" t="s">
        <v>266</v>
      </c>
      <c r="G54" s="317" t="s">
        <v>267</v>
      </c>
    </row>
    <row r="55" spans="2:7">
      <c r="B55" t="s">
        <v>18</v>
      </c>
      <c r="C55" s="2">
        <v>68.66</v>
      </c>
      <c r="D55" s="2">
        <v>68.66</v>
      </c>
      <c r="E55" s="2">
        <v>68.66</v>
      </c>
      <c r="F55" s="2">
        <v>68.66</v>
      </c>
      <c r="G55" s="2">
        <v>68.66</v>
      </c>
    </row>
    <row r="56" spans="2:7">
      <c r="B56" t="s">
        <v>357</v>
      </c>
      <c r="C56" s="280">
        <v>66.099999999999994</v>
      </c>
      <c r="D56" s="280">
        <v>70.81</v>
      </c>
      <c r="E56" s="280">
        <v>82.28</v>
      </c>
      <c r="F56" s="280">
        <v>-4.710000000000008</v>
      </c>
      <c r="G56" s="281">
        <v>-16.180000000000007</v>
      </c>
    </row>
    <row r="105" spans="2:7">
      <c r="B105" t="s">
        <v>347</v>
      </c>
      <c r="C105" s="263" t="s">
        <v>246</v>
      </c>
      <c r="D105" s="263">
        <v>85.64</v>
      </c>
      <c r="E105" s="263">
        <v>74.56</v>
      </c>
      <c r="F105" s="263">
        <v>66.25</v>
      </c>
      <c r="G105" s="263">
        <v>83.58</v>
      </c>
    </row>
    <row r="106" spans="2:7">
      <c r="B106" t="s">
        <v>348</v>
      </c>
      <c r="C106" s="263" t="s">
        <v>246</v>
      </c>
      <c r="D106" s="263">
        <v>82.41</v>
      </c>
      <c r="E106" s="263">
        <v>77.13</v>
      </c>
      <c r="F106" s="263">
        <v>67.67</v>
      </c>
      <c r="G106" s="263">
        <v>82.1</v>
      </c>
    </row>
    <row r="107" spans="2:7">
      <c r="B107" t="s">
        <v>349</v>
      </c>
      <c r="C107" s="263" t="s">
        <v>246</v>
      </c>
      <c r="D107" s="263">
        <v>77.09</v>
      </c>
      <c r="E107" s="263">
        <v>70.75</v>
      </c>
      <c r="F107" s="263">
        <v>63.56</v>
      </c>
      <c r="G107" s="263">
        <v>73.540000000000006</v>
      </c>
    </row>
    <row r="108" spans="2:7">
      <c r="B108" t="s">
        <v>350</v>
      </c>
      <c r="C108" s="263" t="s">
        <v>246</v>
      </c>
      <c r="D108" s="263">
        <v>82.77</v>
      </c>
      <c r="E108" s="263">
        <v>71.88</v>
      </c>
      <c r="F108" s="263">
        <v>65.02</v>
      </c>
      <c r="G108" s="263">
        <v>59.65</v>
      </c>
    </row>
    <row r="109" spans="2:7">
      <c r="B109" t="s">
        <v>351</v>
      </c>
      <c r="C109" s="263" t="s">
        <v>246</v>
      </c>
      <c r="D109" s="263">
        <v>81.09</v>
      </c>
      <c r="E109" s="263">
        <v>72.7</v>
      </c>
      <c r="F109" s="263">
        <v>67.010000000000005</v>
      </c>
      <c r="G109" s="263">
        <v>80</v>
      </c>
    </row>
    <row r="110" spans="2:7">
      <c r="B110" t="s">
        <v>352</v>
      </c>
      <c r="C110" s="2" t="s">
        <v>246</v>
      </c>
      <c r="D110" s="2">
        <v>81.95</v>
      </c>
      <c r="E110" s="2">
        <v>73.63</v>
      </c>
      <c r="F110" s="2">
        <v>65.900000000000006</v>
      </c>
      <c r="G110" s="2">
        <v>77.260000000000005</v>
      </c>
    </row>
    <row r="111" spans="2:7">
      <c r="B111" t="s">
        <v>353</v>
      </c>
      <c r="C111" s="251">
        <v>5</v>
      </c>
      <c r="D111" s="251">
        <v>34</v>
      </c>
      <c r="E111" s="251">
        <v>79</v>
      </c>
      <c r="F111" s="251">
        <v>409</v>
      </c>
      <c r="G111" s="251">
        <v>19</v>
      </c>
    </row>
    <row r="112" spans="2:7">
      <c r="B112" t="s">
        <v>354</v>
      </c>
      <c r="C112" s="285">
        <v>99.14</v>
      </c>
      <c r="D112" s="285">
        <v>83.43</v>
      </c>
      <c r="E112" s="285">
        <v>78.489999999999995</v>
      </c>
      <c r="F112" s="285">
        <v>70.23</v>
      </c>
      <c r="G112" s="285" t="s">
        <v>246</v>
      </c>
    </row>
    <row r="113" spans="2:7">
      <c r="B113" t="s">
        <v>355</v>
      </c>
      <c r="C113" s="257">
        <v>6</v>
      </c>
      <c r="D113" s="257">
        <v>36</v>
      </c>
      <c r="E113" s="257">
        <v>96</v>
      </c>
      <c r="F113" s="257">
        <v>458</v>
      </c>
      <c r="G113" s="257">
        <v>4</v>
      </c>
    </row>
    <row r="114" spans="2:7" ht="22.5">
      <c r="B114" t="s">
        <v>356</v>
      </c>
      <c r="C114" s="318" t="s">
        <v>268</v>
      </c>
      <c r="D114" s="318" t="s">
        <v>269</v>
      </c>
      <c r="E114" s="318" t="s">
        <v>270</v>
      </c>
      <c r="F114" s="318" t="s">
        <v>271</v>
      </c>
      <c r="G114" s="318" t="s">
        <v>272</v>
      </c>
    </row>
    <row r="115" spans="2:7">
      <c r="B115" t="s">
        <v>18</v>
      </c>
      <c r="C115" s="2">
        <v>68.66</v>
      </c>
      <c r="D115" s="2">
        <v>68.66</v>
      </c>
      <c r="E115" s="2">
        <v>68.66</v>
      </c>
      <c r="F115" s="2">
        <v>68.66</v>
      </c>
      <c r="G115" s="2">
        <v>68.66</v>
      </c>
    </row>
    <row r="116" spans="2:7">
      <c r="B116" t="s">
        <v>357</v>
      </c>
      <c r="C116" s="280" t="s">
        <v>246</v>
      </c>
      <c r="D116" s="280">
        <v>84.85</v>
      </c>
      <c r="E116" s="280">
        <v>73.08</v>
      </c>
      <c r="F116" s="280">
        <v>61.9</v>
      </c>
      <c r="G116" s="280">
        <v>84.21</v>
      </c>
    </row>
    <row r="165" spans="2:4">
      <c r="B165" t="s">
        <v>347</v>
      </c>
      <c r="C165" s="263">
        <v>69.12</v>
      </c>
      <c r="D165" s="263">
        <v>70.400000000000006</v>
      </c>
    </row>
    <row r="166" spans="2:4">
      <c r="B166" t="s">
        <v>348</v>
      </c>
      <c r="C166" s="263">
        <v>69.88</v>
      </c>
      <c r="D166" s="263">
        <v>72.09</v>
      </c>
    </row>
    <row r="167" spans="2:4">
      <c r="B167" t="s">
        <v>349</v>
      </c>
      <c r="C167" s="263">
        <v>66.58</v>
      </c>
      <c r="D167" s="263">
        <v>65.19</v>
      </c>
    </row>
    <row r="168" spans="2:4">
      <c r="B168" t="s">
        <v>350</v>
      </c>
      <c r="C168" s="263">
        <v>65.39</v>
      </c>
      <c r="D168" s="263">
        <v>70.290000000000006</v>
      </c>
    </row>
    <row r="169" spans="2:4">
      <c r="B169" t="s">
        <v>351</v>
      </c>
      <c r="C169" s="263">
        <v>67.599999999999994</v>
      </c>
      <c r="D169" s="263">
        <v>72.209999999999994</v>
      </c>
    </row>
    <row r="170" spans="2:4">
      <c r="B170" t="s">
        <v>352</v>
      </c>
      <c r="C170" s="2">
        <v>67.92</v>
      </c>
      <c r="D170" s="2">
        <v>69.959999999999994</v>
      </c>
    </row>
    <row r="171" spans="2:4">
      <c r="B171" t="s">
        <v>353</v>
      </c>
      <c r="C171" s="251">
        <v>346</v>
      </c>
      <c r="D171" s="251">
        <v>200</v>
      </c>
    </row>
    <row r="172" spans="2:4">
      <c r="B172" t="s">
        <v>354</v>
      </c>
      <c r="C172" s="285">
        <v>71.61</v>
      </c>
      <c r="D172" s="285">
        <v>74.44</v>
      </c>
    </row>
    <row r="173" spans="2:4">
      <c r="B173" t="s">
        <v>355</v>
      </c>
      <c r="C173" s="257">
        <v>380</v>
      </c>
      <c r="D173" s="257">
        <v>220</v>
      </c>
    </row>
    <row r="174" spans="2:4">
      <c r="B174" t="s">
        <v>356</v>
      </c>
      <c r="C174" s="318" t="s">
        <v>238</v>
      </c>
      <c r="D174" s="318" t="s">
        <v>239</v>
      </c>
    </row>
    <row r="175" spans="2:4">
      <c r="B175" t="s">
        <v>18</v>
      </c>
      <c r="C175" s="2">
        <v>68.66</v>
      </c>
      <c r="D175" s="2">
        <v>68.66</v>
      </c>
    </row>
    <row r="176" spans="2:4">
      <c r="B176" t="s">
        <v>357</v>
      </c>
      <c r="C176" s="280">
        <v>65.09</v>
      </c>
      <c r="D176" s="280">
        <v>67.86</v>
      </c>
    </row>
    <row r="225" spans="2:7">
      <c r="B225" t="s">
        <v>347</v>
      </c>
      <c r="C225" s="263">
        <v>78.599999999999994</v>
      </c>
      <c r="D225" s="263">
        <v>58.36</v>
      </c>
      <c r="E225" s="263">
        <v>73.680000000000007</v>
      </c>
      <c r="F225" s="263">
        <v>74.14</v>
      </c>
      <c r="G225" s="263">
        <v>76.87</v>
      </c>
    </row>
    <row r="226" spans="2:7">
      <c r="B226" t="s">
        <v>348</v>
      </c>
      <c r="C226" s="263">
        <v>78.05</v>
      </c>
      <c r="D226" s="263">
        <v>62.66</v>
      </c>
      <c r="E226" s="263">
        <v>74.22</v>
      </c>
      <c r="F226" s="263">
        <v>73.290000000000006</v>
      </c>
      <c r="G226" s="263">
        <v>73.260000000000005</v>
      </c>
    </row>
    <row r="227" spans="2:7">
      <c r="B227" t="s">
        <v>349</v>
      </c>
      <c r="C227" s="263">
        <v>70.03</v>
      </c>
      <c r="D227" s="263">
        <v>57.36</v>
      </c>
      <c r="E227" s="263">
        <v>69.459999999999994</v>
      </c>
      <c r="F227" s="263">
        <v>70.27</v>
      </c>
      <c r="G227" s="263">
        <v>68.75</v>
      </c>
    </row>
    <row r="228" spans="2:7">
      <c r="B228" t="s">
        <v>350</v>
      </c>
      <c r="C228" s="263">
        <v>58.81</v>
      </c>
      <c r="D228" s="263">
        <v>55.81</v>
      </c>
      <c r="E228" s="263">
        <v>72.540000000000006</v>
      </c>
      <c r="F228" s="263">
        <v>73.819999999999993</v>
      </c>
      <c r="G228" s="263">
        <v>71.430000000000007</v>
      </c>
    </row>
    <row r="229" spans="2:7">
      <c r="B229" t="s">
        <v>351</v>
      </c>
      <c r="C229" s="263">
        <v>77.2</v>
      </c>
      <c r="D229" s="263">
        <v>62.81</v>
      </c>
      <c r="E229" s="263">
        <v>72.349999999999994</v>
      </c>
      <c r="F229" s="263">
        <v>71.319999999999993</v>
      </c>
      <c r="G229" s="263">
        <v>67.14</v>
      </c>
    </row>
    <row r="230" spans="2:7">
      <c r="B230" t="s">
        <v>352</v>
      </c>
      <c r="C230" s="2">
        <v>73.83</v>
      </c>
      <c r="D230" s="2">
        <v>59.53</v>
      </c>
      <c r="E230" s="2">
        <v>72.44</v>
      </c>
      <c r="F230" s="2">
        <v>72.56</v>
      </c>
      <c r="G230" s="2">
        <v>71.7</v>
      </c>
    </row>
    <row r="231" spans="2:7">
      <c r="B231" t="s">
        <v>353</v>
      </c>
      <c r="C231" s="251">
        <v>25</v>
      </c>
      <c r="D231" s="251">
        <v>163</v>
      </c>
      <c r="E231" s="251">
        <v>209</v>
      </c>
      <c r="F231" s="251">
        <v>128</v>
      </c>
      <c r="G231" s="251">
        <v>21</v>
      </c>
    </row>
    <row r="232" spans="2:7">
      <c r="B232" t="s">
        <v>354</v>
      </c>
      <c r="C232" s="285">
        <v>70.98</v>
      </c>
      <c r="D232" s="285">
        <v>69.53</v>
      </c>
      <c r="E232" s="285">
        <v>75.62</v>
      </c>
      <c r="F232" s="285">
        <v>71.150000000000006</v>
      </c>
      <c r="G232" s="285">
        <v>77.040000000000006</v>
      </c>
    </row>
    <row r="233" spans="2:7">
      <c r="B233" t="s">
        <v>355</v>
      </c>
      <c r="C233" s="257">
        <v>12</v>
      </c>
      <c r="D233" s="257">
        <v>191</v>
      </c>
      <c r="E233" s="257">
        <v>248</v>
      </c>
      <c r="F233" s="257">
        <v>132</v>
      </c>
      <c r="G233" s="257">
        <v>17</v>
      </c>
    </row>
    <row r="234" spans="2:7" ht="22.5">
      <c r="B234" t="s">
        <v>356</v>
      </c>
      <c r="C234" s="318" t="s">
        <v>233</v>
      </c>
      <c r="D234" s="318" t="s">
        <v>234</v>
      </c>
      <c r="E234" s="318" t="s">
        <v>235</v>
      </c>
      <c r="F234" s="318" t="s">
        <v>236</v>
      </c>
      <c r="G234" s="318" t="s">
        <v>237</v>
      </c>
    </row>
    <row r="235" spans="2:7">
      <c r="B235" t="s">
        <v>18</v>
      </c>
      <c r="C235" s="2">
        <v>68.66</v>
      </c>
      <c r="D235" s="2">
        <v>68.66</v>
      </c>
      <c r="E235" s="2">
        <v>68.66</v>
      </c>
      <c r="F235" s="2">
        <v>68.66</v>
      </c>
      <c r="G235" s="2">
        <v>68.66</v>
      </c>
    </row>
    <row r="236" spans="2:7">
      <c r="B236" t="s">
        <v>357</v>
      </c>
      <c r="C236" s="280">
        <v>84</v>
      </c>
      <c r="D236" s="280">
        <v>57.86</v>
      </c>
      <c r="E236" s="280">
        <v>67.98</v>
      </c>
      <c r="F236" s="280">
        <v>70.63</v>
      </c>
      <c r="G236" s="280">
        <v>61.9</v>
      </c>
    </row>
    <row r="285" spans="2:7">
      <c r="B285" t="s">
        <v>347</v>
      </c>
      <c r="C285" s="263">
        <v>72.09</v>
      </c>
      <c r="D285" s="263">
        <v>66.86</v>
      </c>
      <c r="E285" s="263">
        <v>65.319999999999993</v>
      </c>
      <c r="F285" s="263">
        <v>71.78</v>
      </c>
      <c r="G285" s="263">
        <v>78.86</v>
      </c>
    </row>
    <row r="286" spans="2:7">
      <c r="B286" t="s">
        <v>348</v>
      </c>
      <c r="C286" s="263">
        <v>72.489999999999995</v>
      </c>
      <c r="D286" s="263">
        <v>69.510000000000005</v>
      </c>
      <c r="E286" s="263">
        <v>67.040000000000006</v>
      </c>
      <c r="F286" s="263">
        <v>69.86</v>
      </c>
      <c r="G286" s="263">
        <v>78.02</v>
      </c>
    </row>
    <row r="287" spans="2:7">
      <c r="B287" t="s">
        <v>349</v>
      </c>
      <c r="C287" s="263">
        <v>70.17</v>
      </c>
      <c r="D287" s="263">
        <v>63.37</v>
      </c>
      <c r="E287" s="263">
        <v>62.76</v>
      </c>
      <c r="F287" s="263">
        <v>68.44</v>
      </c>
      <c r="G287" s="263">
        <v>72.2</v>
      </c>
    </row>
    <row r="288" spans="2:7">
      <c r="B288" t="s">
        <v>350</v>
      </c>
      <c r="C288" s="263">
        <v>68.23</v>
      </c>
      <c r="D288" s="263">
        <v>64.459999999999994</v>
      </c>
      <c r="E288" s="263">
        <v>63.65</v>
      </c>
      <c r="F288" s="263">
        <v>71.23</v>
      </c>
      <c r="G288" s="263">
        <v>75.430000000000007</v>
      </c>
    </row>
    <row r="289" spans="2:7">
      <c r="B289" t="s">
        <v>351</v>
      </c>
      <c r="C289" s="263">
        <v>72.680000000000007</v>
      </c>
      <c r="D289" s="263">
        <v>66.510000000000005</v>
      </c>
      <c r="E289" s="263">
        <v>66.77</v>
      </c>
      <c r="F289" s="263">
        <v>70</v>
      </c>
      <c r="G289" s="263">
        <v>76.489999999999995</v>
      </c>
    </row>
    <row r="290" spans="2:7">
      <c r="B290" t="s">
        <v>352</v>
      </c>
      <c r="C290" s="2">
        <v>71.45</v>
      </c>
      <c r="D290" s="2">
        <v>66.28</v>
      </c>
      <c r="E290" s="2">
        <v>65.08</v>
      </c>
      <c r="F290" s="2">
        <v>70.23</v>
      </c>
      <c r="G290" s="2">
        <v>76.27</v>
      </c>
    </row>
    <row r="291" spans="2:7">
      <c r="B291" t="s">
        <v>353</v>
      </c>
      <c r="C291" s="251">
        <v>77</v>
      </c>
      <c r="D291" s="251">
        <v>214</v>
      </c>
      <c r="E291" s="251">
        <v>115</v>
      </c>
      <c r="F291" s="251">
        <v>61</v>
      </c>
      <c r="G291" s="251">
        <v>79</v>
      </c>
    </row>
    <row r="292" spans="2:7">
      <c r="B292" t="s">
        <v>354</v>
      </c>
      <c r="C292" s="285">
        <v>76.2</v>
      </c>
      <c r="D292" s="285">
        <v>74.25</v>
      </c>
      <c r="E292" s="285">
        <v>65.959999999999994</v>
      </c>
      <c r="F292" s="285">
        <v>76.19</v>
      </c>
      <c r="G292" s="285">
        <v>73.959999999999994</v>
      </c>
    </row>
    <row r="293" spans="2:7">
      <c r="B293" t="s">
        <v>355</v>
      </c>
      <c r="C293" s="257">
        <v>78</v>
      </c>
      <c r="D293" s="257">
        <v>213</v>
      </c>
      <c r="E293" s="257">
        <v>144</v>
      </c>
      <c r="F293" s="257">
        <v>57</v>
      </c>
      <c r="G293" s="257">
        <v>108</v>
      </c>
    </row>
    <row r="294" spans="2:7" ht="22.5">
      <c r="B294" t="s">
        <v>356</v>
      </c>
      <c r="C294" s="318" t="s">
        <v>273</v>
      </c>
      <c r="D294" s="318" t="s">
        <v>274</v>
      </c>
      <c r="E294" s="318" t="s">
        <v>275</v>
      </c>
      <c r="F294" s="318" t="s">
        <v>276</v>
      </c>
      <c r="G294" s="318" t="s">
        <v>277</v>
      </c>
    </row>
    <row r="295" spans="2:7">
      <c r="B295" t="s">
        <v>18</v>
      </c>
      <c r="C295" s="2">
        <v>68.66</v>
      </c>
      <c r="D295" s="2">
        <v>68.66</v>
      </c>
      <c r="E295" s="2">
        <v>68.66</v>
      </c>
      <c r="F295" s="2">
        <v>68.66</v>
      </c>
      <c r="G295" s="2">
        <v>68.66</v>
      </c>
    </row>
    <row r="296" spans="2:7">
      <c r="B296" t="s">
        <v>357</v>
      </c>
      <c r="C296" s="280">
        <v>77.63</v>
      </c>
      <c r="D296" s="280">
        <v>63.59</v>
      </c>
      <c r="E296" s="280">
        <v>58.41</v>
      </c>
      <c r="F296" s="280">
        <v>68.849999999999994</v>
      </c>
      <c r="G296" s="280">
        <v>70.510000000000005</v>
      </c>
    </row>
    <row r="345" spans="2:4">
      <c r="B345" t="s">
        <v>347</v>
      </c>
      <c r="C345" s="263">
        <v>69.150000000000006</v>
      </c>
      <c r="D345" s="263">
        <v>80.83</v>
      </c>
    </row>
    <row r="346" spans="2:4">
      <c r="B346" t="s">
        <v>348</v>
      </c>
      <c r="C346" s="263">
        <v>70.34</v>
      </c>
      <c r="D346" s="263">
        <v>79.88</v>
      </c>
    </row>
    <row r="347" spans="2:4">
      <c r="B347" t="s">
        <v>349</v>
      </c>
      <c r="C347" s="263">
        <v>65.87</v>
      </c>
      <c r="D347" s="263">
        <v>71.44</v>
      </c>
    </row>
    <row r="348" spans="2:4">
      <c r="B348" t="s">
        <v>350</v>
      </c>
      <c r="C348" s="263">
        <v>67.540000000000006</v>
      </c>
      <c r="D348" s="263">
        <v>57.89</v>
      </c>
    </row>
    <row r="349" spans="2:4">
      <c r="B349" t="s">
        <v>351</v>
      </c>
      <c r="C349" s="263">
        <v>68.95</v>
      </c>
      <c r="D349" s="263">
        <v>78</v>
      </c>
    </row>
    <row r="350" spans="2:4">
      <c r="B350" t="s">
        <v>352</v>
      </c>
      <c r="C350" s="2">
        <v>68.42</v>
      </c>
      <c r="D350" s="2">
        <v>75.09</v>
      </c>
    </row>
    <row r="351" spans="2:4">
      <c r="B351" t="s">
        <v>353</v>
      </c>
      <c r="C351" s="251">
        <v>526</v>
      </c>
      <c r="D351" s="251">
        <v>20</v>
      </c>
    </row>
    <row r="352" spans="2:4">
      <c r="B352" t="s">
        <v>354</v>
      </c>
      <c r="C352" s="285">
        <v>72.680000000000007</v>
      </c>
      <c r="D352" s="285">
        <v>70.2</v>
      </c>
    </row>
    <row r="353" spans="2:4">
      <c r="B353" t="s">
        <v>355</v>
      </c>
      <c r="C353" s="257">
        <v>593</v>
      </c>
      <c r="D353" s="257">
        <v>7</v>
      </c>
    </row>
    <row r="354" spans="2:4" ht="22.5">
      <c r="B354" t="s">
        <v>356</v>
      </c>
      <c r="C354" s="318" t="s">
        <v>278</v>
      </c>
      <c r="D354" s="318" t="s">
        <v>279</v>
      </c>
    </row>
    <row r="355" spans="2:4">
      <c r="B355" t="s">
        <v>18</v>
      </c>
      <c r="C355" s="2">
        <v>68.66</v>
      </c>
      <c r="D355" s="2">
        <v>68.66</v>
      </c>
    </row>
    <row r="356" spans="2:4">
      <c r="B356" t="s">
        <v>357</v>
      </c>
      <c r="C356" s="280">
        <v>65.37</v>
      </c>
      <c r="D356" s="280">
        <v>85</v>
      </c>
    </row>
    <row r="405" spans="2:6">
      <c r="B405" t="s">
        <v>347</v>
      </c>
      <c r="C405" s="263">
        <v>85.24</v>
      </c>
      <c r="D405" s="263">
        <v>74.47</v>
      </c>
      <c r="E405" s="263">
        <v>59.55</v>
      </c>
      <c r="F405" s="263">
        <v>45.68</v>
      </c>
    </row>
    <row r="406" spans="2:6">
      <c r="B406" t="s">
        <v>348</v>
      </c>
      <c r="C406" s="263">
        <v>83.62</v>
      </c>
      <c r="D406" s="263">
        <v>73.55</v>
      </c>
      <c r="E406" s="263">
        <v>62.15</v>
      </c>
      <c r="F406" s="263">
        <v>53.66</v>
      </c>
    </row>
    <row r="407" spans="2:6">
      <c r="B407" t="s">
        <v>349</v>
      </c>
      <c r="C407" s="263">
        <v>78.180000000000007</v>
      </c>
      <c r="D407" s="263">
        <v>68.47</v>
      </c>
      <c r="E407" s="263">
        <v>59.74</v>
      </c>
      <c r="F407" s="263">
        <v>47.13</v>
      </c>
    </row>
    <row r="408" spans="2:6">
      <c r="B408" t="s">
        <v>350</v>
      </c>
      <c r="C408" s="263">
        <v>81.510000000000005</v>
      </c>
      <c r="D408" s="263">
        <v>70.599999999999994</v>
      </c>
      <c r="E408" s="263">
        <v>59.22</v>
      </c>
      <c r="F408" s="263">
        <v>46.96</v>
      </c>
    </row>
    <row r="409" spans="2:6">
      <c r="B409" t="s">
        <v>351</v>
      </c>
      <c r="C409" s="263">
        <v>81.819999999999993</v>
      </c>
      <c r="D409" s="263">
        <v>73.459999999999994</v>
      </c>
      <c r="E409" s="263">
        <v>61.19</v>
      </c>
      <c r="F409" s="263">
        <v>51.38</v>
      </c>
    </row>
    <row r="410" spans="2:6">
      <c r="B410" t="s">
        <v>352</v>
      </c>
      <c r="C410" s="2">
        <v>82.22</v>
      </c>
      <c r="D410" s="2">
        <v>72.290000000000006</v>
      </c>
      <c r="E410" s="2">
        <v>60.39</v>
      </c>
      <c r="F410" s="2">
        <v>48.85</v>
      </c>
    </row>
    <row r="411" spans="2:6">
      <c r="B411" t="s">
        <v>353</v>
      </c>
      <c r="C411" s="251">
        <v>187</v>
      </c>
      <c r="D411" s="251">
        <v>105</v>
      </c>
      <c r="E411" s="251">
        <v>137</v>
      </c>
      <c r="F411" s="251">
        <v>83</v>
      </c>
    </row>
    <row r="412" spans="2:6">
      <c r="B412" t="s">
        <v>354</v>
      </c>
      <c r="C412" s="285">
        <v>82.53</v>
      </c>
      <c r="D412" s="285">
        <v>75.45</v>
      </c>
      <c r="E412" s="285">
        <v>65.260000000000005</v>
      </c>
      <c r="F412" s="285">
        <v>55.45</v>
      </c>
    </row>
    <row r="413" spans="2:6">
      <c r="B413" t="s">
        <v>355</v>
      </c>
      <c r="C413" s="257">
        <v>220</v>
      </c>
      <c r="D413" s="257">
        <v>132</v>
      </c>
      <c r="E413" s="257">
        <v>162</v>
      </c>
      <c r="F413" s="257">
        <v>67</v>
      </c>
    </row>
    <row r="414" spans="2:6">
      <c r="B414" t="s">
        <v>356</v>
      </c>
      <c r="C414" s="318" t="s">
        <v>240</v>
      </c>
      <c r="D414" s="318" t="s">
        <v>241</v>
      </c>
      <c r="E414" s="318" t="s">
        <v>242</v>
      </c>
      <c r="F414" s="318" t="s">
        <v>243</v>
      </c>
    </row>
    <row r="415" spans="2:6">
      <c r="B415" t="s">
        <v>18</v>
      </c>
      <c r="C415" s="2">
        <v>68.66</v>
      </c>
      <c r="D415" s="2">
        <v>68.66</v>
      </c>
      <c r="E415" s="2">
        <v>68.66</v>
      </c>
      <c r="F415" s="2">
        <v>68.66</v>
      </c>
    </row>
    <row r="416" spans="2:6">
      <c r="B416" t="s">
        <v>357</v>
      </c>
      <c r="C416" s="280">
        <v>79.680000000000007</v>
      </c>
      <c r="D416" s="280">
        <v>73.33</v>
      </c>
      <c r="E416" s="280">
        <v>58.39</v>
      </c>
      <c r="F416" s="280">
        <v>40.96</v>
      </c>
    </row>
    <row r="465" spans="2:9">
      <c r="B465" t="s">
        <v>347</v>
      </c>
      <c r="C465" s="263">
        <v>48.98</v>
      </c>
      <c r="D465" s="263">
        <v>76.430000000000007</v>
      </c>
      <c r="E465" s="263">
        <v>49.46</v>
      </c>
      <c r="F465" s="263" t="s">
        <v>246</v>
      </c>
      <c r="G465" s="263" t="s">
        <v>246</v>
      </c>
      <c r="H465" s="263">
        <v>49.01</v>
      </c>
      <c r="I465" s="263" t="s">
        <v>246</v>
      </c>
    </row>
    <row r="466" spans="2:9">
      <c r="B466" t="s">
        <v>348</v>
      </c>
      <c r="C466" s="263">
        <v>54.95</v>
      </c>
      <c r="D466" s="263">
        <v>70.510000000000005</v>
      </c>
      <c r="E466" s="263">
        <v>58.99</v>
      </c>
      <c r="F466" s="263" t="s">
        <v>246</v>
      </c>
      <c r="G466" s="263" t="s">
        <v>246</v>
      </c>
      <c r="H466" s="263">
        <v>54.19</v>
      </c>
      <c r="I466" s="263" t="s">
        <v>246</v>
      </c>
    </row>
    <row r="467" spans="2:9">
      <c r="B467" t="s">
        <v>349</v>
      </c>
      <c r="C467" s="263">
        <v>50.79</v>
      </c>
      <c r="D467" s="263">
        <v>58.33</v>
      </c>
      <c r="E467" s="263">
        <v>48.37</v>
      </c>
      <c r="F467" s="263" t="s">
        <v>246</v>
      </c>
      <c r="G467" s="263" t="s">
        <v>246</v>
      </c>
      <c r="H467" s="263">
        <v>50</v>
      </c>
      <c r="I467" s="263" t="s">
        <v>246</v>
      </c>
    </row>
    <row r="468" spans="2:9">
      <c r="B468" t="s">
        <v>350</v>
      </c>
      <c r="C468" s="263">
        <v>53.57</v>
      </c>
      <c r="D468" s="263">
        <v>72.92</v>
      </c>
      <c r="E468" s="263">
        <v>49.1</v>
      </c>
      <c r="F468" s="263" t="s">
        <v>246</v>
      </c>
      <c r="G468" s="263" t="s">
        <v>246</v>
      </c>
      <c r="H468" s="263">
        <v>53.77</v>
      </c>
      <c r="I468" s="263" t="s">
        <v>246</v>
      </c>
    </row>
    <row r="469" spans="2:9">
      <c r="B469" t="s">
        <v>351</v>
      </c>
      <c r="C469" s="263">
        <v>63.81</v>
      </c>
      <c r="D469" s="263">
        <v>70</v>
      </c>
      <c r="E469" s="263">
        <v>50.09</v>
      </c>
      <c r="F469" s="263" t="s">
        <v>246</v>
      </c>
      <c r="G469" s="263" t="s">
        <v>246</v>
      </c>
      <c r="H469" s="263">
        <v>56.35</v>
      </c>
      <c r="I469" s="263" t="s">
        <v>246</v>
      </c>
    </row>
    <row r="470" spans="2:9">
      <c r="B470" t="s">
        <v>352</v>
      </c>
      <c r="C470" s="2">
        <v>53.78</v>
      </c>
      <c r="D470" s="2">
        <v>69.599999999999994</v>
      </c>
      <c r="E470" s="2">
        <v>51.49</v>
      </c>
      <c r="F470" s="2" t="s">
        <v>246</v>
      </c>
      <c r="G470" s="2" t="s">
        <v>246</v>
      </c>
      <c r="H470" s="2">
        <v>52.19</v>
      </c>
      <c r="I470" s="2" t="s">
        <v>246</v>
      </c>
    </row>
    <row r="471" spans="2:9">
      <c r="B471" t="s">
        <v>353</v>
      </c>
      <c r="C471" s="251">
        <v>7</v>
      </c>
      <c r="D471" s="251">
        <v>6</v>
      </c>
      <c r="E471" s="251">
        <v>54</v>
      </c>
      <c r="F471" s="251">
        <v>5</v>
      </c>
      <c r="G471" s="251">
        <v>5</v>
      </c>
      <c r="H471" s="251">
        <v>41</v>
      </c>
      <c r="I471" s="251">
        <v>3</v>
      </c>
    </row>
    <row r="472" spans="2:9">
      <c r="B472" t="s">
        <v>354</v>
      </c>
      <c r="C472" s="285">
        <v>57.47</v>
      </c>
      <c r="D472" s="285">
        <v>54.46</v>
      </c>
      <c r="E472" s="285">
        <v>61.25</v>
      </c>
      <c r="F472" s="285" t="s">
        <v>246</v>
      </c>
      <c r="G472" s="285" t="s">
        <v>246</v>
      </c>
      <c r="H472" s="285">
        <v>63.07</v>
      </c>
      <c r="I472" s="285" t="s">
        <v>246</v>
      </c>
    </row>
    <row r="473" spans="2:9">
      <c r="B473" t="s">
        <v>355</v>
      </c>
      <c r="C473" s="257">
        <v>9</v>
      </c>
      <c r="D473" s="257">
        <v>61</v>
      </c>
      <c r="E473" s="257">
        <v>35</v>
      </c>
      <c r="F473" s="257">
        <v>2</v>
      </c>
      <c r="G473" s="257">
        <v>3</v>
      </c>
      <c r="H473" s="257">
        <v>41</v>
      </c>
      <c r="I473" s="257">
        <v>5</v>
      </c>
    </row>
    <row r="474" spans="2:9" ht="45">
      <c r="B474" t="s">
        <v>356</v>
      </c>
      <c r="C474" s="319" t="s">
        <v>261</v>
      </c>
      <c r="D474" s="319" t="s">
        <v>262</v>
      </c>
      <c r="E474" s="319" t="s">
        <v>280</v>
      </c>
      <c r="F474" s="319" t="s">
        <v>281</v>
      </c>
      <c r="G474" s="319" t="s">
        <v>282</v>
      </c>
      <c r="H474" s="319" t="s">
        <v>283</v>
      </c>
      <c r="I474" s="319" t="s">
        <v>284</v>
      </c>
    </row>
    <row r="475" spans="2:9">
      <c r="B475" t="s">
        <v>18</v>
      </c>
      <c r="C475" s="2">
        <v>68.66</v>
      </c>
      <c r="D475" s="2">
        <v>68.66</v>
      </c>
      <c r="E475" s="2">
        <v>68.66</v>
      </c>
      <c r="F475" s="2">
        <v>68.66</v>
      </c>
      <c r="G475" s="2">
        <v>68.66</v>
      </c>
      <c r="H475" s="2">
        <v>68.66</v>
      </c>
      <c r="I475" s="2">
        <v>68.66</v>
      </c>
    </row>
    <row r="476" spans="2:9">
      <c r="B476" t="s">
        <v>357</v>
      </c>
      <c r="C476" s="280">
        <v>42.86</v>
      </c>
      <c r="D476" s="280">
        <v>66.67</v>
      </c>
      <c r="E476" s="280">
        <v>52.94</v>
      </c>
      <c r="F476" s="280" t="s">
        <v>246</v>
      </c>
      <c r="G476" s="280" t="s">
        <v>246</v>
      </c>
      <c r="H476" s="280">
        <v>42.51</v>
      </c>
      <c r="I476" s="280" t="s">
        <v>246</v>
      </c>
    </row>
    <row r="525" spans="2:9">
      <c r="B525" t="s">
        <v>347</v>
      </c>
      <c r="C525" s="263">
        <v>85.59</v>
      </c>
      <c r="D525" s="263">
        <v>73.02</v>
      </c>
      <c r="E525" s="263">
        <v>87.98</v>
      </c>
      <c r="F525" s="263" t="s">
        <v>246</v>
      </c>
      <c r="G525" s="263" t="s">
        <v>246</v>
      </c>
      <c r="H525" s="263">
        <v>89.8</v>
      </c>
      <c r="I525" s="263">
        <v>60.51</v>
      </c>
    </row>
    <row r="526" spans="2:9">
      <c r="B526" t="s">
        <v>348</v>
      </c>
      <c r="C526" s="263">
        <v>83.77</v>
      </c>
      <c r="D526" s="263">
        <v>73.709999999999994</v>
      </c>
      <c r="E526" s="263">
        <v>80.48</v>
      </c>
      <c r="F526" s="263" t="s">
        <v>246</v>
      </c>
      <c r="G526" s="263" t="s">
        <v>246</v>
      </c>
      <c r="H526" s="263">
        <v>82.42</v>
      </c>
      <c r="I526" s="263">
        <v>62.44</v>
      </c>
    </row>
    <row r="527" spans="2:9">
      <c r="B527" t="s">
        <v>349</v>
      </c>
      <c r="C527" s="263">
        <v>79.92</v>
      </c>
      <c r="D527" s="263">
        <v>70.569999999999993</v>
      </c>
      <c r="E527" s="263">
        <v>75.2</v>
      </c>
      <c r="F527" s="263" t="s">
        <v>246</v>
      </c>
      <c r="G527" s="263" t="s">
        <v>246</v>
      </c>
      <c r="H527" s="263">
        <v>72.819999999999993</v>
      </c>
      <c r="I527" s="263">
        <v>59.31</v>
      </c>
    </row>
    <row r="528" spans="2:9">
      <c r="B528" t="s">
        <v>350</v>
      </c>
      <c r="C528" s="263">
        <v>80.17</v>
      </c>
      <c r="D528" s="263">
        <v>69.489999999999995</v>
      </c>
      <c r="E528" s="263">
        <v>78.959999999999994</v>
      </c>
      <c r="F528" s="263" t="s">
        <v>246</v>
      </c>
      <c r="G528" s="263" t="s">
        <v>246</v>
      </c>
      <c r="H528" s="263">
        <v>71.430000000000007</v>
      </c>
      <c r="I528" s="263">
        <v>57.35</v>
      </c>
    </row>
    <row r="529" spans="2:9">
      <c r="B529" t="s">
        <v>351</v>
      </c>
      <c r="C529" s="263">
        <v>81.650000000000006</v>
      </c>
      <c r="D529" s="263">
        <v>76.489999999999995</v>
      </c>
      <c r="E529" s="263">
        <v>74.150000000000006</v>
      </c>
      <c r="F529" s="263" t="s">
        <v>246</v>
      </c>
      <c r="G529" s="263" t="s">
        <v>246</v>
      </c>
      <c r="H529" s="263">
        <v>82.86</v>
      </c>
      <c r="I529" s="263">
        <v>56.47</v>
      </c>
    </row>
    <row r="530" spans="2:9">
      <c r="B530" t="s">
        <v>352</v>
      </c>
      <c r="C530" s="2">
        <v>82.58</v>
      </c>
      <c r="D530" s="2">
        <v>72.69</v>
      </c>
      <c r="E530" s="2">
        <v>79.94</v>
      </c>
      <c r="F530" s="2" t="s">
        <v>246</v>
      </c>
      <c r="G530" s="2" t="s">
        <v>246</v>
      </c>
      <c r="H530" s="2">
        <v>80.58</v>
      </c>
      <c r="I530" s="2">
        <v>59.53</v>
      </c>
    </row>
    <row r="531" spans="2:9">
      <c r="B531" t="s">
        <v>353</v>
      </c>
      <c r="C531" s="251">
        <v>22</v>
      </c>
      <c r="D531" s="251">
        <v>157</v>
      </c>
      <c r="E531" s="251">
        <v>41</v>
      </c>
      <c r="F531" s="251">
        <v>5</v>
      </c>
      <c r="G531" s="251">
        <v>4</v>
      </c>
      <c r="H531" s="251">
        <v>7</v>
      </c>
      <c r="I531" s="251">
        <v>17</v>
      </c>
    </row>
    <row r="532" spans="2:9">
      <c r="B532" t="s">
        <v>354</v>
      </c>
      <c r="C532" s="285">
        <v>87.6</v>
      </c>
      <c r="D532" s="285">
        <v>80.55</v>
      </c>
      <c r="E532" s="285">
        <v>76.48</v>
      </c>
      <c r="F532" s="285" t="s">
        <v>246</v>
      </c>
      <c r="G532" s="285" t="s">
        <v>246</v>
      </c>
      <c r="H532" s="285">
        <v>88.89</v>
      </c>
      <c r="I532" s="285">
        <v>76.92</v>
      </c>
    </row>
    <row r="533" spans="2:9">
      <c r="B533" t="s">
        <v>355</v>
      </c>
      <c r="C533" s="257">
        <v>21</v>
      </c>
      <c r="D533" s="257">
        <v>169</v>
      </c>
      <c r="E533" s="257">
        <v>47</v>
      </c>
      <c r="F533" s="257">
        <v>4</v>
      </c>
      <c r="G533" s="257">
        <v>5</v>
      </c>
      <c r="H533" s="257">
        <v>9</v>
      </c>
      <c r="I533" s="257">
        <v>12</v>
      </c>
    </row>
    <row r="534" spans="2:9" ht="45">
      <c r="B534" t="s">
        <v>356</v>
      </c>
      <c r="C534" s="319" t="s">
        <v>285</v>
      </c>
      <c r="D534" s="319" t="s">
        <v>286</v>
      </c>
      <c r="E534" s="319" t="s">
        <v>287</v>
      </c>
      <c r="F534" s="319" t="s">
        <v>288</v>
      </c>
      <c r="G534" s="319" t="s">
        <v>289</v>
      </c>
      <c r="H534" s="319" t="s">
        <v>290</v>
      </c>
      <c r="I534" s="319" t="s">
        <v>291</v>
      </c>
    </row>
    <row r="535" spans="2:9">
      <c r="B535" t="s">
        <v>18</v>
      </c>
      <c r="C535" s="2">
        <v>68.66</v>
      </c>
      <c r="D535" s="2">
        <v>68.66</v>
      </c>
      <c r="E535" s="2">
        <v>68.66</v>
      </c>
      <c r="F535" s="2">
        <v>68.66</v>
      </c>
      <c r="G535" s="2">
        <v>68.66</v>
      </c>
      <c r="H535" s="2">
        <v>68.66</v>
      </c>
      <c r="I535" s="2">
        <v>68.66</v>
      </c>
    </row>
    <row r="536" spans="2:9">
      <c r="B536" t="s">
        <v>357</v>
      </c>
      <c r="C536" s="280">
        <v>85.71</v>
      </c>
      <c r="D536" s="280">
        <v>67.95</v>
      </c>
      <c r="E536" s="280">
        <v>82.93</v>
      </c>
      <c r="F536" s="280" t="s">
        <v>246</v>
      </c>
      <c r="G536" s="280" t="s">
        <v>246</v>
      </c>
      <c r="H536" s="280">
        <v>71.430000000000007</v>
      </c>
      <c r="I536" s="280">
        <v>58.82</v>
      </c>
    </row>
    <row r="585" spans="2:9">
      <c r="B585" t="s">
        <v>347</v>
      </c>
      <c r="C585" s="263" t="s">
        <v>246</v>
      </c>
      <c r="D585" s="263" t="s">
        <v>246</v>
      </c>
      <c r="E585" s="263">
        <v>76.2</v>
      </c>
      <c r="F585" s="263" t="s">
        <v>246</v>
      </c>
      <c r="G585" s="263">
        <v>72.62</v>
      </c>
      <c r="H585" s="263">
        <v>65.48</v>
      </c>
      <c r="I585" s="263">
        <v>59.21</v>
      </c>
    </row>
    <row r="586" spans="2:9">
      <c r="B586" t="s">
        <v>348</v>
      </c>
      <c r="C586" s="263" t="s">
        <v>246</v>
      </c>
      <c r="D586" s="263" t="s">
        <v>246</v>
      </c>
      <c r="E586" s="263">
        <v>74.12</v>
      </c>
      <c r="F586" s="263" t="s">
        <v>246</v>
      </c>
      <c r="G586" s="263">
        <v>80.45</v>
      </c>
      <c r="H586" s="263">
        <v>75.64</v>
      </c>
      <c r="I586" s="263">
        <v>61.92</v>
      </c>
    </row>
    <row r="587" spans="2:9">
      <c r="B587" t="s">
        <v>349</v>
      </c>
      <c r="C587" s="263" t="s">
        <v>246</v>
      </c>
      <c r="D587" s="263" t="s">
        <v>246</v>
      </c>
      <c r="E587" s="263">
        <v>71.989999999999995</v>
      </c>
      <c r="F587" s="263" t="s">
        <v>246</v>
      </c>
      <c r="G587" s="263">
        <v>68.87</v>
      </c>
      <c r="H587" s="263">
        <v>72.22</v>
      </c>
      <c r="I587" s="263">
        <v>58.99</v>
      </c>
    </row>
    <row r="588" spans="2:9">
      <c r="B588" t="s">
        <v>350</v>
      </c>
      <c r="C588" s="263" t="s">
        <v>246</v>
      </c>
      <c r="D588" s="263" t="s">
        <v>246</v>
      </c>
      <c r="E588" s="263">
        <v>73.37</v>
      </c>
      <c r="F588" s="263" t="s">
        <v>246</v>
      </c>
      <c r="G588" s="263">
        <v>76.040000000000006</v>
      </c>
      <c r="H588" s="263">
        <v>81.25</v>
      </c>
      <c r="I588" s="263">
        <v>62.7</v>
      </c>
    </row>
    <row r="589" spans="2:9">
      <c r="B589" t="s">
        <v>351</v>
      </c>
      <c r="C589" s="263" t="s">
        <v>246</v>
      </c>
      <c r="D589" s="263" t="s">
        <v>246</v>
      </c>
      <c r="E589" s="263">
        <v>72.12</v>
      </c>
      <c r="F589" s="263" t="s">
        <v>246</v>
      </c>
      <c r="G589" s="263">
        <v>85.56</v>
      </c>
      <c r="H589" s="263">
        <v>66.67</v>
      </c>
      <c r="I589" s="263">
        <v>62.89</v>
      </c>
    </row>
    <row r="590" spans="2:9">
      <c r="B590" t="s">
        <v>352</v>
      </c>
      <c r="C590" s="2" t="s">
        <v>246</v>
      </c>
      <c r="D590" s="2" t="s">
        <v>246</v>
      </c>
      <c r="E590" s="2">
        <v>73.709999999999994</v>
      </c>
      <c r="F590" s="2" t="s">
        <v>246</v>
      </c>
      <c r="G590" s="2">
        <v>76.13</v>
      </c>
      <c r="H590" s="2">
        <v>72.13</v>
      </c>
      <c r="I590" s="2">
        <v>60.86</v>
      </c>
    </row>
    <row r="591" spans="2:9">
      <c r="B591" t="s">
        <v>353</v>
      </c>
      <c r="C591" s="251">
        <v>5</v>
      </c>
      <c r="D591" s="251">
        <v>2</v>
      </c>
      <c r="E591" s="251">
        <v>110</v>
      </c>
      <c r="F591" s="251">
        <v>2</v>
      </c>
      <c r="G591" s="251">
        <v>9</v>
      </c>
      <c r="H591" s="251">
        <v>6</v>
      </c>
      <c r="I591" s="251">
        <v>38</v>
      </c>
    </row>
    <row r="592" spans="2:9">
      <c r="B592" t="s">
        <v>354</v>
      </c>
      <c r="C592" s="285" t="s">
        <v>246</v>
      </c>
      <c r="D592" s="285" t="s">
        <v>246</v>
      </c>
      <c r="E592" s="285">
        <v>75.38</v>
      </c>
      <c r="F592" s="285" t="s">
        <v>246</v>
      </c>
      <c r="G592" s="285">
        <v>77.62</v>
      </c>
      <c r="H592" s="285">
        <v>76.150000000000006</v>
      </c>
      <c r="I592" s="285">
        <v>68.61</v>
      </c>
    </row>
    <row r="593" spans="2:9">
      <c r="B593" t="s">
        <v>355</v>
      </c>
      <c r="C593" s="257">
        <v>5</v>
      </c>
      <c r="D593" s="257">
        <v>1</v>
      </c>
      <c r="E593" s="257">
        <v>126</v>
      </c>
      <c r="F593" s="257">
        <v>1</v>
      </c>
      <c r="G593" s="257">
        <v>10</v>
      </c>
      <c r="H593" s="257">
        <v>6</v>
      </c>
      <c r="I593" s="257">
        <v>37</v>
      </c>
    </row>
    <row r="594" spans="2:9" ht="22.5">
      <c r="B594" t="s">
        <v>356</v>
      </c>
      <c r="C594" s="319" t="s">
        <v>292</v>
      </c>
      <c r="D594" s="319" t="s">
        <v>293</v>
      </c>
      <c r="E594" s="320" t="s">
        <v>294</v>
      </c>
      <c r="F594" s="319" t="s">
        <v>295</v>
      </c>
      <c r="G594" s="319" t="s">
        <v>296</v>
      </c>
      <c r="H594" s="319" t="s">
        <v>297</v>
      </c>
      <c r="I594" s="319" t="s">
        <v>298</v>
      </c>
    </row>
    <row r="595" spans="2:9">
      <c r="B595" t="s">
        <v>18</v>
      </c>
      <c r="C595" s="2">
        <v>68.66</v>
      </c>
      <c r="D595" s="2">
        <v>68.66</v>
      </c>
      <c r="E595" s="2">
        <v>68.66</v>
      </c>
      <c r="F595" s="2">
        <v>68.66</v>
      </c>
      <c r="G595" s="2">
        <v>68.66</v>
      </c>
      <c r="H595" s="2">
        <v>68.66</v>
      </c>
      <c r="I595" s="2">
        <v>68.66</v>
      </c>
    </row>
    <row r="596" spans="2:9">
      <c r="B596" t="s">
        <v>357</v>
      </c>
      <c r="C596" s="280" t="s">
        <v>246</v>
      </c>
      <c r="D596" s="280" t="s">
        <v>246</v>
      </c>
      <c r="E596" s="280">
        <v>72.64</v>
      </c>
      <c r="F596" s="280" t="s">
        <v>246</v>
      </c>
      <c r="G596" s="280">
        <v>62.51</v>
      </c>
      <c r="H596" s="280">
        <v>100</v>
      </c>
      <c r="I596" s="280">
        <v>57.89</v>
      </c>
    </row>
    <row r="645" spans="2:4">
      <c r="B645" t="s">
        <v>347</v>
      </c>
      <c r="C645" s="263" t="s">
        <v>246</v>
      </c>
      <c r="D645" s="263">
        <v>46.43</v>
      </c>
    </row>
    <row r="646" spans="2:4">
      <c r="B646" t="s">
        <v>348</v>
      </c>
      <c r="C646" s="263" t="s">
        <v>246</v>
      </c>
      <c r="D646" s="263">
        <v>52.56</v>
      </c>
    </row>
    <row r="647" spans="2:4">
      <c r="B647" t="s">
        <v>349</v>
      </c>
      <c r="C647" s="263" t="s">
        <v>246</v>
      </c>
      <c r="D647" s="263">
        <v>49.44</v>
      </c>
    </row>
    <row r="648" spans="2:4">
      <c r="B648" t="s">
        <v>350</v>
      </c>
      <c r="C648" s="263" t="s">
        <v>246</v>
      </c>
      <c r="D648" s="263">
        <v>45.83</v>
      </c>
    </row>
    <row r="649" spans="2:4">
      <c r="B649" t="s">
        <v>351</v>
      </c>
      <c r="C649" s="263" t="s">
        <v>246</v>
      </c>
      <c r="D649" s="263">
        <v>57.67</v>
      </c>
    </row>
    <row r="650" spans="2:4">
      <c r="B650" t="s">
        <v>352</v>
      </c>
      <c r="C650" s="2" t="s">
        <v>246</v>
      </c>
      <c r="D650" s="2">
        <v>50.06</v>
      </c>
    </row>
    <row r="651" spans="2:4">
      <c r="B651" t="s">
        <v>353</v>
      </c>
      <c r="C651" s="251">
        <v>1</v>
      </c>
      <c r="D651" s="251">
        <v>6</v>
      </c>
    </row>
    <row r="652" spans="2:4">
      <c r="B652" t="s">
        <v>354</v>
      </c>
      <c r="C652" s="285" t="s">
        <v>246</v>
      </c>
      <c r="D652" s="285">
        <v>59.05</v>
      </c>
    </row>
    <row r="653" spans="2:4">
      <c r="B653" t="s">
        <v>355</v>
      </c>
      <c r="C653" s="257">
        <v>1</v>
      </c>
      <c r="D653" s="257">
        <v>8</v>
      </c>
    </row>
    <row r="654" spans="2:4" ht="56.25">
      <c r="B654" t="s">
        <v>356</v>
      </c>
      <c r="C654" s="321" t="s">
        <v>299</v>
      </c>
      <c r="D654" s="321" t="s">
        <v>300</v>
      </c>
    </row>
    <row r="655" spans="2:4">
      <c r="B655" t="s">
        <v>18</v>
      </c>
      <c r="C655" s="2">
        <v>68.66</v>
      </c>
      <c r="D655" s="2">
        <v>68.66</v>
      </c>
    </row>
    <row r="656" spans="2:4">
      <c r="B656" t="s">
        <v>357</v>
      </c>
      <c r="C656" s="280" t="s">
        <v>246</v>
      </c>
      <c r="D656" s="280">
        <v>33.33</v>
      </c>
    </row>
    <row r="705" spans="2:6">
      <c r="B705" t="s">
        <v>347</v>
      </c>
      <c r="C705" s="263" t="s">
        <v>246</v>
      </c>
      <c r="D705" s="263" t="s">
        <v>246</v>
      </c>
      <c r="E705" s="263" t="s">
        <v>246</v>
      </c>
      <c r="F705" s="263" t="s">
        <v>246</v>
      </c>
    </row>
    <row r="706" spans="2:6">
      <c r="B706" t="s">
        <v>348</v>
      </c>
      <c r="C706" s="263" t="s">
        <v>246</v>
      </c>
      <c r="D706" s="263" t="s">
        <v>246</v>
      </c>
      <c r="E706" s="263" t="s">
        <v>246</v>
      </c>
      <c r="F706" s="263" t="s">
        <v>246</v>
      </c>
    </row>
    <row r="707" spans="2:6">
      <c r="B707" t="s">
        <v>349</v>
      </c>
      <c r="C707" s="263" t="s">
        <v>246</v>
      </c>
      <c r="D707" s="263" t="s">
        <v>246</v>
      </c>
      <c r="E707" s="263" t="s">
        <v>246</v>
      </c>
      <c r="F707" s="263" t="s">
        <v>246</v>
      </c>
    </row>
    <row r="708" spans="2:6">
      <c r="B708" t="s">
        <v>350</v>
      </c>
      <c r="C708" s="263" t="s">
        <v>246</v>
      </c>
      <c r="D708" s="263" t="s">
        <v>246</v>
      </c>
      <c r="E708" s="263" t="s">
        <v>246</v>
      </c>
      <c r="F708" s="263" t="s">
        <v>246</v>
      </c>
    </row>
    <row r="709" spans="2:6">
      <c r="B709" t="s">
        <v>351</v>
      </c>
      <c r="C709" s="263" t="s">
        <v>246</v>
      </c>
      <c r="D709" s="263" t="s">
        <v>246</v>
      </c>
      <c r="E709" s="263" t="s">
        <v>246</v>
      </c>
      <c r="F709" s="263" t="s">
        <v>246</v>
      </c>
    </row>
    <row r="710" spans="2:6">
      <c r="B710" t="s">
        <v>352</v>
      </c>
      <c r="C710" s="2" t="s">
        <v>246</v>
      </c>
      <c r="D710" s="2" t="s">
        <v>246</v>
      </c>
      <c r="E710" s="2" t="s">
        <v>246</v>
      </c>
      <c r="F710" s="2" t="s">
        <v>246</v>
      </c>
    </row>
    <row r="711" spans="2:6">
      <c r="B711" t="s">
        <v>353</v>
      </c>
      <c r="C711" s="251">
        <v>1</v>
      </c>
      <c r="D711" s="251">
        <v>1</v>
      </c>
      <c r="E711" s="251">
        <v>4</v>
      </c>
      <c r="F711" s="251">
        <v>0</v>
      </c>
    </row>
    <row r="712" spans="2:6">
      <c r="B712" t="s">
        <v>354</v>
      </c>
      <c r="C712" s="285" t="s">
        <v>246</v>
      </c>
      <c r="D712" s="285" t="s">
        <v>246</v>
      </c>
      <c r="E712" s="285" t="s">
        <v>246</v>
      </c>
      <c r="F712" s="285">
        <v>53.71</v>
      </c>
    </row>
    <row r="713" spans="2:6">
      <c r="B713" t="s">
        <v>355</v>
      </c>
      <c r="C713" s="257">
        <v>2</v>
      </c>
      <c r="D713" s="257">
        <v>4</v>
      </c>
      <c r="E713" s="257">
        <v>1</v>
      </c>
      <c r="F713" s="257">
        <v>24</v>
      </c>
    </row>
    <row r="714" spans="2:6" ht="67.5">
      <c r="B714" t="s">
        <v>356</v>
      </c>
      <c r="C714" s="321" t="s">
        <v>301</v>
      </c>
      <c r="D714" s="321" t="s">
        <v>302</v>
      </c>
      <c r="E714" s="321" t="s">
        <v>303</v>
      </c>
      <c r="F714" s="321" t="s">
        <v>304</v>
      </c>
    </row>
    <row r="715" spans="2:6">
      <c r="B715" t="s">
        <v>18</v>
      </c>
      <c r="C715" s="2">
        <v>68.66</v>
      </c>
      <c r="D715" s="2">
        <v>68.66</v>
      </c>
      <c r="E715" s="2">
        <v>68.66</v>
      </c>
      <c r="F715" s="2">
        <v>68.66</v>
      </c>
    </row>
    <row r="716" spans="2:6">
      <c r="B716" t="s">
        <v>357</v>
      </c>
      <c r="C716" s="280" t="s">
        <v>246</v>
      </c>
      <c r="D716" s="280" t="s">
        <v>246</v>
      </c>
      <c r="E716" s="280" t="s">
        <v>246</v>
      </c>
      <c r="F716" s="280" t="s">
        <v>246</v>
      </c>
    </row>
    <row r="765" spans="2:6">
      <c r="B765" t="s">
        <v>347</v>
      </c>
      <c r="C765" s="263" t="s">
        <v>246</v>
      </c>
      <c r="D765" s="263" t="s">
        <v>246</v>
      </c>
      <c r="E765" s="263">
        <v>50.44</v>
      </c>
      <c r="F765" s="263">
        <v>44.12</v>
      </c>
    </row>
    <row r="766" spans="2:6">
      <c r="B766" t="s">
        <v>348</v>
      </c>
      <c r="C766" s="263" t="s">
        <v>246</v>
      </c>
      <c r="D766" s="263" t="s">
        <v>246</v>
      </c>
      <c r="E766" s="263">
        <v>63.32</v>
      </c>
      <c r="F766" s="263">
        <v>48.42</v>
      </c>
    </row>
    <row r="767" spans="2:6">
      <c r="B767" t="s">
        <v>349</v>
      </c>
      <c r="C767" s="263" t="s">
        <v>246</v>
      </c>
      <c r="D767" s="263" t="s">
        <v>246</v>
      </c>
      <c r="E767" s="263">
        <v>47.48</v>
      </c>
      <c r="F767" s="263">
        <v>47.55</v>
      </c>
    </row>
    <row r="768" spans="2:6">
      <c r="B768" t="s">
        <v>350</v>
      </c>
      <c r="C768" s="263" t="s">
        <v>246</v>
      </c>
      <c r="D768" s="263" t="s">
        <v>246</v>
      </c>
      <c r="E768" s="263">
        <v>53.27</v>
      </c>
      <c r="F768" s="263">
        <v>39.71</v>
      </c>
    </row>
    <row r="769" spans="2:6">
      <c r="B769" t="s">
        <v>351</v>
      </c>
      <c r="C769" s="263" t="s">
        <v>246</v>
      </c>
      <c r="D769" s="263" t="s">
        <v>246</v>
      </c>
      <c r="E769" s="263">
        <v>56.11</v>
      </c>
      <c r="F769" s="263">
        <v>37.06</v>
      </c>
    </row>
    <row r="770" spans="2:6">
      <c r="B770" t="s">
        <v>352</v>
      </c>
      <c r="C770" s="2" t="s">
        <v>246</v>
      </c>
      <c r="D770" s="2" t="s">
        <v>246</v>
      </c>
      <c r="E770" s="2">
        <v>54.29</v>
      </c>
      <c r="F770" s="2">
        <v>43.81</v>
      </c>
    </row>
    <row r="771" spans="2:6">
      <c r="B771" t="s">
        <v>353</v>
      </c>
      <c r="C771" s="251">
        <v>1</v>
      </c>
      <c r="D771" s="251">
        <v>1</v>
      </c>
      <c r="E771" s="251">
        <v>35</v>
      </c>
      <c r="F771" s="251">
        <v>17</v>
      </c>
    </row>
    <row r="772" spans="2:6">
      <c r="B772" t="s">
        <v>354</v>
      </c>
      <c r="C772" s="285" t="s">
        <v>246</v>
      </c>
      <c r="D772" s="285" t="s">
        <v>246</v>
      </c>
      <c r="E772" s="285" t="s">
        <v>246</v>
      </c>
      <c r="F772" s="285" t="s">
        <v>246</v>
      </c>
    </row>
    <row r="773" spans="2:6">
      <c r="B773" t="s">
        <v>355</v>
      </c>
      <c r="C773" s="257" t="s">
        <v>11</v>
      </c>
      <c r="D773" s="257" t="s">
        <v>11</v>
      </c>
      <c r="E773" s="257" t="s">
        <v>11</v>
      </c>
      <c r="F773" s="257" t="s">
        <v>11</v>
      </c>
    </row>
    <row r="774" spans="2:6" ht="45">
      <c r="B774" t="s">
        <v>356</v>
      </c>
      <c r="C774" s="321" t="s">
        <v>305</v>
      </c>
      <c r="D774" s="321" t="s">
        <v>306</v>
      </c>
      <c r="E774" s="321" t="s">
        <v>307</v>
      </c>
      <c r="F774" s="321" t="s">
        <v>308</v>
      </c>
    </row>
    <row r="775" spans="2:6">
      <c r="B775" t="s">
        <v>18</v>
      </c>
      <c r="C775" s="2">
        <v>68.66</v>
      </c>
      <c r="D775" s="2">
        <v>68.66</v>
      </c>
      <c r="E775" s="2">
        <v>68.66</v>
      </c>
      <c r="F775" s="2">
        <v>68.66</v>
      </c>
    </row>
    <row r="776" spans="2:6">
      <c r="B776" t="s">
        <v>357</v>
      </c>
      <c r="C776" s="280" t="s">
        <v>246</v>
      </c>
      <c r="D776" s="280" t="s">
        <v>246</v>
      </c>
      <c r="E776" s="280">
        <v>62.51</v>
      </c>
      <c r="F776" s="280">
        <v>35.29</v>
      </c>
    </row>
  </sheetData>
  <conditionalFormatting sqref="C45:C49">
    <cfRule type="cellIs" dxfId="71" priority="70" stopIfTrue="1" operator="lessThanOrEqual">
      <formula>44.49</formula>
    </cfRule>
    <cfRule type="cellIs" dxfId="70" priority="71" stopIfTrue="1" operator="greaterThanOrEqual">
      <formula>85.5</formula>
    </cfRule>
    <cfRule type="cellIs" dxfId="69" priority="72" stopIfTrue="1" operator="between">
      <formula>44.5</formula>
      <formula>60.49</formula>
    </cfRule>
  </conditionalFormatting>
  <conditionalFormatting sqref="D45:E49">
    <cfRule type="cellIs" dxfId="68" priority="67" stopIfTrue="1" operator="lessThanOrEqual">
      <formula>44.49</formula>
    </cfRule>
    <cfRule type="cellIs" dxfId="67" priority="68" stopIfTrue="1" operator="greaterThanOrEqual">
      <formula>85.5</formula>
    </cfRule>
    <cfRule type="cellIs" dxfId="66" priority="69" stopIfTrue="1" operator="between">
      <formula>44.5</formula>
      <formula>60.49</formula>
    </cfRule>
  </conditionalFormatting>
  <conditionalFormatting sqref="F45:F49">
    <cfRule type="cellIs" dxfId="65" priority="64" stopIfTrue="1" operator="lessThanOrEqual">
      <formula>44.49</formula>
    </cfRule>
    <cfRule type="cellIs" dxfId="64" priority="65" stopIfTrue="1" operator="greaterThanOrEqual">
      <formula>85.5</formula>
    </cfRule>
    <cfRule type="cellIs" dxfId="63" priority="66" stopIfTrue="1" operator="between">
      <formula>44.5</formula>
      <formula>60.49</formula>
    </cfRule>
  </conditionalFormatting>
  <conditionalFormatting sqref="C105:G109">
    <cfRule type="cellIs" dxfId="62" priority="61" stopIfTrue="1" operator="lessThanOrEqual">
      <formula>44.49</formula>
    </cfRule>
    <cfRule type="cellIs" dxfId="61" priority="62" stopIfTrue="1" operator="greaterThanOrEqual">
      <formula>85.5</formula>
    </cfRule>
    <cfRule type="cellIs" dxfId="60" priority="63" stopIfTrue="1" operator="between">
      <formula>44.5</formula>
      <formula>60.49</formula>
    </cfRule>
  </conditionalFormatting>
  <conditionalFormatting sqref="C165:C169">
    <cfRule type="cellIs" dxfId="59" priority="58" stopIfTrue="1" operator="lessThanOrEqual">
      <formula>44.49</formula>
    </cfRule>
    <cfRule type="cellIs" dxfId="58" priority="59" stopIfTrue="1" operator="greaterThanOrEqual">
      <formula>85.5</formula>
    </cfRule>
    <cfRule type="cellIs" dxfId="57" priority="60" stopIfTrue="1" operator="between">
      <formula>44.5</formula>
      <formula>60.49</formula>
    </cfRule>
  </conditionalFormatting>
  <conditionalFormatting sqref="D165:D169">
    <cfRule type="cellIs" dxfId="56" priority="55" stopIfTrue="1" operator="lessThanOrEqual">
      <formula>44.49</formula>
    </cfRule>
    <cfRule type="cellIs" dxfId="55" priority="56" stopIfTrue="1" operator="greaterThanOrEqual">
      <formula>85.5</formula>
    </cfRule>
    <cfRule type="cellIs" dxfId="54" priority="57" stopIfTrue="1" operator="between">
      <formula>44.5</formula>
      <formula>60.49</formula>
    </cfRule>
  </conditionalFormatting>
  <conditionalFormatting sqref="C225:C229">
    <cfRule type="cellIs" dxfId="53" priority="52" stopIfTrue="1" operator="lessThanOrEqual">
      <formula>44.49</formula>
    </cfRule>
    <cfRule type="cellIs" dxfId="52" priority="53" stopIfTrue="1" operator="greaterThanOrEqual">
      <formula>85.5</formula>
    </cfRule>
    <cfRule type="cellIs" dxfId="51" priority="54" stopIfTrue="1" operator="between">
      <formula>44.5</formula>
      <formula>60.49</formula>
    </cfRule>
  </conditionalFormatting>
  <conditionalFormatting sqref="D225:G229">
    <cfRule type="cellIs" dxfId="50" priority="49" stopIfTrue="1" operator="lessThanOrEqual">
      <formula>44.49</formula>
    </cfRule>
    <cfRule type="cellIs" dxfId="49" priority="50" stopIfTrue="1" operator="greaterThanOrEqual">
      <formula>85.5</formula>
    </cfRule>
    <cfRule type="cellIs" dxfId="48" priority="51" stopIfTrue="1" operator="between">
      <formula>44.5</formula>
      <formula>60.49</formula>
    </cfRule>
  </conditionalFormatting>
  <conditionalFormatting sqref="C285:G289">
    <cfRule type="cellIs" dxfId="47" priority="46" stopIfTrue="1" operator="lessThanOrEqual">
      <formula>44.49</formula>
    </cfRule>
    <cfRule type="cellIs" dxfId="46" priority="47" stopIfTrue="1" operator="greaterThanOrEqual">
      <formula>85.5</formula>
    </cfRule>
    <cfRule type="cellIs" dxfId="45" priority="48" stopIfTrue="1" operator="between">
      <formula>44.5</formula>
      <formula>60.49</formula>
    </cfRule>
  </conditionalFormatting>
  <conditionalFormatting sqref="C345:C349">
    <cfRule type="cellIs" dxfId="44" priority="43" stopIfTrue="1" operator="lessThanOrEqual">
      <formula>44.49</formula>
    </cfRule>
    <cfRule type="cellIs" dxfId="43" priority="44" stopIfTrue="1" operator="greaterThanOrEqual">
      <formula>85.5</formula>
    </cfRule>
    <cfRule type="cellIs" dxfId="42" priority="45" stopIfTrue="1" operator="between">
      <formula>44.5</formula>
      <formula>60.49</formula>
    </cfRule>
  </conditionalFormatting>
  <conditionalFormatting sqref="D345:D349">
    <cfRule type="cellIs" dxfId="41" priority="40" stopIfTrue="1" operator="lessThanOrEqual">
      <formula>44.49</formula>
    </cfRule>
    <cfRule type="cellIs" dxfId="40" priority="41" stopIfTrue="1" operator="greaterThanOrEqual">
      <formula>85.5</formula>
    </cfRule>
    <cfRule type="cellIs" dxfId="39" priority="42" stopIfTrue="1" operator="between">
      <formula>44.5</formula>
      <formula>60.49</formula>
    </cfRule>
  </conditionalFormatting>
  <conditionalFormatting sqref="C405:F409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C465:G469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I465:I469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C525:G529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I525:I529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C585:G589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I585:I589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C645:C649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D645:D649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C705:E709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F705:F709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C765:E76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F765:F769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Referencia Datos</vt:lpstr>
      <vt:lpstr>Demografia</vt:lpstr>
      <vt:lpstr>Indicadores</vt:lpstr>
      <vt:lpstr>Ficha Tecnica</vt:lpstr>
      <vt:lpstr>Cuadro de Mando Demografias</vt:lpstr>
      <vt:lpstr>Graficos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2017-03-21T03:53:39Z</dcterms:modified>
</cp:coreProperties>
</file>