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8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9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lkBBZIhKvMTbplgv8btRIAdAQyCxKDRSUngW8R2lT9bBAlMLzCI5fulXd2XRDkPwpb+BfIw20blt6jbuCBGqsw==" workbookSaltValue="sfln8qsZcWTwc/BFrOaQtw==" workbookSpinCount="100000" lockStructure="1"/>
  <bookViews>
    <workbookView xWindow="0" yWindow="0" windowWidth="24000" windowHeight="973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77" r:id="rId7"/>
    <sheet name="Gráficos Indicadores" sheetId="1976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Demografías'!$C$836:$G$841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Demografías'!$C$288:$H$293</definedName>
    <definedName name="GrafDemo_Bis5_0_datos">'Gráficos Demografías'!$C$349:$H$354</definedName>
    <definedName name="GrafDemo_Bis5_1_datos">'Gráficos Demografías'!$C$380:$H$385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Demografías'!$C$471:$I$476</definedName>
    <definedName name="GrafDemo_Bis7_0_datos">'Gráficos Demografías'!$C$532:$J$537</definedName>
    <definedName name="GrafDemo_Bis7_1_datos">'Gráficos Demografías'!$C$563:$J$568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Demografías'!$C$654:$G$659</definedName>
    <definedName name="GrafDemo_Bis9_datos">'Gráficos Demografías'!$C$745:$H$750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<sst xmlns="http://schemas.openxmlformats.org/spreadsheetml/2006/main" count="1650" uniqueCount="503">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</sst>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612141"/>
      </top>
      <bottom/>
      <diagonal/>
    </border>
    <border>
      <left/>
      <right/>
      <top style="medium">
        <color rgb="FF73A11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60" fillId="0" borderId="0" xfId="0" applyFont="1" applyAlignment="1">
      <alignment vertical="center" wrapText="1"/>
    </xf>
    <xf numFmtId="0" fontId="64" fillId="0" borderId="0" xfId="0" applyFont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64" fillId="0" borderId="82" xfId="0" applyFont="1" applyBorder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60" fillId="0" borderId="81" xfId="0" applyFont="1" applyBorder="1" applyAlignment="1">
      <alignment vertical="center" wrapText="1"/>
    </xf>
    <xf numFmtId="0" fontId="0" fillId="29" borderId="77" xfId="0" applyFill="1" applyBorder="1" applyAlignment="1">
      <alignment horizontal="center" vertical="center" wrapText="1"/>
    </xf>
    <xf numFmtId="0" fontId="58" fillId="29" borderId="0" xfId="0" applyFont="1" applyFill="1" applyAlignment="1">
      <alignment vertical="center" wrapText="1"/>
    </xf>
    <xf numFmtId="0" fontId="0" fillId="29" borderId="0" xfId="0" applyFill="1" applyAlignment="1">
      <alignment horizontal="center" vertical="center" wrapText="1"/>
    </xf>
    <xf numFmtId="0" fontId="58" fillId="29" borderId="80" xfId="0" applyFont="1" applyFill="1" applyBorder="1" applyAlignment="1">
      <alignment vertical="center" wrapText="1"/>
    </xf>
    <xf numFmtId="0" fontId="0" fillId="29" borderId="80" xfId="0" applyFill="1" applyBorder="1" applyAlignment="1">
      <alignment horizontal="center" vertical="center" wrapText="1"/>
    </xf>
    <xf numFmtId="0" fontId="62" fillId="29" borderId="0" xfId="0" applyFont="1" applyFill="1" applyAlignment="1">
      <alignment vertical="center" wrapText="1"/>
    </xf>
    <xf numFmtId="0" fontId="62" fillId="29" borderId="82" xfId="0" applyFont="1" applyFill="1" applyBorder="1" applyAlignment="1">
      <alignment vertical="center" wrapText="1"/>
    </xf>
    <xf numFmtId="0" fontId="0" fillId="29" borderId="82" xfId="0" applyFill="1" applyBorder="1" applyAlignment="1">
      <alignment horizontal="center" vertical="center" wrapText="1"/>
    </xf>
    <xf numFmtId="0" fontId="9" fillId="9" borderId="87" xfId="0" applyFont="1" applyFill="1" applyBorder="1" applyAlignment="1">
      <alignment horizontal="center" vertical="center"/>
    </xf>
    <xf numFmtId="0" fontId="25" fillId="27" borderId="25" xfId="0" applyFont="1" applyFill="1" applyBorder="1" applyAlignment="1">
      <alignment horizontal="center" vertical="center" wrapText="1"/>
    </xf>
    <xf numFmtId="0" fontId="0" fillId="29" borderId="77" xfId="0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0" fillId="29" borderId="77" xfId="0" applyFill="1" applyBorder="1" applyAlignment="1">
      <alignment vertical="center" wrapText="1"/>
    </xf>
    <xf numFmtId="0" fontId="63" fillId="29" borderId="86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2" xfId="0" applyFont="1" applyBorder="1" applyAlignment="1">
      <alignment horizontal="center" vertical="center" wrapText="1"/>
    </xf>
    <xf numFmtId="0" fontId="69" fillId="29" borderId="86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2" xfId="0" applyFont="1" applyBorder="1" applyAlignment="1">
      <alignment horizontal="left" vertical="center" wrapText="1"/>
    </xf>
    <xf numFmtId="0" fontId="65" fillId="0" borderId="85" xfId="0" applyFont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82" xfId="0" applyFont="1" applyBorder="1" applyAlignment="1">
      <alignment horizontal="center" vertical="center" wrapText="1"/>
    </xf>
    <xf numFmtId="0" fontId="70" fillId="0" borderId="85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57" fillId="0" borderId="78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66" fillId="0" borderId="78" xfId="0" applyFont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79" xfId="0" applyFont="1" applyBorder="1" applyAlignment="1">
      <alignment horizontal="left" vertical="center" wrapText="1"/>
    </xf>
    <xf numFmtId="0" fontId="59" fillId="29" borderId="8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80" xfId="0" applyFont="1" applyBorder="1" applyAlignment="1">
      <alignment horizontal="center" vertical="center" wrapText="1"/>
    </xf>
    <xf numFmtId="0" fontId="67" fillId="29" borderId="83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0" xfId="0" applyFont="1" applyBorder="1" applyAlignment="1">
      <alignment horizontal="left" vertical="center" wrapText="1"/>
    </xf>
    <xf numFmtId="0" fontId="61" fillId="0" borderId="84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81" xfId="0" applyFont="1" applyBorder="1" applyAlignment="1">
      <alignment horizontal="center" vertical="center" wrapText="1"/>
    </xf>
    <xf numFmtId="0" fontId="68" fillId="0" borderId="84" xfId="0" applyFont="1" applyBorder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68" fillId="0" borderId="81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94059936"/>
        <c:axId val="-1392971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94059936"/>
        <c:axId val="-1392971184"/>
      </c:lineChart>
      <c:catAx>
        <c:axId val="-1394059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92971184"/>
        <c:crosses val="autoZero"/>
        <c:auto val="1"/>
        <c:lblAlgn val="ctr"/>
        <c:lblOffset val="100"/>
        <c:noMultiLvlLbl val="0"/>
      </c:catAx>
      <c:valAx>
        <c:axId val="-1392971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9405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165248944"/>
        <c:axId val="-1086074288"/>
      </c:barChart>
      <c:catAx>
        <c:axId val="-1165248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86074288"/>
        <c:crosses val="autoZero"/>
        <c:auto val="1"/>
        <c:lblAlgn val="ctr"/>
        <c:lblOffset val="100"/>
        <c:noMultiLvlLbl val="0"/>
      </c:catAx>
      <c:valAx>
        <c:axId val="-108607428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16524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165274992"/>
        <c:axId val="-1086079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74992"/>
        <c:axId val="-1086079760"/>
      </c:lineChart>
      <c:catAx>
        <c:axId val="-1165274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79760"/>
        <c:crosses val="autoZero"/>
        <c:auto val="1"/>
        <c:lblAlgn val="ctr"/>
        <c:lblOffset val="100"/>
        <c:noMultiLvlLbl val="0"/>
      </c:catAx>
      <c:valAx>
        <c:axId val="-108607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7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51146112"/>
        <c:axId val="-1086068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1146112"/>
        <c:axId val="-1086068208"/>
      </c:lineChart>
      <c:catAx>
        <c:axId val="-135114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68208"/>
        <c:crosses val="autoZero"/>
        <c:auto val="1"/>
        <c:lblAlgn val="ctr"/>
        <c:lblOffset val="100"/>
        <c:noMultiLvlLbl val="0"/>
      </c:catAx>
      <c:valAx>
        <c:axId val="-108606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5114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351146704"/>
        <c:axId val="-1086063344"/>
      </c:barChart>
      <c:catAx>
        <c:axId val="-1351146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86063344"/>
        <c:crosses val="autoZero"/>
        <c:auto val="1"/>
        <c:lblAlgn val="ctr"/>
        <c:lblOffset val="100"/>
        <c:noMultiLvlLbl val="0"/>
      </c:catAx>
      <c:valAx>
        <c:axId val="-108606334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35114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Demografías'!$D$294:$K$294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51138416"/>
        <c:axId val="-10860390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Demografías'!$D$299:$K$299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Demografías'!$D$300:$K$300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1138416"/>
        <c:axId val="-1086039024"/>
      </c:lineChart>
      <c:catAx>
        <c:axId val="-1351138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39024"/>
        <c:crosses val="autoZero"/>
        <c:auto val="1"/>
        <c:lblAlgn val="ctr"/>
        <c:lblOffset val="100"/>
        <c:noMultiLvlLbl val="0"/>
      </c:catAx>
      <c:valAx>
        <c:axId val="-1086039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511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347057104"/>
        <c:axId val="-1234096320"/>
      </c:barChart>
      <c:catAx>
        <c:axId val="-1347057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34096320"/>
        <c:crosses val="autoZero"/>
        <c:auto val="1"/>
        <c:lblAlgn val="ctr"/>
        <c:lblOffset val="100"/>
        <c:noMultiLvlLbl val="0"/>
      </c:catAx>
      <c:valAx>
        <c:axId val="-123409632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34705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51878128"/>
        <c:axId val="-1442201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51878128"/>
        <c:axId val="-1442201584"/>
      </c:lineChart>
      <c:catAx>
        <c:axId val="-125187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2201584"/>
        <c:crosses val="autoZero"/>
        <c:auto val="1"/>
        <c:lblAlgn val="ctr"/>
        <c:lblOffset val="100"/>
        <c:noMultiLvlLbl val="0"/>
      </c:catAx>
      <c:valAx>
        <c:axId val="-1442201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5187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Demografías'!$D$388:$K$388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88720016"/>
        <c:axId val="-1276740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Demografías'!$D$391:$K$391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Demografías'!$D$392:$K$392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8720016"/>
        <c:axId val="-1276740080"/>
      </c:lineChart>
      <c:catAx>
        <c:axId val="-98872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76740080"/>
        <c:crosses val="autoZero"/>
        <c:auto val="1"/>
        <c:lblAlgn val="ctr"/>
        <c:lblOffset val="100"/>
        <c:noMultiLvlLbl val="0"/>
      </c:catAx>
      <c:valAx>
        <c:axId val="-127674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887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Demografías'!$D$477:$K$477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51879904"/>
        <c:axId val="-1506791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Demografías'!$D$482:$K$482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Demografías'!$D$483:$K$483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51879904"/>
        <c:axId val="-1506791696"/>
      </c:lineChart>
      <c:catAx>
        <c:axId val="-1251879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06791696"/>
        <c:crosses val="autoZero"/>
        <c:auto val="1"/>
        <c:lblAlgn val="ctr"/>
        <c:lblOffset val="100"/>
        <c:noMultiLvlLbl val="0"/>
      </c:catAx>
      <c:valAx>
        <c:axId val="-1506791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5187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506298080"/>
        <c:axId val="-1403357968"/>
      </c:barChart>
      <c:catAx>
        <c:axId val="-1506298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403357968"/>
        <c:crosses val="autoZero"/>
        <c:auto val="1"/>
        <c:lblAlgn val="ctr"/>
        <c:lblOffset val="100"/>
        <c:noMultiLvlLbl val="0"/>
      </c:catAx>
      <c:valAx>
        <c:axId val="-140335796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5062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06295120"/>
        <c:axId val="-140335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06295120"/>
        <c:axId val="-1403356144"/>
      </c:lineChart>
      <c:catAx>
        <c:axId val="-1506295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03356144"/>
        <c:crosses val="autoZero"/>
        <c:auto val="1"/>
        <c:lblAlgn val="ctr"/>
        <c:lblOffset val="100"/>
        <c:noMultiLvlLbl val="0"/>
      </c:catAx>
      <c:valAx>
        <c:axId val="-140335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0629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Demografías'!$D$569:$K$569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Demografías'!$D$571:$K$571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88714688"/>
        <c:axId val="-1276734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Demografías'!$D$574:$K$574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Demografías'!$D$575:$K$575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8714688"/>
        <c:axId val="-1276734608"/>
      </c:lineChart>
      <c:catAx>
        <c:axId val="-988714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76734608"/>
        <c:crosses val="autoZero"/>
        <c:auto val="1"/>
        <c:lblAlgn val="ctr"/>
        <c:lblOffset val="100"/>
        <c:noMultiLvlLbl val="0"/>
      </c:catAx>
      <c:valAx>
        <c:axId val="-1276734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887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Demografías'!$D$660:$K$660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51125984"/>
        <c:axId val="-1086028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Demografías'!$D$665:$K$665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Demografías'!$D$666:$K$666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1125984"/>
        <c:axId val="-1086028080"/>
      </c:lineChart>
      <c:catAx>
        <c:axId val="-1351125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28080"/>
        <c:crosses val="autoZero"/>
        <c:auto val="1"/>
        <c:lblAlgn val="ctr"/>
        <c:lblOffset val="100"/>
        <c:noMultiLvlLbl val="0"/>
      </c:catAx>
      <c:valAx>
        <c:axId val="-1086028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5112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Demografías'!$D$751:$K$751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Demografías'!$D$753:$K$753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51133680"/>
        <c:axId val="-1086045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Demografías'!$D$756:$K$756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Demografías'!$D$757:$K$757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1133680"/>
        <c:axId val="-1086045712"/>
      </c:lineChart>
      <c:catAx>
        <c:axId val="-1351133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45712"/>
        <c:crosses val="autoZero"/>
        <c:auto val="1"/>
        <c:lblAlgn val="ctr"/>
        <c:lblOffset val="100"/>
        <c:noMultiLvlLbl val="0"/>
      </c:catAx>
      <c:valAx>
        <c:axId val="-1086045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5113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Demografías'!$D$842:$K$842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Demografías'!$D$844:$K$844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51123024"/>
        <c:axId val="-1086018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Demografías'!$D$847:$K$847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Demografías'!$D$848:$K$848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1123024"/>
        <c:axId val="-1086018960"/>
      </c:lineChart>
      <c:catAx>
        <c:axId val="-1351123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18960"/>
        <c:crosses val="autoZero"/>
        <c:auto val="1"/>
        <c:lblAlgn val="ctr"/>
        <c:lblOffset val="100"/>
        <c:noMultiLvlLbl val="0"/>
      </c:catAx>
      <c:valAx>
        <c:axId val="-1086018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5112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351132496"/>
        <c:axId val="-1085985520"/>
      </c:barChart>
      <c:catAx>
        <c:axId val="-13511324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85985520"/>
        <c:crosses val="autoZero"/>
        <c:auto val="1"/>
        <c:lblAlgn val="ctr"/>
        <c:lblOffset val="100"/>
        <c:noMultiLvlLbl val="0"/>
      </c:catAx>
      <c:valAx>
        <c:axId val="-108598552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35113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50720"/>
        <c:axId val="-108603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50720"/>
        <c:axId val="-1086032336"/>
      </c:lineChart>
      <c:catAx>
        <c:axId val="-1165250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32336"/>
        <c:crosses val="autoZero"/>
        <c:auto val="1"/>
        <c:lblAlgn val="ctr"/>
        <c:lblOffset val="100"/>
        <c:noMultiLvlLbl val="0"/>
      </c:catAx>
      <c:valAx>
        <c:axId val="-1086032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16525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165267296"/>
        <c:axId val="-1085997680"/>
      </c:lineChart>
      <c:catAx>
        <c:axId val="-11652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85997680"/>
        <c:crosses val="autoZero"/>
        <c:auto val="1"/>
        <c:lblAlgn val="ctr"/>
        <c:lblOffset val="100"/>
        <c:noMultiLvlLbl val="0"/>
      </c:catAx>
      <c:valAx>
        <c:axId val="-108599768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-11652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61968"/>
        <c:axId val="-10859800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61968"/>
        <c:axId val="-1085980048"/>
      </c:lineChart>
      <c:catAx>
        <c:axId val="-116526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80048"/>
        <c:crosses val="autoZero"/>
        <c:auto val="1"/>
        <c:lblAlgn val="ctr"/>
        <c:lblOffset val="100"/>
        <c:noMultiLvlLbl val="0"/>
      </c:catAx>
      <c:valAx>
        <c:axId val="-1085980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6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165276768"/>
        <c:axId val="-1085986736"/>
      </c:lineChart>
      <c:catAx>
        <c:axId val="-11652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85986736"/>
        <c:crosses val="autoZero"/>
        <c:auto val="1"/>
        <c:lblAlgn val="ctr"/>
        <c:lblOffset val="100"/>
        <c:noMultiLvlLbl val="0"/>
      </c:catAx>
      <c:valAx>
        <c:axId val="-108598673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-11652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68480"/>
        <c:axId val="-1086005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68480"/>
        <c:axId val="-1086005584"/>
      </c:lineChart>
      <c:catAx>
        <c:axId val="-1165268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05584"/>
        <c:crosses val="autoZero"/>
        <c:auto val="1"/>
        <c:lblAlgn val="ctr"/>
        <c:lblOffset val="100"/>
        <c:noMultiLvlLbl val="0"/>
      </c:catAx>
      <c:valAx>
        <c:axId val="-1086005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58416"/>
        <c:axId val="-10859879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58416"/>
        <c:axId val="-1085987952"/>
      </c:lineChart>
      <c:catAx>
        <c:axId val="-1165258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87952"/>
        <c:crosses val="autoZero"/>
        <c:auto val="1"/>
        <c:lblAlgn val="ctr"/>
        <c:lblOffset val="100"/>
        <c:noMultiLvlLbl val="0"/>
      </c:catAx>
      <c:valAx>
        <c:axId val="-1085987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5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50128"/>
        <c:axId val="-10859946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50128"/>
        <c:axId val="-1085994640"/>
      </c:lineChart>
      <c:catAx>
        <c:axId val="-1165250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94640"/>
        <c:crosses val="autoZero"/>
        <c:auto val="1"/>
        <c:lblAlgn val="ctr"/>
        <c:lblOffset val="100"/>
        <c:noMultiLvlLbl val="0"/>
      </c:catAx>
      <c:valAx>
        <c:axId val="-1085994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5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66112"/>
        <c:axId val="-10860049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66112"/>
        <c:axId val="-1086004976"/>
      </c:lineChart>
      <c:catAx>
        <c:axId val="-116526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6004976"/>
        <c:crosses val="autoZero"/>
        <c:auto val="1"/>
        <c:lblAlgn val="ctr"/>
        <c:lblOffset val="100"/>
        <c:noMultiLvlLbl val="0"/>
      </c:catAx>
      <c:valAx>
        <c:axId val="-108600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6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74400"/>
        <c:axId val="-10859836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74400"/>
        <c:axId val="-1085983696"/>
      </c:lineChart>
      <c:catAx>
        <c:axId val="-1165274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83696"/>
        <c:crosses val="autoZero"/>
        <c:auto val="1"/>
        <c:lblAlgn val="ctr"/>
        <c:lblOffset val="100"/>
        <c:noMultiLvlLbl val="0"/>
      </c:catAx>
      <c:valAx>
        <c:axId val="-1085983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7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62560"/>
        <c:axId val="-1085976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62560"/>
        <c:axId val="-1085976400"/>
      </c:lineChart>
      <c:catAx>
        <c:axId val="-116526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76400"/>
        <c:crosses val="autoZero"/>
        <c:auto val="1"/>
        <c:lblAlgn val="ctr"/>
        <c:lblOffset val="100"/>
        <c:noMultiLvlLbl val="0"/>
      </c:catAx>
      <c:valAx>
        <c:axId val="-1085976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6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72624"/>
        <c:axId val="-10859636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72624"/>
        <c:axId val="-1085963632"/>
      </c:lineChart>
      <c:catAx>
        <c:axId val="-1165272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63632"/>
        <c:crosses val="autoZero"/>
        <c:auto val="1"/>
        <c:lblAlgn val="ctr"/>
        <c:lblOffset val="100"/>
        <c:noMultiLvlLbl val="0"/>
      </c:catAx>
      <c:valAx>
        <c:axId val="-1085963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7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54272"/>
        <c:axId val="-10859666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54272"/>
        <c:axId val="-1085966672"/>
      </c:lineChart>
      <c:catAx>
        <c:axId val="-1165254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66672"/>
        <c:crosses val="autoZero"/>
        <c:auto val="1"/>
        <c:lblAlgn val="ctr"/>
        <c:lblOffset val="100"/>
        <c:noMultiLvlLbl val="0"/>
      </c:catAx>
      <c:valAx>
        <c:axId val="-1085966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5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71440"/>
        <c:axId val="-10859599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71440"/>
        <c:axId val="-1085959984"/>
      </c:lineChart>
      <c:catAx>
        <c:axId val="-1165271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59984"/>
        <c:crosses val="autoZero"/>
        <c:auto val="1"/>
        <c:lblAlgn val="ctr"/>
        <c:lblOffset val="100"/>
        <c:noMultiLvlLbl val="0"/>
      </c:catAx>
      <c:valAx>
        <c:axId val="-1085959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1165277952"/>
        <c:axId val="-10859539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5277952"/>
        <c:axId val="-1085953904"/>
      </c:lineChart>
      <c:catAx>
        <c:axId val="-1165277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85953904"/>
        <c:crosses val="autoZero"/>
        <c:auto val="1"/>
        <c:lblAlgn val="ctr"/>
        <c:lblOffset val="100"/>
        <c:noMultiLvlLbl val="0"/>
      </c:catAx>
      <c:valAx>
        <c:axId val="-1085953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6527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165267888"/>
        <c:axId val="-1085967888"/>
      </c:barChart>
      <c:catAx>
        <c:axId val="-1165267888"/>
        <c:scaling>
          <c:orientation val="minMax"/>
        </c:scaling>
        <c:delete val="1"/>
        <c:axPos val="l"/>
        <c:majorTickMark val="none"/>
        <c:minorTickMark val="none"/>
        <c:tickLblPos val="nextTo"/>
        <c:crossAx val="-1085967888"/>
        <c:crosses val="autoZero"/>
        <c:auto val="1"/>
        <c:lblAlgn val="ctr"/>
        <c:lblOffset val="100"/>
        <c:noMultiLvlLbl val="0"/>
      </c:catAx>
      <c:valAx>
        <c:axId val="-108596788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16526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122</xdr:row>
          <xdr:rowOff>0</xdr:rowOff>
        </xdr:from>
        <xdr:to>
          <xdr:col>10</xdr:col>
          <xdr:colOff>0</xdr:colOff>
          <xdr:row>124</xdr:row>
          <xdr:rowOff>0</xdr:rowOff>
        </xdr:to>
        <xdr:sp macro="" textlink="">
          <xdr:nvSpPr>
            <xdr:cNvPr id="267292" name="Button 28" hidden="1">
              <a:extLst>
                <a:ext uri="{63B3BB69-23CF-44E3-9099-C40C66FF867C}">
                  <a14:compatExt spid="_x0000_s26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97517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aphicFrame macro="">
      <xdr:nvGraphicFramePr>
        <xdr:cNvPr id="1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273</xdr:row>
      <xdr:rowOff>0</xdr:rowOff>
    </xdr:from>
    <xdr:to>
      <xdr:col>10</xdr:col>
      <xdr:colOff>901700</xdr:colOff>
      <xdr:row>284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304</xdr:row>
      <xdr:rowOff>0</xdr:rowOff>
    </xdr:from>
    <xdr:to>
      <xdr:col>10</xdr:col>
      <xdr:colOff>254000</xdr:colOff>
      <xdr:row>330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365</xdr:row>
      <xdr:rowOff>0</xdr:rowOff>
    </xdr:from>
    <xdr:to>
      <xdr:col>10</xdr:col>
      <xdr:colOff>901700</xdr:colOff>
      <xdr:row>376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396</xdr:row>
      <xdr:rowOff>0</xdr:rowOff>
    </xdr:from>
    <xdr:to>
      <xdr:col>10</xdr:col>
      <xdr:colOff>254000</xdr:colOff>
      <xdr:row>422</xdr:row>
      <xdr:rowOff>0</xdr:rowOff>
    </xdr:to>
    <xdr:grpSp>
      <xdr:nvGrpSpPr>
        <xdr:cNvPr id="19" name="GrafDemo6"/>
        <xdr:cNvGrpSpPr/>
      </xdr:nvGrpSpPr>
      <xdr:grpSpPr>
        <a:xfrm>
          <a:off x="2276475" y="82857975"/>
          <a:ext cx="9036050" cy="4953000"/>
          <a:chOff x="1524000" y="828579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3</xdr:col>
      <xdr:colOff>0</xdr:colOff>
      <xdr:row>456</xdr:row>
      <xdr:rowOff>0</xdr:rowOff>
    </xdr:from>
    <xdr:to>
      <xdr:col>10</xdr:col>
      <xdr:colOff>901700</xdr:colOff>
      <xdr:row>467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487</xdr:row>
      <xdr:rowOff>0</xdr:rowOff>
    </xdr:from>
    <xdr:to>
      <xdr:col>10</xdr:col>
      <xdr:colOff>254000</xdr:colOff>
      <xdr:row>513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548</xdr:row>
      <xdr:rowOff>0</xdr:rowOff>
    </xdr:from>
    <xdr:to>
      <xdr:col>10</xdr:col>
      <xdr:colOff>901700</xdr:colOff>
      <xdr:row>559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579</xdr:row>
      <xdr:rowOff>0</xdr:rowOff>
    </xdr:from>
    <xdr:to>
      <xdr:col>10</xdr:col>
      <xdr:colOff>254000</xdr:colOff>
      <xdr:row>605</xdr:row>
      <xdr:rowOff>0</xdr:rowOff>
    </xdr:to>
    <xdr:grpSp>
      <xdr:nvGrpSpPr>
        <xdr:cNvPr id="26" name="GrafDemo8"/>
        <xdr:cNvGrpSpPr/>
      </xdr:nvGrpSpPr>
      <xdr:grpSpPr>
        <a:xfrm>
          <a:off x="2276475" y="119319675"/>
          <a:ext cx="9036050" cy="4953000"/>
          <a:chOff x="1524000" y="11931967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 editAs="oneCell">
    <xdr:from>
      <xdr:col>3</xdr:col>
      <xdr:colOff>0</xdr:colOff>
      <xdr:row>639</xdr:row>
      <xdr:rowOff>0</xdr:rowOff>
    </xdr:from>
    <xdr:to>
      <xdr:col>10</xdr:col>
      <xdr:colOff>901700</xdr:colOff>
      <xdr:row>650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670</xdr:row>
      <xdr:rowOff>0</xdr:rowOff>
    </xdr:from>
    <xdr:to>
      <xdr:col>10</xdr:col>
      <xdr:colOff>254000</xdr:colOff>
      <xdr:row>696</xdr:row>
      <xdr:rowOff>0</xdr:rowOff>
    </xdr:to>
    <xdr:grpSp>
      <xdr:nvGrpSpPr>
        <xdr:cNvPr id="30" name="GrafDemo9"/>
        <xdr:cNvGrpSpPr/>
      </xdr:nvGrpSpPr>
      <xdr:grpSpPr>
        <a:xfrm>
          <a:off x="2276475" y="136702800"/>
          <a:ext cx="9036050" cy="4953000"/>
          <a:chOff x="1524000" y="136702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 editAs="oneCell">
    <xdr:from>
      <xdr:col>3</xdr:col>
      <xdr:colOff>0</xdr:colOff>
      <xdr:row>730</xdr:row>
      <xdr:rowOff>0</xdr:rowOff>
    </xdr:from>
    <xdr:to>
      <xdr:col>10</xdr:col>
      <xdr:colOff>901700</xdr:colOff>
      <xdr:row>741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761</xdr:row>
      <xdr:rowOff>0</xdr:rowOff>
    </xdr:from>
    <xdr:to>
      <xdr:col>10</xdr:col>
      <xdr:colOff>254000</xdr:colOff>
      <xdr:row>787</xdr:row>
      <xdr:rowOff>0</xdr:rowOff>
    </xdr:to>
    <xdr:grpSp>
      <xdr:nvGrpSpPr>
        <xdr:cNvPr id="34" name="GrafDemo10"/>
        <xdr:cNvGrpSpPr/>
      </xdr:nvGrpSpPr>
      <xdr:grpSpPr>
        <a:xfrm>
          <a:off x="2276475" y="155857575"/>
          <a:ext cx="9036050" cy="4953000"/>
          <a:chOff x="1524000" y="1558575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3</xdr:col>
      <xdr:colOff>0</xdr:colOff>
      <xdr:row>821</xdr:row>
      <xdr:rowOff>0</xdr:rowOff>
    </xdr:from>
    <xdr:to>
      <xdr:col>10</xdr:col>
      <xdr:colOff>901700</xdr:colOff>
      <xdr:row>832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852</xdr:row>
      <xdr:rowOff>0</xdr:rowOff>
    </xdr:from>
    <xdr:to>
      <xdr:col>10</xdr:col>
      <xdr:colOff>254000</xdr:colOff>
      <xdr:row>878</xdr:row>
      <xdr:rowOff>0</xdr:rowOff>
    </xdr:to>
    <xdr:graphicFrame macro="">
      <xdr:nvGraphicFramePr>
        <xdr:cNvPr id="36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9</xdr:col>
      <xdr:colOff>415925</xdr:colOff>
      <xdr:row>416</xdr:row>
      <xdr:rowOff>69000</xdr:rowOff>
    </xdr:to>
    <xdr:grpSp>
      <xdr:nvGrpSpPr>
        <xdr:cNvPr id="55" name="GraficoSintesis1"/>
        <xdr:cNvGrpSpPr/>
      </xdr:nvGrpSpPr>
      <xdr:grpSpPr>
        <a:xfrm>
          <a:off x="1822450" y="76581000"/>
          <a:ext cx="10194925" cy="6069750"/>
          <a:chOff x="1270000" y="76581000"/>
          <a:chExt cx="10414000" cy="50220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0414000" cy="50220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0414000" cy="5022000"/>
            <a:chOff x="1270000" y="76581000"/>
            <a:chExt cx="10414000" cy="51804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350000" y="76581000"/>
            <a:ext cx="5334000" cy="5180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6572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18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685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18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701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18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717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18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07466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18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3810000" y="76679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3810000" y="76933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3810000" y="77187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3810000" y="77720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3810000" y="77974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3810000" y="78228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3810000" y="7876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3810000" y="79016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3810000" y="79270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3810000" y="79803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3810000" y="80057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3810000" y="80311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3810000" y="80844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3810000" y="81098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3810000" y="81352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048000" y="766572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048000" y="77685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048000" y="78701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048000" y="79717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048000" y="807466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597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61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629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645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160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6" t="s">
        <v>6</v>
      </c>
      <c r="G2" s="196"/>
      <c r="H2" s="196"/>
      <c r="J2" s="196" t="s">
        <v>7</v>
      </c>
      <c r="K2" s="196"/>
      <c r="L2" s="19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5" t="s">
        <v>387</v>
      </c>
      <c r="B1" s="205"/>
      <c r="C1" s="106"/>
      <c r="D1" s="212" t="s">
        <v>199</v>
      </c>
      <c r="E1" s="213"/>
      <c r="F1" s="213"/>
      <c r="G1" s="213"/>
      <c r="H1" s="213"/>
      <c r="I1" s="213"/>
      <c r="J1" s="213"/>
      <c r="K1" s="134"/>
      <c r="L1" s="212" t="s">
        <v>28</v>
      </c>
      <c r="M1" s="213"/>
      <c r="N1" s="213"/>
      <c r="O1" s="213"/>
      <c r="P1" s="214"/>
      <c r="Q1" s="134"/>
      <c r="R1" s="212" t="s">
        <v>29</v>
      </c>
      <c r="S1" s="214"/>
      <c r="T1" s="134"/>
      <c r="U1" s="212" t="s">
        <v>159</v>
      </c>
      <c r="V1" s="213"/>
      <c r="W1" s="213"/>
      <c r="X1" s="213"/>
      <c r="Y1" s="214"/>
      <c r="Z1" s="134"/>
      <c r="AA1" s="212" t="s">
        <v>388</v>
      </c>
      <c r="AB1" s="213"/>
      <c r="AC1" s="213"/>
      <c r="AD1" s="213"/>
      <c r="AE1" s="213"/>
      <c r="AF1" s="213"/>
      <c r="AG1" s="213"/>
      <c r="AH1" s="213"/>
      <c r="AI1" s="213"/>
      <c r="AJ1" s="214"/>
      <c r="AK1" s="134"/>
      <c r="AL1" s="212" t="s">
        <v>160</v>
      </c>
      <c r="AM1" s="213"/>
      <c r="AN1" s="213"/>
      <c r="AO1" s="213"/>
      <c r="AP1" s="213"/>
      <c r="AQ1" s="214"/>
      <c r="AR1" s="134"/>
      <c r="AS1" s="212" t="s">
        <v>389</v>
      </c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4"/>
      <c r="BG1" s="134"/>
      <c r="BH1" s="212" t="s">
        <v>161</v>
      </c>
      <c r="BI1" s="213"/>
      <c r="BJ1" s="213"/>
      <c r="BK1" s="214"/>
      <c r="BL1" s="134"/>
      <c r="BM1" s="212" t="s">
        <v>142</v>
      </c>
      <c r="BN1" s="213"/>
      <c r="BO1" s="213"/>
      <c r="BP1" s="213"/>
      <c r="BQ1" s="214"/>
      <c r="BR1" s="134"/>
      <c r="BS1" s="212" t="s">
        <v>162</v>
      </c>
      <c r="BT1" s="213"/>
      <c r="BU1" s="213"/>
      <c r="BV1" s="214"/>
    </row>
    <row r="2" spans="1:74" ht="273.75">
      <c r="A2" s="203" t="s">
        <v>390</v>
      </c>
      <c r="B2" s="203"/>
      <c r="C2" s="204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4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4"/>
      <c r="R2" s="107" t="s">
        <v>205</v>
      </c>
      <c r="S2" s="107" t="s">
        <v>206</v>
      </c>
      <c r="T2" s="134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4"/>
      <c r="AA2" s="135" t="s">
        <v>397</v>
      </c>
      <c r="AB2" s="135" t="s">
        <v>398</v>
      </c>
      <c r="AC2" s="135" t="s">
        <v>399</v>
      </c>
      <c r="AD2" s="135" t="s">
        <v>400</v>
      </c>
      <c r="AE2" s="135" t="s">
        <v>401</v>
      </c>
      <c r="AF2" s="135" t="s">
        <v>402</v>
      </c>
      <c r="AG2" s="135" t="s">
        <v>403</v>
      </c>
      <c r="AH2" s="135" t="s">
        <v>404</v>
      </c>
      <c r="AI2" s="135" t="s">
        <v>405</v>
      </c>
      <c r="AJ2" s="135" t="s">
        <v>406</v>
      </c>
      <c r="AK2" s="134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4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4"/>
      <c r="BH2" s="107" t="s">
        <v>419</v>
      </c>
      <c r="BI2" s="107" t="s">
        <v>420</v>
      </c>
      <c r="BJ2" s="107" t="s">
        <v>421</v>
      </c>
      <c r="BK2" s="107" t="s">
        <v>422</v>
      </c>
      <c r="BL2" s="134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4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4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4"/>
      <c r="R3" s="110">
        <v>2476</v>
      </c>
      <c r="S3" s="110">
        <v>2191</v>
      </c>
      <c r="T3" s="134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4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4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4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4"/>
      <c r="BH3" s="110">
        <v>2444</v>
      </c>
      <c r="BI3" s="110">
        <v>1088</v>
      </c>
      <c r="BJ3" s="110">
        <v>501</v>
      </c>
      <c r="BK3" s="110">
        <v>116</v>
      </c>
      <c r="BL3" s="134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4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6"/>
      <c r="B4" s="136"/>
      <c r="C4" s="137" t="s">
        <v>354</v>
      </c>
      <c r="D4" s="138">
        <v>5231</v>
      </c>
      <c r="E4" s="138">
        <v>5159</v>
      </c>
      <c r="F4" s="138"/>
      <c r="G4" s="138"/>
      <c r="H4" s="138"/>
      <c r="I4" s="138"/>
      <c r="J4" s="138"/>
      <c r="K4" s="134"/>
      <c r="L4" s="138"/>
      <c r="M4" s="138"/>
      <c r="N4" s="138"/>
      <c r="O4" s="138"/>
      <c r="P4" s="138"/>
      <c r="Q4" s="134"/>
      <c r="R4" s="138"/>
      <c r="S4" s="138"/>
      <c r="T4" s="134"/>
      <c r="U4" s="138"/>
      <c r="V4" s="138"/>
      <c r="W4" s="138"/>
      <c r="X4" s="138"/>
      <c r="Y4" s="138"/>
      <c r="Z4" s="134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4"/>
      <c r="AL4" s="138"/>
      <c r="AM4" s="138"/>
      <c r="AN4" s="138"/>
      <c r="AO4" s="138"/>
      <c r="AP4" s="138"/>
      <c r="AQ4" s="138"/>
      <c r="AR4" s="134"/>
      <c r="AS4" s="138">
        <v>9</v>
      </c>
      <c r="AT4" s="138">
        <v>22</v>
      </c>
      <c r="AU4" s="138">
        <v>43</v>
      </c>
      <c r="AV4" s="138">
        <v>219</v>
      </c>
      <c r="AW4" s="138">
        <v>2790</v>
      </c>
      <c r="AX4" s="138">
        <v>97</v>
      </c>
      <c r="AY4" s="138">
        <v>21</v>
      </c>
      <c r="AZ4" s="138">
        <v>179</v>
      </c>
      <c r="BA4" s="138">
        <v>109</v>
      </c>
      <c r="BB4" s="138">
        <v>62</v>
      </c>
      <c r="BC4" s="138">
        <v>1587</v>
      </c>
      <c r="BD4" s="138">
        <v>77</v>
      </c>
      <c r="BE4" s="138">
        <v>4</v>
      </c>
      <c r="BF4" s="138">
        <v>12</v>
      </c>
      <c r="BG4" s="134"/>
      <c r="BH4" s="138"/>
      <c r="BI4" s="138"/>
      <c r="BJ4" s="138"/>
      <c r="BK4" s="138"/>
      <c r="BL4" s="134"/>
      <c r="BM4" s="138"/>
      <c r="BN4" s="138"/>
      <c r="BO4" s="138"/>
      <c r="BP4" s="138"/>
      <c r="BQ4" s="138"/>
      <c r="BR4" s="134"/>
      <c r="BS4" s="138"/>
      <c r="BT4" s="138"/>
      <c r="BU4" s="138"/>
      <c r="BV4" s="138"/>
    </row>
    <row r="5" spans="1:74">
      <c r="A5" s="139"/>
      <c r="B5" s="139"/>
      <c r="C5" s="140" t="s">
        <v>355</v>
      </c>
      <c r="D5" s="141">
        <v>4735</v>
      </c>
      <c r="E5" s="141">
        <v>4504</v>
      </c>
      <c r="F5" s="141"/>
      <c r="G5" s="141"/>
      <c r="H5" s="141"/>
      <c r="I5" s="141"/>
      <c r="J5" s="141"/>
      <c r="K5" s="134"/>
      <c r="L5" s="141">
        <v>249</v>
      </c>
      <c r="M5" s="141">
        <v>1965</v>
      </c>
      <c r="N5" s="141">
        <v>1426</v>
      </c>
      <c r="O5" s="141">
        <v>733</v>
      </c>
      <c r="P5" s="141">
        <v>256</v>
      </c>
      <c r="Q5" s="134"/>
      <c r="R5" s="141">
        <v>2382</v>
      </c>
      <c r="S5" s="141">
        <v>2218</v>
      </c>
      <c r="T5" s="134"/>
      <c r="U5" s="141">
        <v>14</v>
      </c>
      <c r="V5" s="141">
        <v>413</v>
      </c>
      <c r="W5" s="141">
        <v>2318</v>
      </c>
      <c r="X5" s="141">
        <v>1467</v>
      </c>
      <c r="Y5" s="141">
        <v>425</v>
      </c>
      <c r="Z5" s="134"/>
      <c r="AA5" s="141">
        <v>65</v>
      </c>
      <c r="AB5" s="141">
        <v>121</v>
      </c>
      <c r="AC5" s="141">
        <v>895</v>
      </c>
      <c r="AD5" s="141">
        <v>768</v>
      </c>
      <c r="AE5" s="141">
        <v>265</v>
      </c>
      <c r="AF5" s="141">
        <v>519</v>
      </c>
      <c r="AG5" s="141">
        <v>572</v>
      </c>
      <c r="AH5" s="141">
        <v>937</v>
      </c>
      <c r="AI5" s="141">
        <v>444</v>
      </c>
      <c r="AJ5" s="141" t="s">
        <v>213</v>
      </c>
      <c r="AK5" s="134"/>
      <c r="AL5" s="141">
        <v>305</v>
      </c>
      <c r="AM5" s="141">
        <v>1135</v>
      </c>
      <c r="AN5" s="141">
        <v>1202</v>
      </c>
      <c r="AO5" s="141">
        <v>481</v>
      </c>
      <c r="AP5" s="141">
        <v>715</v>
      </c>
      <c r="AQ5" s="141">
        <v>773</v>
      </c>
      <c r="AR5" s="134"/>
      <c r="AS5" s="141">
        <v>22</v>
      </c>
      <c r="AT5" s="141">
        <v>10</v>
      </c>
      <c r="AU5" s="141">
        <v>47</v>
      </c>
      <c r="AV5" s="141">
        <v>187</v>
      </c>
      <c r="AW5" s="141">
        <v>2535</v>
      </c>
      <c r="AX5" s="141">
        <v>89</v>
      </c>
      <c r="AY5" s="141" t="s">
        <v>213</v>
      </c>
      <c r="AZ5" s="141">
        <v>159</v>
      </c>
      <c r="BA5" s="141">
        <v>99</v>
      </c>
      <c r="BB5" s="141">
        <v>55</v>
      </c>
      <c r="BC5" s="141">
        <v>1432</v>
      </c>
      <c r="BD5" s="141">
        <v>77</v>
      </c>
      <c r="BE5" s="141">
        <v>5</v>
      </c>
      <c r="BF5" s="141">
        <v>11</v>
      </c>
      <c r="BG5" s="134"/>
      <c r="BH5" s="141">
        <v>2773</v>
      </c>
      <c r="BI5" s="141">
        <v>1087</v>
      </c>
      <c r="BJ5" s="141">
        <v>595</v>
      </c>
      <c r="BK5" s="141">
        <v>110</v>
      </c>
      <c r="BL5" s="134"/>
      <c r="BM5" s="141">
        <v>764</v>
      </c>
      <c r="BN5" s="141">
        <v>1235</v>
      </c>
      <c r="BO5" s="141">
        <v>132</v>
      </c>
      <c r="BP5" s="141">
        <v>2149</v>
      </c>
      <c r="BQ5" s="141">
        <v>297</v>
      </c>
      <c r="BR5" s="134"/>
      <c r="BS5" s="141" t="s">
        <v>213</v>
      </c>
      <c r="BT5" s="141" t="s">
        <v>213</v>
      </c>
      <c r="BU5" s="141" t="s">
        <v>213</v>
      </c>
      <c r="BV5" s="141" t="s">
        <v>213</v>
      </c>
    </row>
    <row r="6" spans="1:74">
      <c r="A6" s="142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06" t="s">
        <v>214</v>
      </c>
      <c r="B7" s="207"/>
      <c r="C7" s="208"/>
      <c r="D7" s="143">
        <v>85.93</v>
      </c>
      <c r="E7" s="143">
        <v>82.67</v>
      </c>
      <c r="F7" s="143">
        <v>89.46</v>
      </c>
      <c r="G7" s="143">
        <v>79.150000000000006</v>
      </c>
      <c r="H7" s="144">
        <v>3.2600000000000051</v>
      </c>
      <c r="I7" s="144">
        <v>-3.5299999999999869</v>
      </c>
      <c r="J7" s="144">
        <v>6.7800000000000011</v>
      </c>
      <c r="K7" s="134"/>
      <c r="L7" s="143">
        <v>90.45</v>
      </c>
      <c r="M7" s="143">
        <v>86.08</v>
      </c>
      <c r="N7" s="143">
        <v>84.35</v>
      </c>
      <c r="O7" s="143">
        <v>87.74</v>
      </c>
      <c r="P7" s="143">
        <v>90.43</v>
      </c>
      <c r="Q7" s="134"/>
      <c r="R7" s="143">
        <v>86.53</v>
      </c>
      <c r="S7" s="143">
        <v>86.24</v>
      </c>
      <c r="T7" s="134"/>
      <c r="U7" s="143">
        <v>76.19</v>
      </c>
      <c r="V7" s="143">
        <v>87.14</v>
      </c>
      <c r="W7" s="143">
        <v>86.86</v>
      </c>
      <c r="X7" s="143">
        <v>85.18</v>
      </c>
      <c r="Y7" s="143">
        <v>87.05</v>
      </c>
      <c r="Z7" s="134"/>
      <c r="AA7" s="143">
        <v>93.53</v>
      </c>
      <c r="AB7" s="143">
        <v>91.83</v>
      </c>
      <c r="AC7" s="143">
        <v>88.97</v>
      </c>
      <c r="AD7" s="143">
        <v>83.86</v>
      </c>
      <c r="AE7" s="143">
        <v>84.1</v>
      </c>
      <c r="AF7" s="143">
        <v>78.73</v>
      </c>
      <c r="AG7" s="143">
        <v>86.35</v>
      </c>
      <c r="AH7" s="143">
        <v>87.52</v>
      </c>
      <c r="AI7" s="143">
        <v>90.4</v>
      </c>
      <c r="AJ7" s="143">
        <v>79.88</v>
      </c>
      <c r="AK7" s="134"/>
      <c r="AL7" s="143">
        <v>91.75</v>
      </c>
      <c r="AM7" s="143">
        <v>87.14</v>
      </c>
      <c r="AN7" s="143">
        <v>84.41</v>
      </c>
      <c r="AO7" s="143">
        <v>79.94</v>
      </c>
      <c r="AP7" s="143">
        <v>87.42</v>
      </c>
      <c r="AQ7" s="143">
        <v>88.24</v>
      </c>
      <c r="AR7" s="134"/>
      <c r="AS7" s="143">
        <v>70.28</v>
      </c>
      <c r="AT7" s="143">
        <v>93.52</v>
      </c>
      <c r="AU7" s="143">
        <v>81.7</v>
      </c>
      <c r="AV7" s="143">
        <v>85.8</v>
      </c>
      <c r="AW7" s="143">
        <v>86.78</v>
      </c>
      <c r="AX7" s="143">
        <v>83.81</v>
      </c>
      <c r="AY7" s="143">
        <v>96.24</v>
      </c>
      <c r="AZ7" s="143">
        <v>90.49</v>
      </c>
      <c r="BA7" s="143">
        <v>78.42</v>
      </c>
      <c r="BB7" s="143">
        <v>89.17</v>
      </c>
      <c r="BC7" s="143">
        <v>84.63</v>
      </c>
      <c r="BD7" s="143">
        <v>81.78</v>
      </c>
      <c r="BE7" s="143" t="s">
        <v>215</v>
      </c>
      <c r="BF7" s="143">
        <v>97.14</v>
      </c>
      <c r="BG7" s="134"/>
      <c r="BH7" s="143">
        <v>92.06</v>
      </c>
      <c r="BI7" s="143">
        <v>82.99</v>
      </c>
      <c r="BJ7" s="143">
        <v>73.010000000000005</v>
      </c>
      <c r="BK7" s="143">
        <v>58.22</v>
      </c>
      <c r="BL7" s="134"/>
      <c r="BM7" s="143">
        <v>88.46</v>
      </c>
      <c r="BN7" s="143">
        <v>81.81</v>
      </c>
      <c r="BO7" s="143">
        <v>69.47</v>
      </c>
      <c r="BP7" s="143">
        <v>90.75</v>
      </c>
      <c r="BQ7" s="143">
        <v>71.900000000000006</v>
      </c>
      <c r="BR7" s="134"/>
      <c r="BS7" s="143">
        <v>93.66</v>
      </c>
      <c r="BT7" s="143">
        <v>88.03</v>
      </c>
      <c r="BU7" s="143">
        <v>82.62</v>
      </c>
      <c r="BV7" s="143">
        <v>65.010000000000005</v>
      </c>
    </row>
    <row r="8" spans="1:74">
      <c r="A8" s="209" t="s">
        <v>216</v>
      </c>
      <c r="B8" s="210"/>
      <c r="C8" s="211"/>
      <c r="D8" s="143">
        <v>81.56</v>
      </c>
      <c r="E8" s="143">
        <v>77.59</v>
      </c>
      <c r="F8" s="143">
        <v>88.6</v>
      </c>
      <c r="G8" s="143">
        <v>77.23</v>
      </c>
      <c r="H8" s="144">
        <v>3.9699999999999989</v>
      </c>
      <c r="I8" s="144">
        <v>-7.039999999999992</v>
      </c>
      <c r="J8" s="144">
        <v>4.3299999999999983</v>
      </c>
      <c r="K8" s="134"/>
      <c r="L8" s="143">
        <v>84.9</v>
      </c>
      <c r="M8" s="143">
        <v>80.59</v>
      </c>
      <c r="N8" s="143">
        <v>81</v>
      </c>
      <c r="O8" s="143">
        <v>84.36</v>
      </c>
      <c r="P8" s="143">
        <v>87.34</v>
      </c>
      <c r="Q8" s="134"/>
      <c r="R8" s="143">
        <v>82.52</v>
      </c>
      <c r="S8" s="143">
        <v>81.34</v>
      </c>
      <c r="T8" s="134"/>
      <c r="U8" s="143">
        <v>78.209999999999994</v>
      </c>
      <c r="V8" s="143">
        <v>80.63</v>
      </c>
      <c r="W8" s="143">
        <v>81.92</v>
      </c>
      <c r="X8" s="143">
        <v>81.260000000000005</v>
      </c>
      <c r="Y8" s="143">
        <v>85.26</v>
      </c>
      <c r="Z8" s="134"/>
      <c r="AA8" s="143">
        <v>93.66</v>
      </c>
      <c r="AB8" s="143">
        <v>89.43</v>
      </c>
      <c r="AC8" s="143">
        <v>85.92</v>
      </c>
      <c r="AD8" s="143">
        <v>81.99</v>
      </c>
      <c r="AE8" s="143">
        <v>79.41</v>
      </c>
      <c r="AF8" s="143">
        <v>74.709999999999994</v>
      </c>
      <c r="AG8" s="143">
        <v>79.209999999999994</v>
      </c>
      <c r="AH8" s="143">
        <v>81.94</v>
      </c>
      <c r="AI8" s="143">
        <v>82.09</v>
      </c>
      <c r="AJ8" s="143">
        <v>80.540000000000006</v>
      </c>
      <c r="AK8" s="134"/>
      <c r="AL8" s="143">
        <v>87.01</v>
      </c>
      <c r="AM8" s="143">
        <v>82.15</v>
      </c>
      <c r="AN8" s="143">
        <v>78.97</v>
      </c>
      <c r="AO8" s="143">
        <v>76.930000000000007</v>
      </c>
      <c r="AP8" s="143">
        <v>83.93</v>
      </c>
      <c r="AQ8" s="143">
        <v>84.79</v>
      </c>
      <c r="AR8" s="134"/>
      <c r="AS8" s="143">
        <v>62.23</v>
      </c>
      <c r="AT8" s="143">
        <v>94.29</v>
      </c>
      <c r="AU8" s="143">
        <v>80.44</v>
      </c>
      <c r="AV8" s="143">
        <v>83.68</v>
      </c>
      <c r="AW8" s="143">
        <v>81.459999999999994</v>
      </c>
      <c r="AX8" s="143">
        <v>84.28</v>
      </c>
      <c r="AY8" s="143">
        <v>91.48</v>
      </c>
      <c r="AZ8" s="143">
        <v>90.16</v>
      </c>
      <c r="BA8" s="143">
        <v>79.81</v>
      </c>
      <c r="BB8" s="143">
        <v>87.3</v>
      </c>
      <c r="BC8" s="143">
        <v>79.87</v>
      </c>
      <c r="BD8" s="143">
        <v>83.85</v>
      </c>
      <c r="BE8" s="143" t="s">
        <v>215</v>
      </c>
      <c r="BF8" s="143">
        <v>95.38</v>
      </c>
      <c r="BG8" s="134"/>
      <c r="BH8" s="143">
        <v>87.65</v>
      </c>
      <c r="BI8" s="143">
        <v>78.34</v>
      </c>
      <c r="BJ8" s="143">
        <v>69.09</v>
      </c>
      <c r="BK8" s="143">
        <v>54.71</v>
      </c>
      <c r="BL8" s="134"/>
      <c r="BM8" s="143">
        <v>84.45</v>
      </c>
      <c r="BN8" s="143">
        <v>75.67</v>
      </c>
      <c r="BO8" s="143">
        <v>62.34</v>
      </c>
      <c r="BP8" s="143">
        <v>87.24</v>
      </c>
      <c r="BQ8" s="143">
        <v>66.099999999999994</v>
      </c>
      <c r="BR8" s="134"/>
      <c r="BS8" s="143">
        <v>89.83</v>
      </c>
      <c r="BT8" s="143">
        <v>83.54</v>
      </c>
      <c r="BU8" s="143">
        <v>77.73</v>
      </c>
      <c r="BV8" s="143">
        <v>61.02</v>
      </c>
    </row>
    <row r="9" spans="1:74">
      <c r="A9" s="215" t="s">
        <v>217</v>
      </c>
      <c r="B9" s="216"/>
      <c r="C9" s="217"/>
      <c r="D9" s="143">
        <v>77.78</v>
      </c>
      <c r="E9" s="143">
        <v>73.56</v>
      </c>
      <c r="F9" s="143">
        <v>84.91</v>
      </c>
      <c r="G9" s="143">
        <v>75.44</v>
      </c>
      <c r="H9" s="144">
        <v>4.2199999999999989</v>
      </c>
      <c r="I9" s="144">
        <v>-7.1299999999999955</v>
      </c>
      <c r="J9" s="144">
        <v>2.3400000000000034</v>
      </c>
      <c r="K9" s="134"/>
      <c r="L9" s="143">
        <v>85.2</v>
      </c>
      <c r="M9" s="143">
        <v>77.400000000000006</v>
      </c>
      <c r="N9" s="143">
        <v>75.959999999999994</v>
      </c>
      <c r="O9" s="143">
        <v>79.81</v>
      </c>
      <c r="P9" s="143">
        <v>83.12</v>
      </c>
      <c r="Q9" s="134"/>
      <c r="R9" s="143">
        <v>78.27</v>
      </c>
      <c r="S9" s="143">
        <v>78.02</v>
      </c>
      <c r="T9" s="134"/>
      <c r="U9" s="143">
        <v>80.489999999999995</v>
      </c>
      <c r="V9" s="143">
        <v>78.47</v>
      </c>
      <c r="W9" s="143">
        <v>78.739999999999995</v>
      </c>
      <c r="X9" s="143">
        <v>76.790000000000006</v>
      </c>
      <c r="Y9" s="143">
        <v>79.03</v>
      </c>
      <c r="Z9" s="134"/>
      <c r="AA9" s="143">
        <v>87.16</v>
      </c>
      <c r="AB9" s="143">
        <v>83.33</v>
      </c>
      <c r="AC9" s="143">
        <v>81.790000000000006</v>
      </c>
      <c r="AD9" s="143">
        <v>75.37</v>
      </c>
      <c r="AE9" s="143">
        <v>74.319999999999993</v>
      </c>
      <c r="AF9" s="143">
        <v>69.97</v>
      </c>
      <c r="AG9" s="143">
        <v>77.64</v>
      </c>
      <c r="AH9" s="143">
        <v>79.180000000000007</v>
      </c>
      <c r="AI9" s="143">
        <v>83.27</v>
      </c>
      <c r="AJ9" s="143">
        <v>72.260000000000005</v>
      </c>
      <c r="AK9" s="134"/>
      <c r="AL9" s="143">
        <v>87.17</v>
      </c>
      <c r="AM9" s="143">
        <v>79.760000000000005</v>
      </c>
      <c r="AN9" s="143">
        <v>74.66</v>
      </c>
      <c r="AO9" s="143">
        <v>72.42</v>
      </c>
      <c r="AP9" s="143">
        <v>77.63</v>
      </c>
      <c r="AQ9" s="143">
        <v>80.38</v>
      </c>
      <c r="AR9" s="134"/>
      <c r="AS9" s="143">
        <v>67.959999999999994</v>
      </c>
      <c r="AT9" s="143">
        <v>91.07</v>
      </c>
      <c r="AU9" s="143">
        <v>74.040000000000006</v>
      </c>
      <c r="AV9" s="143">
        <v>74.45</v>
      </c>
      <c r="AW9" s="143">
        <v>78.72</v>
      </c>
      <c r="AX9" s="143">
        <v>76.58</v>
      </c>
      <c r="AY9" s="143">
        <v>81.349999999999994</v>
      </c>
      <c r="AZ9" s="143">
        <v>80.63</v>
      </c>
      <c r="BA9" s="143">
        <v>70.56</v>
      </c>
      <c r="BB9" s="143">
        <v>81.760000000000005</v>
      </c>
      <c r="BC9" s="143">
        <v>76.849999999999994</v>
      </c>
      <c r="BD9" s="143">
        <v>73.540000000000006</v>
      </c>
      <c r="BE9" s="143" t="s">
        <v>215</v>
      </c>
      <c r="BF9" s="143">
        <v>85</v>
      </c>
      <c r="BG9" s="134"/>
      <c r="BH9" s="143">
        <v>83.2</v>
      </c>
      <c r="BI9" s="143">
        <v>74.31</v>
      </c>
      <c r="BJ9" s="143">
        <v>66.7</v>
      </c>
      <c r="BK9" s="143">
        <v>56.94</v>
      </c>
      <c r="BL9" s="134"/>
      <c r="BM9" s="143">
        <v>79.25</v>
      </c>
      <c r="BN9" s="143">
        <v>73.47</v>
      </c>
      <c r="BO9" s="143">
        <v>59.43</v>
      </c>
      <c r="BP9" s="143">
        <v>82.97</v>
      </c>
      <c r="BQ9" s="143">
        <v>62.41</v>
      </c>
      <c r="BR9" s="134"/>
      <c r="BS9" s="143">
        <v>85.29</v>
      </c>
      <c r="BT9" s="143">
        <v>79.36</v>
      </c>
      <c r="BU9" s="143">
        <v>73.209999999999994</v>
      </c>
      <c r="BV9" s="143">
        <v>61.49</v>
      </c>
    </row>
    <row r="10" spans="1:74">
      <c r="A10" s="197" t="s">
        <v>218</v>
      </c>
      <c r="B10" s="198"/>
      <c r="C10" s="199"/>
      <c r="D10" s="143">
        <v>83.3</v>
      </c>
      <c r="E10" s="143">
        <v>78.540000000000006</v>
      </c>
      <c r="F10" s="143">
        <v>90.36</v>
      </c>
      <c r="G10" s="143">
        <v>80.28</v>
      </c>
      <c r="H10" s="144">
        <v>4.7599999999999909</v>
      </c>
      <c r="I10" s="144">
        <v>-7.0600000000000023</v>
      </c>
      <c r="J10" s="144">
        <v>3.019999999999996</v>
      </c>
      <c r="K10" s="134"/>
      <c r="L10" s="143">
        <v>83.54</v>
      </c>
      <c r="M10" s="143">
        <v>81.03</v>
      </c>
      <c r="N10" s="143">
        <v>83.26</v>
      </c>
      <c r="O10" s="143">
        <v>88.56</v>
      </c>
      <c r="P10" s="143">
        <v>91.07</v>
      </c>
      <c r="Q10" s="134"/>
      <c r="R10" s="143">
        <v>83.68</v>
      </c>
      <c r="S10" s="143">
        <v>83.52</v>
      </c>
      <c r="T10" s="134"/>
      <c r="U10" s="143">
        <v>84.38</v>
      </c>
      <c r="V10" s="143">
        <v>84.66</v>
      </c>
      <c r="W10" s="143">
        <v>83.78</v>
      </c>
      <c r="X10" s="143">
        <v>82.02</v>
      </c>
      <c r="Y10" s="143">
        <v>86.82</v>
      </c>
      <c r="Z10" s="134"/>
      <c r="AA10" s="143">
        <v>94.93</v>
      </c>
      <c r="AB10" s="143">
        <v>92.27</v>
      </c>
      <c r="AC10" s="143">
        <v>89.09</v>
      </c>
      <c r="AD10" s="143">
        <v>82.97</v>
      </c>
      <c r="AE10" s="143">
        <v>81.58</v>
      </c>
      <c r="AF10" s="143">
        <v>76.73</v>
      </c>
      <c r="AG10" s="143">
        <v>80.61</v>
      </c>
      <c r="AH10" s="143">
        <v>83.49</v>
      </c>
      <c r="AI10" s="143">
        <v>80.66</v>
      </c>
      <c r="AJ10" s="143">
        <v>76.23</v>
      </c>
      <c r="AK10" s="134"/>
      <c r="AL10" s="143">
        <v>86.67</v>
      </c>
      <c r="AM10" s="143">
        <v>82.73</v>
      </c>
      <c r="AN10" s="143">
        <v>79.88</v>
      </c>
      <c r="AO10" s="143">
        <v>80.069999999999993</v>
      </c>
      <c r="AP10" s="143">
        <v>86.61</v>
      </c>
      <c r="AQ10" s="143">
        <v>88.62</v>
      </c>
      <c r="AR10" s="134"/>
      <c r="AS10" s="143">
        <v>72.989999999999995</v>
      </c>
      <c r="AT10" s="143">
        <v>99.04</v>
      </c>
      <c r="AU10" s="143">
        <v>80</v>
      </c>
      <c r="AV10" s="143">
        <v>84.75</v>
      </c>
      <c r="AW10" s="143">
        <v>83.95</v>
      </c>
      <c r="AX10" s="143">
        <v>89.61</v>
      </c>
      <c r="AY10" s="143">
        <v>93.45</v>
      </c>
      <c r="AZ10" s="143">
        <v>88.73</v>
      </c>
      <c r="BA10" s="143">
        <v>76.319999999999993</v>
      </c>
      <c r="BB10" s="143">
        <v>90.11</v>
      </c>
      <c r="BC10" s="143">
        <v>80.97</v>
      </c>
      <c r="BD10" s="143">
        <v>81.84</v>
      </c>
      <c r="BE10" s="143" t="s">
        <v>215</v>
      </c>
      <c r="BF10" s="143">
        <v>96.25</v>
      </c>
      <c r="BG10" s="134"/>
      <c r="BH10" s="143">
        <v>87.6</v>
      </c>
      <c r="BI10" s="143">
        <v>81.8</v>
      </c>
      <c r="BJ10" s="143">
        <v>71.7</v>
      </c>
      <c r="BK10" s="143">
        <v>66.19</v>
      </c>
      <c r="BL10" s="134"/>
      <c r="BM10" s="143">
        <v>84.85</v>
      </c>
      <c r="BN10" s="143">
        <v>75.930000000000007</v>
      </c>
      <c r="BO10" s="143">
        <v>67.13</v>
      </c>
      <c r="BP10" s="143">
        <v>89.76</v>
      </c>
      <c r="BQ10" s="143">
        <v>66.989999999999995</v>
      </c>
      <c r="BR10" s="134"/>
      <c r="BS10" s="143">
        <v>89.45</v>
      </c>
      <c r="BT10" s="143">
        <v>84.49</v>
      </c>
      <c r="BU10" s="143">
        <v>80.319999999999993</v>
      </c>
      <c r="BV10" s="143">
        <v>67.36</v>
      </c>
    </row>
    <row r="11" spans="1:74">
      <c r="A11" s="200" t="s">
        <v>219</v>
      </c>
      <c r="B11" s="201"/>
      <c r="C11" s="202"/>
      <c r="D11" s="143">
        <v>86.19</v>
      </c>
      <c r="E11" s="143">
        <v>81.86</v>
      </c>
      <c r="F11" s="143">
        <v>92.63</v>
      </c>
      <c r="G11" s="143">
        <v>83.31</v>
      </c>
      <c r="H11" s="144">
        <v>4.3299999999999983</v>
      </c>
      <c r="I11" s="144">
        <v>-6.4399999999999977</v>
      </c>
      <c r="J11" s="144">
        <v>2.8799999999999955</v>
      </c>
      <c r="K11" s="134"/>
      <c r="L11" s="143">
        <v>90.58</v>
      </c>
      <c r="M11" s="143">
        <v>85.89</v>
      </c>
      <c r="N11" s="143">
        <v>85.08</v>
      </c>
      <c r="O11" s="143">
        <v>88.42</v>
      </c>
      <c r="P11" s="143">
        <v>90.24</v>
      </c>
      <c r="Q11" s="134"/>
      <c r="R11" s="143">
        <v>86.39</v>
      </c>
      <c r="S11" s="143">
        <v>86.83</v>
      </c>
      <c r="T11" s="134"/>
      <c r="U11" s="143">
        <v>78.33</v>
      </c>
      <c r="V11" s="143">
        <v>85.6</v>
      </c>
      <c r="W11" s="143">
        <v>86.75</v>
      </c>
      <c r="X11" s="143">
        <v>85.69</v>
      </c>
      <c r="Y11" s="143">
        <v>89.35</v>
      </c>
      <c r="Z11" s="134"/>
      <c r="AA11" s="143">
        <v>94.86</v>
      </c>
      <c r="AB11" s="143">
        <v>92.88</v>
      </c>
      <c r="AC11" s="143">
        <v>90.23</v>
      </c>
      <c r="AD11" s="143">
        <v>86.42</v>
      </c>
      <c r="AE11" s="143">
        <v>83.34</v>
      </c>
      <c r="AF11" s="143">
        <v>79.400000000000006</v>
      </c>
      <c r="AG11" s="143">
        <v>84.13</v>
      </c>
      <c r="AH11" s="143">
        <v>86.8</v>
      </c>
      <c r="AI11" s="143">
        <v>89.26</v>
      </c>
      <c r="AJ11" s="143">
        <v>80.28</v>
      </c>
      <c r="AK11" s="134"/>
      <c r="AL11" s="143">
        <v>91.77</v>
      </c>
      <c r="AM11" s="143">
        <v>87.67</v>
      </c>
      <c r="AN11" s="143">
        <v>83.75</v>
      </c>
      <c r="AO11" s="143">
        <v>81.36</v>
      </c>
      <c r="AP11" s="143">
        <v>88.32</v>
      </c>
      <c r="AQ11" s="143">
        <v>88.26</v>
      </c>
      <c r="AR11" s="134"/>
      <c r="AS11" s="143">
        <v>60.71</v>
      </c>
      <c r="AT11" s="143">
        <v>98.57</v>
      </c>
      <c r="AU11" s="143">
        <v>79.77</v>
      </c>
      <c r="AV11" s="143">
        <v>87.66</v>
      </c>
      <c r="AW11" s="143">
        <v>86.3</v>
      </c>
      <c r="AX11" s="143">
        <v>90.11</v>
      </c>
      <c r="AY11" s="143">
        <v>93.76</v>
      </c>
      <c r="AZ11" s="143">
        <v>92.57</v>
      </c>
      <c r="BA11" s="143">
        <v>79.37</v>
      </c>
      <c r="BB11" s="143">
        <v>91.39</v>
      </c>
      <c r="BC11" s="143">
        <v>85.14</v>
      </c>
      <c r="BD11" s="143">
        <v>86.85</v>
      </c>
      <c r="BE11" s="143" t="s">
        <v>215</v>
      </c>
      <c r="BF11" s="143">
        <v>91</v>
      </c>
      <c r="BG11" s="134"/>
      <c r="BH11" s="143">
        <v>90.98</v>
      </c>
      <c r="BI11" s="143">
        <v>84.03</v>
      </c>
      <c r="BJ11" s="143">
        <v>75.88</v>
      </c>
      <c r="BK11" s="143">
        <v>65.92</v>
      </c>
      <c r="BL11" s="134"/>
      <c r="BM11" s="143">
        <v>88.44</v>
      </c>
      <c r="BN11" s="143">
        <v>81.05</v>
      </c>
      <c r="BO11" s="143">
        <v>68.94</v>
      </c>
      <c r="BP11" s="143">
        <v>91.63</v>
      </c>
      <c r="BQ11" s="143">
        <v>70.739999999999995</v>
      </c>
      <c r="BR11" s="134"/>
      <c r="BS11" s="143">
        <v>93.27</v>
      </c>
      <c r="BT11" s="143">
        <v>88.22</v>
      </c>
      <c r="BU11" s="143">
        <v>84</v>
      </c>
      <c r="BV11" s="143">
        <v>70.72</v>
      </c>
    </row>
    <row r="12" spans="1:74">
      <c r="A12" s="145" t="s">
        <v>356</v>
      </c>
      <c r="B12" s="112">
        <v>58</v>
      </c>
      <c r="C12" s="113" t="s">
        <v>220</v>
      </c>
      <c r="D12" s="146">
        <v>84.08</v>
      </c>
      <c r="E12" s="146">
        <v>79.319999999999993</v>
      </c>
      <c r="F12" s="146">
        <v>91.62</v>
      </c>
      <c r="G12" s="146">
        <v>82.28</v>
      </c>
      <c r="H12" s="147">
        <v>4.7600000000000051</v>
      </c>
      <c r="I12" s="147">
        <v>-7.5400000000000063</v>
      </c>
      <c r="J12" s="147">
        <v>1.7999999999999972</v>
      </c>
      <c r="K12" s="134"/>
      <c r="L12" s="146">
        <v>87.33</v>
      </c>
      <c r="M12" s="146">
        <v>82.4</v>
      </c>
      <c r="N12" s="146">
        <v>83.7</v>
      </c>
      <c r="O12" s="146">
        <v>87.89</v>
      </c>
      <c r="P12" s="146">
        <v>93.55</v>
      </c>
      <c r="Q12" s="134"/>
      <c r="R12" s="146">
        <v>85.32</v>
      </c>
      <c r="S12" s="146">
        <v>83.78</v>
      </c>
      <c r="T12" s="134"/>
      <c r="U12" s="146">
        <v>75</v>
      </c>
      <c r="V12" s="146">
        <v>86.11</v>
      </c>
      <c r="W12" s="146">
        <v>84.66</v>
      </c>
      <c r="X12" s="146">
        <v>82.38</v>
      </c>
      <c r="Y12" s="146">
        <v>89.58</v>
      </c>
      <c r="Z12" s="134"/>
      <c r="AA12" s="146">
        <v>98.65</v>
      </c>
      <c r="AB12" s="146">
        <v>94.24</v>
      </c>
      <c r="AC12" s="146">
        <v>89.27</v>
      </c>
      <c r="AD12" s="146">
        <v>85.34</v>
      </c>
      <c r="AE12" s="146">
        <v>81.61</v>
      </c>
      <c r="AF12" s="146">
        <v>80</v>
      </c>
      <c r="AG12" s="146">
        <v>81.459999999999994</v>
      </c>
      <c r="AH12" s="146">
        <v>82.78</v>
      </c>
      <c r="AI12" s="146">
        <v>82.83</v>
      </c>
      <c r="AJ12" s="146">
        <v>76.19</v>
      </c>
      <c r="AK12" s="134"/>
      <c r="AL12" s="146">
        <v>90.59</v>
      </c>
      <c r="AM12" s="146">
        <v>84.53</v>
      </c>
      <c r="AN12" s="146">
        <v>80.75</v>
      </c>
      <c r="AO12" s="146">
        <v>79.08</v>
      </c>
      <c r="AP12" s="146">
        <v>86.71</v>
      </c>
      <c r="AQ12" s="146">
        <v>89.28</v>
      </c>
      <c r="AR12" s="134"/>
      <c r="AS12" s="146">
        <v>75</v>
      </c>
      <c r="AT12" s="146">
        <v>100</v>
      </c>
      <c r="AU12" s="146">
        <v>75.61</v>
      </c>
      <c r="AV12" s="146">
        <v>86.36</v>
      </c>
      <c r="AW12" s="146">
        <v>83.41</v>
      </c>
      <c r="AX12" s="146">
        <v>91.58</v>
      </c>
      <c r="AY12" s="146">
        <v>100</v>
      </c>
      <c r="AZ12" s="146">
        <v>91.12</v>
      </c>
      <c r="BA12" s="146">
        <v>81.37</v>
      </c>
      <c r="BB12" s="146">
        <v>91.53</v>
      </c>
      <c r="BC12" s="146">
        <v>83.23</v>
      </c>
      <c r="BD12" s="146">
        <v>87.67</v>
      </c>
      <c r="BE12" s="146" t="s">
        <v>215</v>
      </c>
      <c r="BF12" s="146">
        <v>100</v>
      </c>
      <c r="BG12" s="134"/>
      <c r="BH12" s="146">
        <v>89.51</v>
      </c>
      <c r="BI12" s="146">
        <v>82.26</v>
      </c>
      <c r="BJ12" s="146">
        <v>70.599999999999994</v>
      </c>
      <c r="BK12" s="146">
        <v>68.099999999999994</v>
      </c>
      <c r="BL12" s="134"/>
      <c r="BM12" s="146">
        <v>87.3</v>
      </c>
      <c r="BN12" s="146">
        <v>77.290000000000006</v>
      </c>
      <c r="BO12" s="146">
        <v>65.349999999999994</v>
      </c>
      <c r="BP12" s="146">
        <v>91.62</v>
      </c>
      <c r="BQ12" s="146">
        <v>61.47</v>
      </c>
      <c r="BR12" s="134"/>
      <c r="BS12" s="146">
        <v>93.54</v>
      </c>
      <c r="BT12" s="146">
        <v>87.99</v>
      </c>
      <c r="BU12" s="146">
        <v>81.739999999999995</v>
      </c>
      <c r="BV12" s="146">
        <v>63.29</v>
      </c>
    </row>
    <row r="13" spans="1:74">
      <c r="A13" s="224" t="s">
        <v>221</v>
      </c>
      <c r="B13" s="225"/>
      <c r="C13" s="22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4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4"/>
      <c r="R13" s="26">
        <v>83.48</v>
      </c>
      <c r="S13" s="26">
        <v>83.12</v>
      </c>
      <c r="T13" s="134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4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4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4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4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4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4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9"/>
      <c r="B14" s="139"/>
      <c r="C14" s="140" t="s">
        <v>357</v>
      </c>
      <c r="D14" s="148">
        <v>78.88</v>
      </c>
      <c r="E14" s="148">
        <v>73.930000000000007</v>
      </c>
      <c r="F14" s="148"/>
      <c r="G14" s="148"/>
      <c r="H14" s="148"/>
      <c r="I14" s="148"/>
      <c r="J14" s="148"/>
      <c r="K14" s="149"/>
      <c r="L14" s="148">
        <v>82.41</v>
      </c>
      <c r="M14" s="148">
        <v>77.44</v>
      </c>
      <c r="N14" s="148">
        <v>78.069999999999993</v>
      </c>
      <c r="O14" s="148">
        <v>82.57</v>
      </c>
      <c r="P14" s="148">
        <v>86.36</v>
      </c>
      <c r="Q14" s="149"/>
      <c r="R14" s="148">
        <v>79.62</v>
      </c>
      <c r="S14" s="148">
        <v>78.790000000000006</v>
      </c>
      <c r="T14" s="149"/>
      <c r="U14" s="148">
        <v>68.069999999999993</v>
      </c>
      <c r="V14" s="148">
        <v>79.69</v>
      </c>
      <c r="W14" s="148">
        <v>79.13</v>
      </c>
      <c r="X14" s="148">
        <v>78.17</v>
      </c>
      <c r="Y14" s="148">
        <v>82.9</v>
      </c>
      <c r="Z14" s="149"/>
      <c r="AA14" s="148">
        <v>91.91</v>
      </c>
      <c r="AB14" s="148">
        <v>88.05</v>
      </c>
      <c r="AC14" s="148">
        <v>86.33</v>
      </c>
      <c r="AD14" s="148">
        <v>77.510000000000005</v>
      </c>
      <c r="AE14" s="148">
        <v>73.2</v>
      </c>
      <c r="AF14" s="148">
        <v>71.02</v>
      </c>
      <c r="AG14" s="148">
        <v>74.760000000000005</v>
      </c>
      <c r="AH14" s="148">
        <v>80.2</v>
      </c>
      <c r="AI14" s="148">
        <v>80.39</v>
      </c>
      <c r="AJ14" s="148" t="s">
        <v>215</v>
      </c>
      <c r="AK14" s="149"/>
      <c r="AL14" s="148">
        <v>83.99</v>
      </c>
      <c r="AM14" s="148">
        <v>78.19</v>
      </c>
      <c r="AN14" s="148">
        <v>76.42</v>
      </c>
      <c r="AO14" s="148">
        <v>76.36</v>
      </c>
      <c r="AP14" s="148">
        <v>80.75</v>
      </c>
      <c r="AQ14" s="148">
        <v>84.02</v>
      </c>
      <c r="AR14" s="149"/>
      <c r="AS14" s="148">
        <v>71.709999999999994</v>
      </c>
      <c r="AT14" s="148">
        <v>94.66</v>
      </c>
      <c r="AU14" s="148">
        <v>78.58</v>
      </c>
      <c r="AV14" s="148">
        <v>74.38</v>
      </c>
      <c r="AW14" s="148">
        <v>80.41</v>
      </c>
      <c r="AX14" s="148">
        <v>84.16</v>
      </c>
      <c r="AY14" s="148" t="s">
        <v>215</v>
      </c>
      <c r="AZ14" s="148">
        <v>87.49</v>
      </c>
      <c r="BA14" s="148">
        <v>80.099999999999994</v>
      </c>
      <c r="BB14" s="148">
        <v>77.22</v>
      </c>
      <c r="BC14" s="148">
        <v>75.45</v>
      </c>
      <c r="BD14" s="148">
        <v>82.2</v>
      </c>
      <c r="BE14" s="148" t="s">
        <v>215</v>
      </c>
      <c r="BF14" s="148">
        <v>91.82</v>
      </c>
      <c r="BG14" s="149"/>
      <c r="BH14" s="148">
        <v>84.86</v>
      </c>
      <c r="BI14" s="148">
        <v>74.510000000000005</v>
      </c>
      <c r="BJ14" s="148">
        <v>66.599999999999994</v>
      </c>
      <c r="BK14" s="148">
        <v>55.18</v>
      </c>
      <c r="BL14" s="149"/>
      <c r="BM14" s="148">
        <v>80.739999999999995</v>
      </c>
      <c r="BN14" s="148">
        <v>74.11</v>
      </c>
      <c r="BO14" s="148">
        <v>60.51</v>
      </c>
      <c r="BP14" s="148">
        <v>85.59</v>
      </c>
      <c r="BQ14" s="148">
        <v>59.82</v>
      </c>
      <c r="BR14" s="149"/>
      <c r="BS14" s="148" t="s">
        <v>215</v>
      </c>
      <c r="BT14" s="148" t="s">
        <v>215</v>
      </c>
      <c r="BU14" s="148" t="s">
        <v>215</v>
      </c>
      <c r="BV14" s="148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4"/>
      <c r="L16" s="218">
        <f>+SUM(L3:P3)</f>
        <v>4698</v>
      </c>
      <c r="M16" s="219"/>
      <c r="N16" s="219"/>
      <c r="O16" s="219"/>
      <c r="P16" s="220"/>
      <c r="Q16" s="134"/>
      <c r="R16" s="218">
        <f>+SUM(R3:S3)</f>
        <v>4667</v>
      </c>
      <c r="S16" s="220"/>
      <c r="T16" s="134"/>
      <c r="U16" s="218">
        <f>+SUM(U3:Y3)</f>
        <v>4690</v>
      </c>
      <c r="V16" s="219"/>
      <c r="W16" s="219"/>
      <c r="X16" s="219"/>
      <c r="Y16" s="220"/>
      <c r="Z16" s="134"/>
      <c r="AA16" s="218">
        <f>+SUM(AA3:AJ3)</f>
        <v>4649</v>
      </c>
      <c r="AB16" s="219"/>
      <c r="AC16" s="219"/>
      <c r="AD16" s="219"/>
      <c r="AE16" s="219"/>
      <c r="AF16" s="219"/>
      <c r="AG16" s="219"/>
      <c r="AH16" s="219"/>
      <c r="AI16" s="219"/>
      <c r="AJ16" s="220"/>
      <c r="AK16" s="134"/>
      <c r="AL16" s="218">
        <f>+SUM(AL3:AQ3)</f>
        <v>4670</v>
      </c>
      <c r="AM16" s="219"/>
      <c r="AN16" s="219"/>
      <c r="AO16" s="219"/>
      <c r="AP16" s="219"/>
      <c r="AQ16" s="220"/>
      <c r="AR16" s="134"/>
      <c r="AS16" s="218">
        <f>+SUM(AS3:BF3)</f>
        <v>4886</v>
      </c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20"/>
      <c r="BG16" s="134"/>
      <c r="BH16" s="218">
        <f>+SUM(BH3:BK3)</f>
        <v>4149</v>
      </c>
      <c r="BI16" s="219"/>
      <c r="BJ16" s="219"/>
      <c r="BK16" s="220"/>
      <c r="BL16" s="134"/>
      <c r="BM16" s="218">
        <f>+SUM(BM3:BQ3)</f>
        <v>3932</v>
      </c>
      <c r="BN16" s="219"/>
      <c r="BO16" s="219"/>
      <c r="BP16" s="219"/>
      <c r="BQ16" s="220"/>
      <c r="BR16" s="134"/>
      <c r="BS16" s="218">
        <f>+SUM(BS3:BV3)</f>
        <v>1839</v>
      </c>
      <c r="BT16" s="219"/>
      <c r="BU16" s="219"/>
      <c r="BV16" s="220"/>
    </row>
    <row r="17" spans="1:74">
      <c r="A17" s="136"/>
      <c r="B17" s="136"/>
      <c r="C17" s="137" t="s">
        <v>359</v>
      </c>
      <c r="D17" s="138"/>
      <c r="E17" s="138"/>
      <c r="F17" s="138"/>
      <c r="G17" s="138"/>
      <c r="H17" s="138"/>
      <c r="I17" s="138"/>
      <c r="J17" s="138"/>
      <c r="K17" s="134"/>
      <c r="L17" s="150">
        <f>+L3/$L$16</f>
        <v>6.2154108131119629E-2</v>
      </c>
      <c r="M17" s="150">
        <f t="shared" ref="M17:P17" si="0">+M3/$L$16</f>
        <v>0.42486164325244785</v>
      </c>
      <c r="N17" s="150">
        <f t="shared" si="0"/>
        <v>0.30353341847594723</v>
      </c>
      <c r="O17" s="150">
        <f t="shared" si="0"/>
        <v>0.15666240953597274</v>
      </c>
      <c r="P17" s="150">
        <f t="shared" si="0"/>
        <v>5.2788420604512561E-2</v>
      </c>
      <c r="Q17" s="134"/>
      <c r="R17" s="150">
        <f>+R3/$R$16</f>
        <v>0.53053353331904862</v>
      </c>
      <c r="S17" s="150">
        <f>+S3/$R$16</f>
        <v>0.46946646668095138</v>
      </c>
      <c r="T17" s="134"/>
      <c r="U17" s="150">
        <f>+U3/$U$16</f>
        <v>2.5586353944562902E-3</v>
      </c>
      <c r="V17" s="150">
        <f t="shared" ref="V17:Y17" si="1">+V3/$U$16</f>
        <v>7.6759061833688705E-2</v>
      </c>
      <c r="W17" s="150">
        <f t="shared" si="1"/>
        <v>0.48528784648187634</v>
      </c>
      <c r="X17" s="150">
        <f t="shared" si="1"/>
        <v>0.32878464818763325</v>
      </c>
      <c r="Y17" s="150">
        <f t="shared" si="1"/>
        <v>0.10660980810234541</v>
      </c>
      <c r="Z17" s="134"/>
      <c r="AA17" s="150">
        <f>+AA3/$AA$16</f>
        <v>1.5917401591740158E-2</v>
      </c>
      <c r="AB17" s="150">
        <f t="shared" ref="AB17:AJ17" si="2">+AB3/$AA$16</f>
        <v>2.98989029898903E-2</v>
      </c>
      <c r="AC17" s="150">
        <f t="shared" si="2"/>
        <v>0.2105829210582921</v>
      </c>
      <c r="AD17" s="150">
        <f t="shared" si="2"/>
        <v>0.17078941707894171</v>
      </c>
      <c r="AE17" s="150">
        <f t="shared" si="2"/>
        <v>8.3028608302860823E-2</v>
      </c>
      <c r="AF17" s="150">
        <f t="shared" si="2"/>
        <v>9.1632609163260922E-2</v>
      </c>
      <c r="AG17" s="150">
        <f t="shared" si="2"/>
        <v>0.11529361152936116</v>
      </c>
      <c r="AH17" s="150">
        <f t="shared" si="2"/>
        <v>0.18864271886427189</v>
      </c>
      <c r="AI17" s="150">
        <f t="shared" si="2"/>
        <v>8.5179608517960859E-2</v>
      </c>
      <c r="AJ17" s="150">
        <f t="shared" si="2"/>
        <v>9.0342009034200896E-3</v>
      </c>
      <c r="AK17" s="134"/>
      <c r="AL17" s="150">
        <f>+AL3/$AL$16</f>
        <v>9.1006423982869372E-2</v>
      </c>
      <c r="AM17" s="150">
        <f t="shared" ref="AM17:AQ17" si="3">+AM3/$AL$16</f>
        <v>0.24089935760171305</v>
      </c>
      <c r="AN17" s="150">
        <f t="shared" si="3"/>
        <v>0.25653104925053533</v>
      </c>
      <c r="AO17" s="150">
        <f t="shared" si="3"/>
        <v>8.8222698072805139E-2</v>
      </c>
      <c r="AP17" s="150">
        <f t="shared" si="3"/>
        <v>0.16937901498929336</v>
      </c>
      <c r="AQ17" s="150">
        <f t="shared" si="3"/>
        <v>0.15396145610278372</v>
      </c>
      <c r="AR17" s="134"/>
      <c r="AS17" s="150">
        <f>+AS3/$AS$16</f>
        <v>1.637331150225133E-3</v>
      </c>
      <c r="AT17" s="150">
        <f t="shared" ref="AT17:BF17" si="4">+AT3/$AS$16</f>
        <v>2.8653295128939827E-3</v>
      </c>
      <c r="AU17" s="150">
        <f t="shared" si="4"/>
        <v>8.3913221449038074E-3</v>
      </c>
      <c r="AV17" s="150">
        <f t="shared" si="4"/>
        <v>4.0728612361850186E-2</v>
      </c>
      <c r="AW17" s="150">
        <f t="shared" si="4"/>
        <v>0.53458862054850598</v>
      </c>
      <c r="AX17" s="150">
        <f t="shared" si="4"/>
        <v>1.9443307408923454E-2</v>
      </c>
      <c r="AY17" s="150">
        <f t="shared" si="4"/>
        <v>4.2979942693409743E-3</v>
      </c>
      <c r="AZ17" s="150">
        <f t="shared" si="4"/>
        <v>3.4793286942284077E-2</v>
      </c>
      <c r="BA17" s="150">
        <f t="shared" si="4"/>
        <v>2.0875972165370446E-2</v>
      </c>
      <c r="BB17" s="150">
        <f t="shared" si="4"/>
        <v>1.2279983626688497E-2</v>
      </c>
      <c r="BC17" s="150">
        <f t="shared" si="4"/>
        <v>0.30249693000409333</v>
      </c>
      <c r="BD17" s="150">
        <f t="shared" si="4"/>
        <v>1.4940646745804339E-2</v>
      </c>
      <c r="BE17" s="150">
        <f t="shared" si="4"/>
        <v>6.1399918133442485E-4</v>
      </c>
      <c r="BF17" s="150">
        <f t="shared" si="4"/>
        <v>2.0466639377814161E-3</v>
      </c>
      <c r="BG17" s="134"/>
      <c r="BH17" s="150">
        <f>+BH3/$BH$16</f>
        <v>0.58905760424198605</v>
      </c>
      <c r="BI17" s="150">
        <f t="shared" ref="BI17:BJ17" si="5">+BI3/$BH$16</f>
        <v>0.26223186309954205</v>
      </c>
      <c r="BJ17" s="150">
        <f t="shared" si="5"/>
        <v>0.12075198843094721</v>
      </c>
      <c r="BK17" s="150">
        <f>+BK3/$BH$16</f>
        <v>2.7958544227524706E-2</v>
      </c>
      <c r="BL17" s="134"/>
      <c r="BM17" s="150">
        <f>+BM3/$BM$16</f>
        <v>0.17293997965412003</v>
      </c>
      <c r="BN17" s="150">
        <f t="shared" ref="BN17:BP17" si="6">+BN3/$BM$16</f>
        <v>0.23906408952187183</v>
      </c>
      <c r="BO17" s="150">
        <f t="shared" si="6"/>
        <v>2.5686673448626653E-2</v>
      </c>
      <c r="BP17" s="150">
        <f t="shared" si="6"/>
        <v>0.50686673448626651</v>
      </c>
      <c r="BQ17" s="150">
        <f>+BQ3/$BM$16</f>
        <v>5.5442522889114956E-2</v>
      </c>
      <c r="BR17" s="134"/>
      <c r="BS17" s="150">
        <f>+BS3/$BS$16</f>
        <v>0.4290375203915171</v>
      </c>
      <c r="BT17" s="150">
        <f t="shared" ref="BT17:BV17" si="7">+BT3/$BS$16</f>
        <v>0.15388798259923872</v>
      </c>
      <c r="BU17" s="150">
        <f t="shared" si="7"/>
        <v>0.24469820554649266</v>
      </c>
      <c r="BV17" s="150">
        <f t="shared" si="7"/>
        <v>0.17237629146275149</v>
      </c>
    </row>
    <row r="18" spans="1:74">
      <c r="A18" s="136"/>
      <c r="B18" s="136"/>
      <c r="C18" s="137" t="s">
        <v>424</v>
      </c>
      <c r="D18" s="138"/>
      <c r="E18" s="138"/>
      <c r="F18" s="138"/>
      <c r="G18" s="138"/>
      <c r="H18" s="138"/>
      <c r="I18" s="138"/>
      <c r="J18" s="138"/>
      <c r="K18" s="134"/>
      <c r="L18" s="138"/>
      <c r="M18" s="138"/>
      <c r="N18" s="138"/>
      <c r="O18" s="138"/>
      <c r="P18" s="138"/>
      <c r="Q18" s="134"/>
      <c r="R18" s="138"/>
      <c r="S18" s="138"/>
      <c r="T18" s="134"/>
      <c r="U18" s="138"/>
      <c r="V18" s="138"/>
      <c r="W18" s="138"/>
      <c r="X18" s="138"/>
      <c r="Y18" s="138"/>
      <c r="Z18" s="134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4"/>
      <c r="AL18" s="138"/>
      <c r="AM18" s="138"/>
      <c r="AN18" s="138"/>
      <c r="AO18" s="138"/>
      <c r="AP18" s="138"/>
      <c r="AQ18" s="138"/>
      <c r="AR18" s="1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34"/>
      <c r="BH18" s="138"/>
      <c r="BI18" s="138"/>
      <c r="BJ18" s="138"/>
      <c r="BK18" s="138"/>
      <c r="BL18" s="134"/>
      <c r="BM18" s="138"/>
      <c r="BN18" s="138"/>
      <c r="BO18" s="138"/>
      <c r="BP18" s="138"/>
      <c r="BQ18" s="138"/>
      <c r="BR18" s="134"/>
      <c r="BS18" s="138"/>
      <c r="BT18" s="138"/>
      <c r="BU18" s="138"/>
      <c r="BV18" s="138"/>
    </row>
    <row r="19" spans="1:74">
      <c r="A19" s="139"/>
      <c r="B19" s="139"/>
      <c r="C19" s="140" t="s">
        <v>425</v>
      </c>
      <c r="D19" s="141"/>
      <c r="E19" s="141"/>
      <c r="F19" s="141"/>
      <c r="G19" s="141"/>
      <c r="H19" s="141"/>
      <c r="I19" s="141"/>
      <c r="J19" s="141"/>
      <c r="K19" s="134"/>
      <c r="L19" s="141"/>
      <c r="M19" s="141"/>
      <c r="N19" s="141"/>
      <c r="O19" s="141"/>
      <c r="P19" s="141"/>
      <c r="Q19" s="134"/>
      <c r="R19" s="141"/>
      <c r="S19" s="141"/>
      <c r="T19" s="134"/>
      <c r="U19" s="141"/>
      <c r="V19" s="141"/>
      <c r="W19" s="141"/>
      <c r="X19" s="141"/>
      <c r="Y19" s="141"/>
      <c r="Z19" s="134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34"/>
      <c r="AL19" s="141"/>
      <c r="AM19" s="141"/>
      <c r="AN19" s="141"/>
      <c r="AO19" s="141"/>
      <c r="AP19" s="141"/>
      <c r="AQ19" s="141"/>
      <c r="AR19" s="134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34"/>
      <c r="BH19" s="141"/>
      <c r="BI19" s="141"/>
      <c r="BJ19" s="141"/>
      <c r="BK19" s="141"/>
      <c r="BL19" s="134"/>
      <c r="BM19" s="221">
        <f>+SUM(BM5:BQ5)</f>
        <v>4577</v>
      </c>
      <c r="BN19" s="222"/>
      <c r="BO19" s="222"/>
      <c r="BP19" s="222"/>
      <c r="BQ19" s="223"/>
      <c r="BR19" s="134"/>
      <c r="BS19" s="141"/>
      <c r="BT19" s="141"/>
      <c r="BU19" s="141"/>
      <c r="BV19" s="141"/>
    </row>
    <row r="20" spans="1:74">
      <c r="A20" s="139"/>
      <c r="B20" s="139"/>
      <c r="C20" s="140" t="s">
        <v>426</v>
      </c>
      <c r="D20" s="141"/>
      <c r="E20" s="141"/>
      <c r="F20" s="141"/>
      <c r="G20" s="141"/>
      <c r="H20" s="141"/>
      <c r="I20" s="141"/>
      <c r="J20" s="141"/>
      <c r="K20" s="134"/>
      <c r="L20" s="141"/>
      <c r="M20" s="141"/>
      <c r="N20" s="141"/>
      <c r="O20" s="141"/>
      <c r="P20" s="141"/>
      <c r="Q20" s="134"/>
      <c r="R20" s="141"/>
      <c r="S20" s="141"/>
      <c r="T20" s="134"/>
      <c r="U20" s="141"/>
      <c r="V20" s="141"/>
      <c r="W20" s="141"/>
      <c r="X20" s="141"/>
      <c r="Y20" s="141"/>
      <c r="Z20" s="134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34"/>
      <c r="AL20" s="141"/>
      <c r="AM20" s="141"/>
      <c r="AN20" s="141"/>
      <c r="AO20" s="141"/>
      <c r="AP20" s="141"/>
      <c r="AQ20" s="141"/>
      <c r="AR20" s="134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34"/>
      <c r="BH20" s="141"/>
      <c r="BI20" s="141"/>
      <c r="BJ20" s="141"/>
      <c r="BK20" s="141"/>
      <c r="BL20" s="134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34"/>
      <c r="BS20" s="141"/>
      <c r="BT20" s="141"/>
      <c r="BU20" s="141"/>
      <c r="BV20" s="141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70" t="s">
        <v>248</v>
      </c>
      <c r="B2" s="244" t="s">
        <v>12</v>
      </c>
      <c r="C2" s="286">
        <f>+ROUND(AVERAGE(M2:M5),0)</f>
        <v>87</v>
      </c>
      <c r="D2" s="286">
        <f>+ROUND(AVERAGE(N2:N5),0)</f>
        <v>84</v>
      </c>
      <c r="E2" s="286">
        <f>+ROUND(AVERAGE(O2:O5),0)</f>
        <v>89</v>
      </c>
      <c r="F2" s="286">
        <f>+ROUND(AVERAGE(P2:P5),0)</f>
        <v>78</v>
      </c>
      <c r="G2" s="282">
        <f>+C2-E2</f>
        <v>-2</v>
      </c>
      <c r="H2" s="284">
        <f>+C2-F2</f>
        <v>9</v>
      </c>
      <c r="I2" s="290" t="s">
        <v>12</v>
      </c>
      <c r="J2" s="292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70"/>
      <c r="B3" s="244"/>
      <c r="C3" s="286"/>
      <c r="D3" s="286"/>
      <c r="E3" s="286"/>
      <c r="F3" s="286"/>
      <c r="G3" s="282"/>
      <c r="H3" s="284"/>
      <c r="I3" s="290"/>
      <c r="J3" s="293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70"/>
      <c r="B4" s="244"/>
      <c r="C4" s="286"/>
      <c r="D4" s="286"/>
      <c r="E4" s="286"/>
      <c r="F4" s="286"/>
      <c r="G4" s="282"/>
      <c r="H4" s="284"/>
      <c r="I4" s="290"/>
      <c r="J4" s="292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70"/>
      <c r="B5" s="245"/>
      <c r="C5" s="287"/>
      <c r="D5" s="287"/>
      <c r="E5" s="287"/>
      <c r="F5" s="287"/>
      <c r="G5" s="283"/>
      <c r="H5" s="285"/>
      <c r="I5" s="291"/>
      <c r="J5" s="293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70"/>
      <c r="B6" s="243" t="s">
        <v>13</v>
      </c>
      <c r="C6" s="239">
        <f>+ROUND(AVERAGE(M6:M11),0)</f>
        <v>86</v>
      </c>
      <c r="D6" s="239">
        <f>+ROUND(AVERAGE(N6:N11),0)</f>
        <v>82</v>
      </c>
      <c r="E6" s="239">
        <f>+ROUND(AVERAGE(O6:O11),0)</f>
        <v>89</v>
      </c>
      <c r="F6" s="239">
        <f>+ROUND(AVERAGE(P6:P11),0)</f>
        <v>80</v>
      </c>
      <c r="G6" s="257">
        <f>+C6-E6</f>
        <v>-3</v>
      </c>
      <c r="H6" s="258">
        <f>+C6-F6</f>
        <v>6</v>
      </c>
      <c r="I6" s="290" t="s">
        <v>13</v>
      </c>
      <c r="J6" s="292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70"/>
      <c r="B7" s="244"/>
      <c r="C7" s="231"/>
      <c r="D7" s="231"/>
      <c r="E7" s="231"/>
      <c r="F7" s="231"/>
      <c r="G7" s="247"/>
      <c r="H7" s="259"/>
      <c r="I7" s="290"/>
      <c r="J7" s="292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70"/>
      <c r="B8" s="244"/>
      <c r="C8" s="231"/>
      <c r="D8" s="231"/>
      <c r="E8" s="231"/>
      <c r="F8" s="231"/>
      <c r="G8" s="247"/>
      <c r="H8" s="259"/>
      <c r="I8" s="290"/>
      <c r="J8" s="293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70"/>
      <c r="B9" s="244"/>
      <c r="C9" s="231"/>
      <c r="D9" s="231"/>
      <c r="E9" s="231"/>
      <c r="F9" s="231"/>
      <c r="G9" s="247"/>
      <c r="H9" s="259"/>
      <c r="I9" s="290"/>
      <c r="J9" s="292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70"/>
      <c r="B10" s="244"/>
      <c r="C10" s="231"/>
      <c r="D10" s="231"/>
      <c r="E10" s="231"/>
      <c r="F10" s="231"/>
      <c r="G10" s="247"/>
      <c r="H10" s="259"/>
      <c r="I10" s="290"/>
      <c r="J10" s="293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70"/>
      <c r="B11" s="245"/>
      <c r="C11" s="232"/>
      <c r="D11" s="232"/>
      <c r="E11" s="232"/>
      <c r="F11" s="232"/>
      <c r="G11" s="272"/>
      <c r="H11" s="260"/>
      <c r="I11" s="291"/>
      <c r="J11" s="133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70"/>
      <c r="B12" s="243" t="s">
        <v>14</v>
      </c>
      <c r="C12" s="239">
        <f>+ROUND(AVERAGE(M12:M15),0)</f>
        <v>86</v>
      </c>
      <c r="D12" s="239">
        <f>+ROUND(AVERAGE(N12:N15),0)</f>
        <v>82</v>
      </c>
      <c r="E12" s="239">
        <f>+ROUND(AVERAGE(O12:O15),0)</f>
        <v>90</v>
      </c>
      <c r="F12" s="239">
        <f>+ROUND(AVERAGE(P12:P15),0)</f>
        <v>79</v>
      </c>
      <c r="G12" s="257">
        <f>+C12-E12</f>
        <v>-4</v>
      </c>
      <c r="H12" s="258">
        <f>+C12-F12</f>
        <v>7</v>
      </c>
      <c r="I12" s="290" t="s">
        <v>14</v>
      </c>
      <c r="J12" s="292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70"/>
      <c r="B13" s="244"/>
      <c r="C13" s="231"/>
      <c r="D13" s="231"/>
      <c r="E13" s="231"/>
      <c r="F13" s="231"/>
      <c r="G13" s="247"/>
      <c r="H13" s="259"/>
      <c r="I13" s="290"/>
      <c r="J13" s="292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70"/>
      <c r="B14" s="244"/>
      <c r="C14" s="231"/>
      <c r="D14" s="231"/>
      <c r="E14" s="231"/>
      <c r="F14" s="231"/>
      <c r="G14" s="247"/>
      <c r="H14" s="259"/>
      <c r="I14" s="290"/>
      <c r="J14" s="293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71"/>
      <c r="B15" s="273"/>
      <c r="C15" s="250"/>
      <c r="D15" s="250"/>
      <c r="E15" s="250"/>
      <c r="F15" s="250"/>
      <c r="G15" s="274"/>
      <c r="H15" s="275"/>
      <c r="I15" s="291"/>
      <c r="J15" s="133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69" t="s">
        <v>270</v>
      </c>
      <c r="B17" s="243" t="s">
        <v>15</v>
      </c>
      <c r="C17" s="239">
        <f>+ROUND(AVERAGE(M17:M20),0)</f>
        <v>82</v>
      </c>
      <c r="D17" s="239">
        <f>+ROUND(AVERAGE(N17:N20),0)</f>
        <v>79</v>
      </c>
      <c r="E17" s="239">
        <f>+ROUND(AVERAGE(O17:O20),0)</f>
        <v>89</v>
      </c>
      <c r="F17" s="239">
        <f>+ROUND(AVERAGE(P17:P20),0)</f>
        <v>77</v>
      </c>
      <c r="G17" s="257">
        <f>+C17-E17</f>
        <v>-7</v>
      </c>
      <c r="H17" s="258">
        <f>+C17-F17</f>
        <v>5</v>
      </c>
      <c r="I17" s="288" t="s">
        <v>15</v>
      </c>
      <c r="J17" s="295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69"/>
      <c r="B18" s="244"/>
      <c r="C18" s="231"/>
      <c r="D18" s="231"/>
      <c r="E18" s="231"/>
      <c r="F18" s="231"/>
      <c r="G18" s="247"/>
      <c r="H18" s="259"/>
      <c r="I18" s="294"/>
      <c r="J18" s="296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69"/>
      <c r="B19" s="244"/>
      <c r="C19" s="231"/>
      <c r="D19" s="231"/>
      <c r="E19" s="231"/>
      <c r="F19" s="231"/>
      <c r="G19" s="247"/>
      <c r="H19" s="259"/>
      <c r="I19" s="294"/>
      <c r="J19" s="297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69"/>
      <c r="B20" s="245"/>
      <c r="C20" s="232"/>
      <c r="D20" s="232"/>
      <c r="E20" s="232"/>
      <c r="F20" s="232"/>
      <c r="G20" s="272"/>
      <c r="H20" s="260"/>
      <c r="I20" s="289"/>
      <c r="J20" s="296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69"/>
      <c r="B21" s="243" t="s">
        <v>16</v>
      </c>
      <c r="C21" s="239">
        <f>+ROUND(AVERAGE(M21:M22),0)</f>
        <v>81</v>
      </c>
      <c r="D21" s="239">
        <f>+ROUND(AVERAGE(N21:N22),0)</f>
        <v>77</v>
      </c>
      <c r="E21" s="239">
        <f>+ROUND(AVERAGE(O21:O22),0)</f>
        <v>87</v>
      </c>
      <c r="F21" s="239">
        <f>+ROUND(AVERAGE(P21:P22),0)</f>
        <v>73</v>
      </c>
      <c r="G21" s="257">
        <f>+C21-E21</f>
        <v>-6</v>
      </c>
      <c r="H21" s="258">
        <f>+C21-F21</f>
        <v>8</v>
      </c>
      <c r="I21" s="288" t="s">
        <v>16</v>
      </c>
      <c r="J21" s="297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69"/>
      <c r="B22" s="245"/>
      <c r="C22" s="232"/>
      <c r="D22" s="232"/>
      <c r="E22" s="232"/>
      <c r="F22" s="232"/>
      <c r="G22" s="272"/>
      <c r="H22" s="260"/>
      <c r="I22" s="289"/>
      <c r="J22" s="296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69"/>
      <c r="B23" s="243" t="s">
        <v>17</v>
      </c>
      <c r="C23" s="239">
        <f>+ROUND(AVERAGE(M23:M29),0)</f>
        <v>81</v>
      </c>
      <c r="D23" s="239">
        <f>+ROUND(AVERAGE(N23:N29),0)</f>
        <v>77</v>
      </c>
      <c r="E23" s="239">
        <f>+ROUND(AVERAGE(O23:O29),0)</f>
        <v>89</v>
      </c>
      <c r="F23" s="239">
        <f>+ROUND(AVERAGE(P23:P29),0)</f>
        <v>78</v>
      </c>
      <c r="G23" s="257">
        <f>+C23-E23</f>
        <v>-8</v>
      </c>
      <c r="H23" s="258">
        <f>+C23-F23</f>
        <v>3</v>
      </c>
      <c r="I23" s="288" t="s">
        <v>17</v>
      </c>
      <c r="J23" s="297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69"/>
      <c r="B24" s="244"/>
      <c r="C24" s="231"/>
      <c r="D24" s="231"/>
      <c r="E24" s="231"/>
      <c r="F24" s="231"/>
      <c r="G24" s="247"/>
      <c r="H24" s="259"/>
      <c r="I24" s="294"/>
      <c r="J24" s="297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69"/>
      <c r="B25" s="244"/>
      <c r="C25" s="231"/>
      <c r="D25" s="231"/>
      <c r="E25" s="231"/>
      <c r="F25" s="231"/>
      <c r="G25" s="247"/>
      <c r="H25" s="259"/>
      <c r="I25" s="294"/>
      <c r="J25" s="296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69"/>
      <c r="B26" s="244"/>
      <c r="C26" s="231"/>
      <c r="D26" s="231"/>
      <c r="E26" s="231"/>
      <c r="F26" s="231"/>
      <c r="G26" s="247"/>
      <c r="H26" s="259"/>
      <c r="I26" s="294"/>
      <c r="J26" s="297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69"/>
      <c r="B27" s="244"/>
      <c r="C27" s="231"/>
      <c r="D27" s="231"/>
      <c r="E27" s="231"/>
      <c r="F27" s="231"/>
      <c r="G27" s="247"/>
      <c r="H27" s="259"/>
      <c r="I27" s="294"/>
      <c r="J27" s="297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69"/>
      <c r="B28" s="244"/>
      <c r="C28" s="231"/>
      <c r="D28" s="231"/>
      <c r="E28" s="231"/>
      <c r="F28" s="231"/>
      <c r="G28" s="247"/>
      <c r="H28" s="259"/>
      <c r="I28" s="294"/>
      <c r="J28" s="297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69"/>
      <c r="B29" s="273"/>
      <c r="C29" s="250"/>
      <c r="D29" s="250"/>
      <c r="E29" s="250"/>
      <c r="F29" s="250"/>
      <c r="G29" s="274"/>
      <c r="H29" s="275"/>
      <c r="I29" s="289"/>
      <c r="J29" s="296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55" t="s">
        <v>289</v>
      </c>
      <c r="B31" s="243" t="s">
        <v>18</v>
      </c>
      <c r="C31" s="239">
        <f>+ROUND(AVERAGE(M31:M34),0)</f>
        <v>69</v>
      </c>
      <c r="D31" s="239">
        <f>+ROUND(AVERAGE(N31:N34),0)</f>
        <v>63</v>
      </c>
      <c r="E31" s="239">
        <f>+ROUND(AVERAGE(O31:O34),0)</f>
        <v>77</v>
      </c>
      <c r="F31" s="239">
        <f>+ROUND(AVERAGE(P31:P34),0)</f>
        <v>65</v>
      </c>
      <c r="G31" s="257">
        <f>+C31-E31</f>
        <v>-8</v>
      </c>
      <c r="H31" s="258">
        <f>+C31-F31</f>
        <v>4</v>
      </c>
      <c r="I31" s="277" t="s">
        <v>18</v>
      </c>
      <c r="J31" s="298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55"/>
      <c r="B32" s="244"/>
      <c r="C32" s="231"/>
      <c r="D32" s="231"/>
      <c r="E32" s="231"/>
      <c r="F32" s="231"/>
      <c r="G32" s="247"/>
      <c r="H32" s="259"/>
      <c r="I32" s="277"/>
      <c r="J32" s="299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55"/>
      <c r="B33" s="244"/>
      <c r="C33" s="231"/>
      <c r="D33" s="231"/>
      <c r="E33" s="231"/>
      <c r="F33" s="231"/>
      <c r="G33" s="247"/>
      <c r="H33" s="259"/>
      <c r="I33" s="277"/>
      <c r="J33" s="300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55"/>
      <c r="B34" s="245"/>
      <c r="C34" s="232"/>
      <c r="D34" s="232"/>
      <c r="E34" s="232"/>
      <c r="F34" s="232"/>
      <c r="G34" s="247"/>
      <c r="H34" s="260"/>
      <c r="I34" s="278"/>
      <c r="J34" s="301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55"/>
      <c r="B35" s="261" t="s">
        <v>19</v>
      </c>
      <c r="C35" s="239">
        <f>+ROUND(AVERAGE(M35:M37),0)</f>
        <v>68</v>
      </c>
      <c r="D35" s="239">
        <f>+ROUND(AVERAGE(N35:N37),0)</f>
        <v>62</v>
      </c>
      <c r="E35" s="239">
        <f>+ROUND(AVERAGE(O35:O37),0)</f>
        <v>78</v>
      </c>
      <c r="F35" s="239">
        <f>+ROUND(AVERAGE(P35:P37),0)</f>
        <v>64</v>
      </c>
      <c r="G35" s="264">
        <f>+C35-E35</f>
        <v>-10</v>
      </c>
      <c r="H35" s="258">
        <f>+C35-F35</f>
        <v>4</v>
      </c>
      <c r="I35" s="302" t="s">
        <v>19</v>
      </c>
      <c r="J35" s="302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55"/>
      <c r="B36" s="262"/>
      <c r="C36" s="231"/>
      <c r="D36" s="231"/>
      <c r="E36" s="231"/>
      <c r="F36" s="231"/>
      <c r="G36" s="234"/>
      <c r="H36" s="259"/>
      <c r="I36" s="303"/>
      <c r="J36" s="303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55"/>
      <c r="B37" s="263"/>
      <c r="C37" s="232"/>
      <c r="D37" s="232"/>
      <c r="E37" s="232"/>
      <c r="F37" s="232"/>
      <c r="G37" s="235"/>
      <c r="H37" s="260"/>
      <c r="I37" s="304"/>
      <c r="J37" s="304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55"/>
      <c r="B38" s="243" t="s">
        <v>20</v>
      </c>
      <c r="C38" s="239">
        <f>+ROUND(AVERAGE(M38:M42),0)</f>
        <v>91</v>
      </c>
      <c r="D38" s="239">
        <f>+ROUND(AVERAGE(N38:N42),0)</f>
        <v>89</v>
      </c>
      <c r="E38" s="239">
        <f>+ROUND(AVERAGE(O38:O42),0)</f>
        <v>96</v>
      </c>
      <c r="F38" s="239">
        <f>+ROUND(AVERAGE(P38:P42),0)</f>
        <v>91</v>
      </c>
      <c r="G38" s="246">
        <f>+C38-E38</f>
        <v>-5</v>
      </c>
      <c r="H38" s="258">
        <f>+C38-F38</f>
        <v>0</v>
      </c>
      <c r="I38" s="276" t="s">
        <v>20</v>
      </c>
      <c r="J38" s="300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55"/>
      <c r="B39" s="244"/>
      <c r="C39" s="231"/>
      <c r="D39" s="231"/>
      <c r="E39" s="231"/>
      <c r="F39" s="231"/>
      <c r="G39" s="247"/>
      <c r="H39" s="259"/>
      <c r="I39" s="277"/>
      <c r="J39" s="299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55"/>
      <c r="B40" s="244"/>
      <c r="C40" s="231"/>
      <c r="D40" s="231"/>
      <c r="E40" s="231"/>
      <c r="F40" s="231"/>
      <c r="G40" s="247"/>
      <c r="H40" s="259"/>
      <c r="I40" s="277"/>
      <c r="J40" s="299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55"/>
      <c r="B41" s="244"/>
      <c r="C41" s="231"/>
      <c r="D41" s="231"/>
      <c r="E41" s="231"/>
      <c r="F41" s="231"/>
      <c r="G41" s="247"/>
      <c r="H41" s="259"/>
      <c r="I41" s="277"/>
      <c r="J41" s="299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56"/>
      <c r="B42" s="265"/>
      <c r="C42" s="266"/>
      <c r="D42" s="266"/>
      <c r="E42" s="266"/>
      <c r="F42" s="266"/>
      <c r="G42" s="267"/>
      <c r="H42" s="268"/>
      <c r="I42" s="278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251" t="s">
        <v>306</v>
      </c>
      <c r="B44" s="237" t="s">
        <v>21</v>
      </c>
      <c r="C44" s="231">
        <f>+ROUND(AVERAGE(M44:M45),0)</f>
        <v>81</v>
      </c>
      <c r="D44" s="231">
        <f>+ROUND(AVERAGE(N44:N45),0)</f>
        <v>76</v>
      </c>
      <c r="E44" s="231">
        <f>+ROUND(AVERAGE(O44:O45),0)</f>
        <v>88</v>
      </c>
      <c r="F44" s="231">
        <f>+ROUND(AVERAGE(P44:P45),0)</f>
        <v>77</v>
      </c>
      <c r="G44" s="233">
        <f>+C44-E44</f>
        <v>-7</v>
      </c>
      <c r="H44" s="259">
        <f>+C44-F44</f>
        <v>4</v>
      </c>
      <c r="I44" s="305" t="s">
        <v>21</v>
      </c>
      <c r="J44" s="306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251"/>
      <c r="B45" s="253"/>
      <c r="C45" s="232"/>
      <c r="D45" s="232"/>
      <c r="E45" s="232"/>
      <c r="F45" s="232"/>
      <c r="G45" s="254"/>
      <c r="H45" s="260"/>
      <c r="I45" s="307"/>
      <c r="J45" s="308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251"/>
      <c r="B46" s="236" t="s">
        <v>22</v>
      </c>
      <c r="C46" s="239">
        <f>+ROUND(AVERAGE(M46:M47),0)</f>
        <v>84</v>
      </c>
      <c r="D46" s="239">
        <f>+ROUND(AVERAGE(N46:N47),0)</f>
        <v>79</v>
      </c>
      <c r="E46" s="239">
        <f>+ROUND(AVERAGE(O46:O47),0)</f>
        <v>91</v>
      </c>
      <c r="F46" s="239">
        <f>+ROUND(AVERAGE(P46:P47),0)</f>
        <v>80</v>
      </c>
      <c r="G46" s="241">
        <f>+C46-E46</f>
        <v>-7</v>
      </c>
      <c r="H46" s="258">
        <f>+C46-F46</f>
        <v>4</v>
      </c>
      <c r="I46" s="305" t="s">
        <v>22</v>
      </c>
      <c r="J46" s="306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251"/>
      <c r="B47" s="253"/>
      <c r="C47" s="232"/>
      <c r="D47" s="232"/>
      <c r="E47" s="232"/>
      <c r="F47" s="232"/>
      <c r="G47" s="254"/>
      <c r="H47" s="260"/>
      <c r="I47" s="307"/>
      <c r="J47" s="308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251"/>
      <c r="B48" s="236" t="s">
        <v>23</v>
      </c>
      <c r="C48" s="239">
        <f>+ROUND(AVERAGE(M48:M51),0)</f>
        <v>84</v>
      </c>
      <c r="D48" s="239">
        <f>+ROUND(AVERAGE(N48:N51),0)</f>
        <v>79</v>
      </c>
      <c r="E48" s="239">
        <f>+ROUND(AVERAGE(O48:O51),0)</f>
        <v>91</v>
      </c>
      <c r="F48" s="239">
        <f>+ROUND(AVERAGE(P48:P51),0)</f>
        <v>82</v>
      </c>
      <c r="G48" s="241">
        <f>+C48-E48</f>
        <v>-7</v>
      </c>
      <c r="H48" s="258">
        <f>+C48-F48</f>
        <v>2</v>
      </c>
      <c r="I48" s="305" t="s">
        <v>23</v>
      </c>
      <c r="J48" s="306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251"/>
      <c r="B49" s="237"/>
      <c r="C49" s="231"/>
      <c r="D49" s="231"/>
      <c r="E49" s="231"/>
      <c r="F49" s="231"/>
      <c r="G49" s="234"/>
      <c r="H49" s="259"/>
      <c r="I49" s="310"/>
      <c r="J49" s="311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251"/>
      <c r="B50" s="237"/>
      <c r="C50" s="231"/>
      <c r="D50" s="231"/>
      <c r="E50" s="231"/>
      <c r="F50" s="231"/>
      <c r="G50" s="234"/>
      <c r="H50" s="259"/>
      <c r="I50" s="310"/>
      <c r="J50" s="311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252"/>
      <c r="B51" s="238"/>
      <c r="C51" s="240"/>
      <c r="D51" s="240"/>
      <c r="E51" s="240"/>
      <c r="F51" s="240"/>
      <c r="G51" s="242"/>
      <c r="H51" s="309"/>
      <c r="I51" s="307"/>
      <c r="J51" s="308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227" t="s">
        <v>315</v>
      </c>
      <c r="B53" s="229" t="s">
        <v>24</v>
      </c>
      <c r="C53" s="231">
        <f>+ROUND(AVERAGE(M53:M55),0)</f>
        <v>87</v>
      </c>
      <c r="D53" s="231">
        <f>+ROUND(AVERAGE(N53:N55),0)</f>
        <v>83</v>
      </c>
      <c r="E53" s="231">
        <f>+ROUND(AVERAGE(O53:O55),0)</f>
        <v>93</v>
      </c>
      <c r="F53" s="231">
        <f>+ROUND(AVERAGE(P53:P55),0)</f>
        <v>84</v>
      </c>
      <c r="G53" s="233">
        <f>+C53-E53</f>
        <v>-6</v>
      </c>
      <c r="H53" s="259">
        <f>+C53-F53</f>
        <v>3</v>
      </c>
      <c r="I53" s="312" t="s">
        <v>24</v>
      </c>
      <c r="J53" s="312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227"/>
      <c r="B54" s="229"/>
      <c r="C54" s="231"/>
      <c r="D54" s="231"/>
      <c r="E54" s="231"/>
      <c r="F54" s="231"/>
      <c r="G54" s="234"/>
      <c r="H54" s="259"/>
      <c r="I54" s="312"/>
      <c r="J54" s="312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227"/>
      <c r="B55" s="230"/>
      <c r="C55" s="232"/>
      <c r="D55" s="232"/>
      <c r="E55" s="232"/>
      <c r="F55" s="232"/>
      <c r="G55" s="235"/>
      <c r="H55" s="260"/>
      <c r="I55" s="313"/>
      <c r="J55" s="313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227"/>
      <c r="B56" s="243" t="s">
        <v>25</v>
      </c>
      <c r="C56" s="239">
        <f>+ROUND(AVERAGE(M56:M59),0)</f>
        <v>88</v>
      </c>
      <c r="D56" s="239">
        <f>+ROUND(AVERAGE(N56:N59),0)</f>
        <v>84</v>
      </c>
      <c r="E56" s="239">
        <f>+ROUND(AVERAGE(O56:O59),0)</f>
        <v>94</v>
      </c>
      <c r="F56" s="239">
        <f>+ROUND(AVERAGE(P56:P59),0)</f>
        <v>86</v>
      </c>
      <c r="G56" s="246">
        <f>+C56-E56</f>
        <v>-6</v>
      </c>
      <c r="H56" s="258">
        <f>+C56-F56</f>
        <v>2</v>
      </c>
      <c r="I56" s="279" t="s">
        <v>25</v>
      </c>
      <c r="J56" s="317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227"/>
      <c r="B57" s="244"/>
      <c r="C57" s="231"/>
      <c r="D57" s="231"/>
      <c r="E57" s="231"/>
      <c r="F57" s="231"/>
      <c r="G57" s="247"/>
      <c r="H57" s="259"/>
      <c r="I57" s="280"/>
      <c r="J57" s="318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227"/>
      <c r="B58" s="244"/>
      <c r="C58" s="231"/>
      <c r="D58" s="231"/>
      <c r="E58" s="231"/>
      <c r="F58" s="231"/>
      <c r="G58" s="247"/>
      <c r="H58" s="259"/>
      <c r="I58" s="280"/>
      <c r="J58" s="317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227"/>
      <c r="B59" s="245"/>
      <c r="C59" s="232"/>
      <c r="D59" s="232"/>
      <c r="E59" s="232"/>
      <c r="F59" s="232"/>
      <c r="G59" s="247"/>
      <c r="H59" s="260"/>
      <c r="I59" s="281"/>
      <c r="J59" s="319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227"/>
      <c r="B60" s="248" t="s">
        <v>26</v>
      </c>
      <c r="C60" s="239">
        <f>+ROUND(AVERAGE(M60:M62),0)</f>
        <v>82</v>
      </c>
      <c r="D60" s="239">
        <f>+ROUND(AVERAGE(N60:N62),0)</f>
        <v>78</v>
      </c>
      <c r="E60" s="239">
        <f>+ROUND(AVERAGE(O60:O62),0)</f>
        <v>90</v>
      </c>
      <c r="F60" s="239">
        <f>+ROUND(AVERAGE(P60:P62),0)</f>
        <v>78</v>
      </c>
      <c r="G60" s="264">
        <f>+C60-E60</f>
        <v>-8</v>
      </c>
      <c r="H60" s="258">
        <f>+C60-F60</f>
        <v>4</v>
      </c>
      <c r="I60" s="320" t="s">
        <v>26</v>
      </c>
      <c r="J60" s="320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227"/>
      <c r="B61" s="229"/>
      <c r="C61" s="231"/>
      <c r="D61" s="231"/>
      <c r="E61" s="231"/>
      <c r="F61" s="231"/>
      <c r="G61" s="234"/>
      <c r="H61" s="259"/>
      <c r="I61" s="312"/>
      <c r="J61" s="312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228"/>
      <c r="B62" s="249"/>
      <c r="C62" s="250"/>
      <c r="D62" s="250"/>
      <c r="E62" s="250"/>
      <c r="F62" s="250"/>
      <c r="G62" s="235"/>
      <c r="H62" s="275"/>
      <c r="I62" s="313"/>
      <c r="J62" s="313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29"/>
      <c r="C64" s="231"/>
      <c r="D64" s="231"/>
      <c r="E64" s="231"/>
      <c r="F64" s="231"/>
      <c r="G64" s="233"/>
      <c r="H64" s="259"/>
      <c r="I64" s="75"/>
      <c r="J64" s="321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29"/>
      <c r="C65" s="231"/>
      <c r="D65" s="231"/>
      <c r="E65" s="231"/>
      <c r="F65" s="231"/>
      <c r="G65" s="233"/>
      <c r="H65" s="259"/>
      <c r="I65" s="75"/>
      <c r="J65" s="322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29"/>
      <c r="C66" s="231"/>
      <c r="D66" s="231"/>
      <c r="E66" s="231"/>
      <c r="F66" s="231"/>
      <c r="G66" s="233"/>
      <c r="H66" s="259"/>
      <c r="I66" s="75"/>
      <c r="J66" s="322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29"/>
      <c r="C67" s="231"/>
      <c r="D67" s="231"/>
      <c r="E67" s="231"/>
      <c r="F67" s="231"/>
      <c r="G67" s="233"/>
      <c r="H67" s="259"/>
      <c r="I67" s="75"/>
      <c r="J67" s="322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29"/>
      <c r="C68" s="231"/>
      <c r="D68" s="231"/>
      <c r="E68" s="231"/>
      <c r="F68" s="231"/>
      <c r="G68" s="233"/>
      <c r="H68" s="259"/>
      <c r="I68" s="75"/>
      <c r="J68" s="322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29"/>
      <c r="C69" s="231"/>
      <c r="D69" s="231"/>
      <c r="E69" s="231"/>
      <c r="F69" s="231"/>
      <c r="G69" s="234"/>
      <c r="H69" s="259"/>
      <c r="I69" s="75"/>
      <c r="J69" s="322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30"/>
      <c r="C70" s="232"/>
      <c r="D70" s="232"/>
      <c r="E70" s="232"/>
      <c r="F70" s="232"/>
      <c r="G70" s="235"/>
      <c r="H70" s="260"/>
      <c r="I70" s="75"/>
      <c r="J70" s="323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314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315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315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315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316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316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316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316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316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H28" sqref="H28"/>
    </sheetView>
  </sheetViews>
  <sheetFormatPr baseColWidth="10" defaultRowHeight="15"/>
  <cols>
    <col min="2" max="10" width="16.7109375" customWidth="1"/>
  </cols>
  <sheetData>
    <row r="2" spans="2:10" ht="18.75" customHeight="1">
      <c r="B2" s="324" t="s">
        <v>222</v>
      </c>
      <c r="C2" s="324"/>
      <c r="D2" s="324"/>
      <c r="E2" s="324"/>
      <c r="F2" s="324"/>
      <c r="G2" s="324"/>
      <c r="H2" s="324"/>
      <c r="I2" s="324"/>
      <c r="J2" s="324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29"/>
    </row>
    <row r="24" spans="2:10">
      <c r="B24" s="29" t="s">
        <v>478</v>
      </c>
      <c r="C24" s="193"/>
      <c r="D24" s="29" t="s">
        <v>198</v>
      </c>
      <c r="E24" s="29" t="s">
        <v>344</v>
      </c>
      <c r="F24" s="29" t="s">
        <v>433</v>
      </c>
      <c r="G24" s="29" t="s">
        <v>345</v>
      </c>
      <c r="H24" s="27" t="s">
        <v>434</v>
      </c>
      <c r="I24" s="27">
        <v>1</v>
      </c>
      <c r="J24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H79" sqref="H79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5" t="s">
        <v>183</v>
      </c>
      <c r="D5" s="326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31" t="s">
        <v>75</v>
      </c>
      <c r="D7" s="332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31" t="s">
        <v>27</v>
      </c>
      <c r="D12" s="332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7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28"/>
      <c r="C14" s="335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28"/>
      <c r="C15" s="335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29"/>
      <c r="C16" s="335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27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28"/>
      <c r="C18" s="330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28"/>
      <c r="C19" s="336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29"/>
      <c r="C20" s="336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27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28"/>
      <c r="C22" s="330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28"/>
      <c r="C23" s="336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29"/>
      <c r="C24" s="336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27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28"/>
      <c r="C26" s="335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28"/>
      <c r="C27" s="335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29"/>
      <c r="C28" s="335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27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28"/>
      <c r="C30" s="335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28"/>
      <c r="C31" s="335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29"/>
      <c r="C32" s="335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31" t="s">
        <v>77</v>
      </c>
      <c r="D33" s="332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31" t="s">
        <v>189</v>
      </c>
      <c r="D39" s="332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7" t="s">
        <v>126</v>
      </c>
      <c r="C40" s="330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28"/>
      <c r="C41" s="328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28"/>
      <c r="C42" s="328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28"/>
      <c r="C43" s="328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28"/>
      <c r="C44" s="328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28"/>
      <c r="C45" s="328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28"/>
      <c r="C46" s="328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28"/>
      <c r="C47" s="328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28"/>
      <c r="C48" s="328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28"/>
      <c r="C49" s="328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28"/>
      <c r="C50" s="328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28"/>
      <c r="C51" s="328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28"/>
      <c r="C52" s="328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28"/>
      <c r="C53" s="328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29"/>
      <c r="C54" s="329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27" t="s">
        <v>100</v>
      </c>
      <c r="C55" s="330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28"/>
      <c r="C56" s="328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28"/>
      <c r="C57" s="328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28"/>
      <c r="C58" s="328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28"/>
      <c r="C59" s="328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28"/>
      <c r="C60" s="328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28"/>
      <c r="C61" s="328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28"/>
      <c r="C62" s="328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28"/>
      <c r="C63" s="328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28"/>
      <c r="C64" s="328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28"/>
      <c r="C65" s="328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28"/>
      <c r="C66" s="328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28"/>
      <c r="C67" s="328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28"/>
      <c r="C68" s="328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28"/>
      <c r="C69" s="328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29"/>
      <c r="C70" s="329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31" t="s">
        <v>70</v>
      </c>
      <c r="D71" s="333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5" t="s">
        <v>11</v>
      </c>
      <c r="D73" s="334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1"/>
  <sheetViews>
    <sheetView tabSelected="1" topLeftCell="E78" workbookViewId="0">
      <selection activeCell="I122" sqref="I122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7" t="s">
        <v>452</v>
      </c>
      <c r="C2" s="338"/>
      <c r="D2" s="338"/>
      <c r="E2" s="339"/>
      <c r="F2" s="339"/>
    </row>
    <row r="3" spans="2:10" ht="20.100000000000001" customHeight="1">
      <c r="B3" s="154" t="s">
        <v>471</v>
      </c>
      <c r="C3" s="154" t="s">
        <v>459</v>
      </c>
      <c r="D3" s="154" t="s">
        <v>453</v>
      </c>
      <c r="E3" s="154" t="s">
        <v>454</v>
      </c>
      <c r="F3" s="154" t="s">
        <v>455</v>
      </c>
    </row>
    <row r="4" spans="2:10">
      <c r="B4" s="115">
        <v>1</v>
      </c>
      <c r="C4" s="115" t="s">
        <v>460</v>
      </c>
      <c r="D4" s="115" t="s">
        <v>470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456</v>
      </c>
      <c r="E5" s="115">
        <v>18</v>
      </c>
      <c r="F5" s="115"/>
    </row>
    <row r="6" spans="2:10" s="118" customFormat="1">
      <c r="B6" s="153">
        <v>3</v>
      </c>
      <c r="C6" s="153" t="s">
        <v>0</v>
      </c>
      <c r="D6" s="153" t="s">
        <v>464</v>
      </c>
      <c r="E6" s="153">
        <v>19</v>
      </c>
      <c r="F6" s="153"/>
      <c r="G6" s="117"/>
      <c r="H6" s="117"/>
      <c r="I6" s="117"/>
      <c r="J6" s="117"/>
    </row>
    <row r="7" spans="2:10" s="118" customFormat="1">
      <c r="B7" s="153">
        <v>4</v>
      </c>
      <c r="C7" s="153" t="s">
        <v>0</v>
      </c>
      <c r="D7" s="153" t="s">
        <v>472</v>
      </c>
      <c r="E7" s="153">
        <v>19</v>
      </c>
      <c r="F7" s="153"/>
      <c r="G7" s="117"/>
      <c r="H7" s="117"/>
      <c r="I7" s="117"/>
      <c r="J7" s="117"/>
    </row>
    <row r="8" spans="2:10" s="118" customFormat="1">
      <c r="B8" s="153">
        <v>5</v>
      </c>
      <c r="C8" s="153" t="s">
        <v>460</v>
      </c>
      <c r="D8" s="153" t="s">
        <v>457</v>
      </c>
      <c r="E8" s="153">
        <v>20</v>
      </c>
      <c r="F8" s="153"/>
      <c r="G8" s="117"/>
      <c r="H8" s="117"/>
      <c r="I8" s="117"/>
      <c r="J8" s="117"/>
    </row>
    <row r="9" spans="2:10" s="118" customFormat="1">
      <c r="B9" s="153">
        <v>6</v>
      </c>
      <c r="C9" s="153" t="s">
        <v>1</v>
      </c>
      <c r="D9" s="153" t="s">
        <v>461</v>
      </c>
      <c r="E9" s="153">
        <v>21</v>
      </c>
      <c r="F9" s="153">
        <v>24</v>
      </c>
      <c r="G9" s="117"/>
      <c r="H9" s="117"/>
      <c r="I9" s="117"/>
      <c r="J9" s="117"/>
    </row>
    <row r="10" spans="2:10" s="118" customFormat="1">
      <c r="B10" s="153">
        <v>7</v>
      </c>
      <c r="C10" s="153" t="s">
        <v>460</v>
      </c>
      <c r="D10" s="153" t="s">
        <v>458</v>
      </c>
      <c r="E10" s="153">
        <v>25</v>
      </c>
      <c r="F10" s="153">
        <v>27</v>
      </c>
      <c r="G10" s="117"/>
      <c r="H10" s="117"/>
      <c r="I10" s="117"/>
      <c r="J10" s="117"/>
    </row>
    <row r="11" spans="2:10" s="118" customFormat="1">
      <c r="B11" s="153">
        <v>8</v>
      </c>
      <c r="C11" s="153" t="s">
        <v>1</v>
      </c>
      <c r="D11" s="153" t="s">
        <v>465</v>
      </c>
      <c r="E11" s="153">
        <v>28</v>
      </c>
      <c r="F11" s="153">
        <v>37</v>
      </c>
      <c r="G11" s="117"/>
      <c r="H11" s="117"/>
      <c r="I11" s="117"/>
      <c r="J11" s="117"/>
    </row>
    <row r="12" spans="2:10" s="118" customFormat="1">
      <c r="B12" s="153">
        <v>9</v>
      </c>
      <c r="C12" s="153" t="s">
        <v>1</v>
      </c>
      <c r="D12" s="153" t="s">
        <v>466</v>
      </c>
      <c r="E12" s="153">
        <v>38</v>
      </c>
      <c r="F12" s="153">
        <v>39</v>
      </c>
      <c r="G12" s="117"/>
      <c r="H12" s="117"/>
      <c r="I12" s="117"/>
      <c r="J12" s="117"/>
    </row>
    <row r="13" spans="2:10" s="118" customFormat="1">
      <c r="B13" s="153">
        <v>10</v>
      </c>
      <c r="C13" s="153" t="s">
        <v>1</v>
      </c>
      <c r="D13" s="153" t="s">
        <v>477</v>
      </c>
      <c r="E13" s="153"/>
      <c r="F13" s="153"/>
      <c r="G13" s="117"/>
      <c r="H13" s="117"/>
      <c r="I13" s="117"/>
      <c r="J13" s="117"/>
    </row>
    <row r="14" spans="2:10" s="118" customFormat="1">
      <c r="B14" s="153">
        <v>11</v>
      </c>
      <c r="C14" s="153" t="s">
        <v>460</v>
      </c>
      <c r="D14" s="153" t="s">
        <v>329</v>
      </c>
      <c r="E14" s="153">
        <v>40</v>
      </c>
      <c r="F14" s="153"/>
      <c r="G14" s="117"/>
      <c r="H14" s="117"/>
      <c r="I14" s="117"/>
      <c r="J14" s="117"/>
    </row>
    <row r="15" spans="2:10" s="118" customFormat="1">
      <c r="B15" s="153">
        <v>12</v>
      </c>
      <c r="C15" s="153" t="s">
        <v>1</v>
      </c>
      <c r="D15" s="153" t="s">
        <v>462</v>
      </c>
      <c r="E15" s="153">
        <v>41</v>
      </c>
      <c r="F15" s="153">
        <v>42</v>
      </c>
      <c r="G15" s="117"/>
      <c r="H15" s="117"/>
      <c r="I15" s="117"/>
      <c r="J15" s="117"/>
    </row>
    <row r="16" spans="2:10" s="118" customFormat="1">
      <c r="B16" s="153">
        <v>13</v>
      </c>
      <c r="C16" s="153" t="s">
        <v>460</v>
      </c>
      <c r="D16" s="153" t="s">
        <v>467</v>
      </c>
      <c r="E16" s="153">
        <v>43</v>
      </c>
      <c r="F16" s="153"/>
      <c r="G16" s="117"/>
      <c r="H16" s="117"/>
      <c r="I16" s="117"/>
      <c r="J16" s="117"/>
    </row>
    <row r="17" spans="2:10" s="118" customFormat="1">
      <c r="B17" s="153">
        <v>14</v>
      </c>
      <c r="C17" s="153" t="s">
        <v>0</v>
      </c>
      <c r="D17" s="153" t="s">
        <v>468</v>
      </c>
      <c r="E17" s="153">
        <v>44</v>
      </c>
      <c r="F17" s="153"/>
      <c r="G17" s="117"/>
      <c r="H17" s="117"/>
      <c r="I17" s="117"/>
      <c r="J17" s="117"/>
    </row>
    <row r="18" spans="2:10" s="118" customFormat="1">
      <c r="B18" s="153">
        <v>15</v>
      </c>
      <c r="C18" s="153" t="s">
        <v>460</v>
      </c>
      <c r="D18" s="153" t="s">
        <v>469</v>
      </c>
      <c r="E18" s="153">
        <v>45</v>
      </c>
      <c r="F18" s="153">
        <v>56</v>
      </c>
      <c r="G18" s="117"/>
      <c r="H18" s="117"/>
      <c r="I18" s="117"/>
      <c r="J18" s="117"/>
    </row>
    <row r="19" spans="2:10" s="118" customFormat="1">
      <c r="B19" s="153">
        <v>16</v>
      </c>
      <c r="C19" s="153" t="s">
        <v>460</v>
      </c>
      <c r="D19" s="153" t="s">
        <v>463</v>
      </c>
      <c r="E19" s="153">
        <v>57</v>
      </c>
      <c r="F19" s="153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40" t="s">
        <v>479</v>
      </c>
      <c r="C27" s="341"/>
      <c r="D27" s="341"/>
      <c r="E27" s="341"/>
      <c r="F27" s="341"/>
      <c r="G27" s="341"/>
      <c r="H27" s="341"/>
      <c r="I27" s="341"/>
      <c r="J27" s="341"/>
    </row>
    <row r="28" spans="2:10" ht="18.75">
      <c r="B28" s="155" t="s">
        <v>480</v>
      </c>
      <c r="C28" s="155" t="s">
        <v>481</v>
      </c>
      <c r="D28" s="155" t="s">
        <v>482</v>
      </c>
      <c r="E28" s="155" t="s">
        <v>483</v>
      </c>
      <c r="F28" s="155" t="s">
        <v>484</v>
      </c>
      <c r="G28" s="155" t="s">
        <v>485</v>
      </c>
      <c r="H28" s="155" t="s">
        <v>486</v>
      </c>
      <c r="I28" s="155" t="s">
        <v>487</v>
      </c>
      <c r="J28" s="155" t="s">
        <v>488</v>
      </c>
    </row>
    <row r="29" spans="2:10">
      <c r="B29" s="115">
        <v>1</v>
      </c>
      <c r="C29" s="115">
        <v>1</v>
      </c>
      <c r="D29" s="115"/>
      <c r="E29" s="115" t="s">
        <v>460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460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460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460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460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460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460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460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460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460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460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460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460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460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460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460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460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199</v>
      </c>
      <c r="E47" s="115" t="s">
        <v>0</v>
      </c>
      <c r="F47" s="115" t="s">
        <v>231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28</v>
      </c>
      <c r="E48" s="115" t="s">
        <v>0</v>
      </c>
      <c r="F48" s="115" t="s">
        <v>143</v>
      </c>
      <c r="G48" s="115">
        <v>95</v>
      </c>
      <c r="H48" s="115">
        <v>250</v>
      </c>
      <c r="I48" s="115"/>
      <c r="J48" s="115"/>
    </row>
    <row r="49" spans="2:10">
      <c r="B49" s="115">
        <v>21</v>
      </c>
      <c r="C49" s="115">
        <v>19</v>
      </c>
      <c r="D49" s="115" t="s">
        <v>29</v>
      </c>
      <c r="E49" s="115" t="s">
        <v>0</v>
      </c>
      <c r="F49" s="115" t="s">
        <v>145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159</v>
      </c>
      <c r="E50" s="115" t="s">
        <v>0</v>
      </c>
      <c r="F50" s="115" t="s">
        <v>147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388</v>
      </c>
      <c r="E51" s="115" t="s">
        <v>0</v>
      </c>
      <c r="F51" s="115" t="s">
        <v>149</v>
      </c>
      <c r="G51" s="115">
        <v>95</v>
      </c>
      <c r="H51" s="115">
        <v>250</v>
      </c>
      <c r="I51" s="115"/>
      <c r="J51" s="115"/>
    </row>
    <row r="52" spans="2:10">
      <c r="B52" s="115">
        <v>24</v>
      </c>
      <c r="C52" s="115">
        <v>19</v>
      </c>
      <c r="D52" s="115" t="s">
        <v>160</v>
      </c>
      <c r="E52" s="115" t="s">
        <v>0</v>
      </c>
      <c r="F52" s="115" t="s">
        <v>150</v>
      </c>
      <c r="G52" s="115">
        <v>95</v>
      </c>
      <c r="H52" s="115"/>
      <c r="I52" s="115"/>
      <c r="J52" s="115"/>
    </row>
    <row r="53" spans="2:10">
      <c r="B53" s="115">
        <v>25</v>
      </c>
      <c r="C53" s="115">
        <v>19</v>
      </c>
      <c r="D53" s="115" t="s">
        <v>389</v>
      </c>
      <c r="E53" s="115" t="s">
        <v>0</v>
      </c>
      <c r="F53" s="115" t="s">
        <v>152</v>
      </c>
      <c r="G53" s="115">
        <v>95</v>
      </c>
      <c r="H53" s="115">
        <v>250</v>
      </c>
      <c r="I53" s="115"/>
      <c r="J53" s="115"/>
    </row>
    <row r="54" spans="2:10">
      <c r="B54" s="115">
        <v>26</v>
      </c>
      <c r="C54" s="115">
        <v>19</v>
      </c>
      <c r="D54" s="115" t="s">
        <v>161</v>
      </c>
      <c r="E54" s="115" t="s">
        <v>0</v>
      </c>
      <c r="F54" s="115" t="s">
        <v>153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142</v>
      </c>
      <c r="E55" s="115" t="s">
        <v>0</v>
      </c>
      <c r="F55" s="115" t="s">
        <v>155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19</v>
      </c>
      <c r="D56" s="115" t="s">
        <v>162</v>
      </c>
      <c r="E56" s="115" t="s">
        <v>0</v>
      </c>
      <c r="F56" s="115" t="s">
        <v>157</v>
      </c>
      <c r="G56" s="115">
        <v>95</v>
      </c>
      <c r="H56" s="115"/>
      <c r="I56" s="115"/>
      <c r="J56" s="115"/>
    </row>
    <row r="57" spans="2:10">
      <c r="B57" s="115">
        <v>29</v>
      </c>
      <c r="C57" s="115">
        <v>19</v>
      </c>
      <c r="D57" s="115"/>
      <c r="E57" s="115" t="s">
        <v>0</v>
      </c>
      <c r="F57" s="115" t="s">
        <v>478</v>
      </c>
      <c r="G57" s="115">
        <v>95</v>
      </c>
      <c r="H57" s="115">
        <v>250</v>
      </c>
      <c r="I57" s="115"/>
      <c r="J57" s="115"/>
    </row>
    <row r="58" spans="2:10">
      <c r="B58" s="115">
        <v>30</v>
      </c>
      <c r="C58" s="115">
        <v>20</v>
      </c>
      <c r="D58" s="115"/>
      <c r="E58" s="115" t="s">
        <v>460</v>
      </c>
      <c r="F58" s="115"/>
      <c r="G58" s="115"/>
      <c r="H58" s="115"/>
      <c r="I58" s="115"/>
      <c r="J58" s="115"/>
    </row>
    <row r="59" spans="2:10">
      <c r="B59" s="115">
        <v>31</v>
      </c>
      <c r="C59" s="115">
        <v>21</v>
      </c>
      <c r="D59" s="115"/>
      <c r="E59" s="115" t="s">
        <v>1</v>
      </c>
      <c r="F59" s="115" t="s">
        <v>84</v>
      </c>
      <c r="G59" s="115">
        <v>95</v>
      </c>
      <c r="H59" s="115">
        <v>114</v>
      </c>
      <c r="I59" s="115"/>
      <c r="J59" s="115"/>
    </row>
    <row r="60" spans="2:10">
      <c r="B60" s="115">
        <v>32</v>
      </c>
      <c r="C60" s="115">
        <v>22</v>
      </c>
      <c r="D60" s="115"/>
      <c r="E60" s="115" t="s">
        <v>1</v>
      </c>
      <c r="F60" s="115" t="s">
        <v>98</v>
      </c>
      <c r="G60" s="115">
        <v>220</v>
      </c>
      <c r="H60" s="115"/>
      <c r="I60" s="115"/>
      <c r="J60" s="115"/>
    </row>
    <row r="61" spans="2:10">
      <c r="B61" s="115">
        <v>33</v>
      </c>
      <c r="C61" s="115">
        <v>23</v>
      </c>
      <c r="D61" s="115"/>
      <c r="E61" s="115" t="s">
        <v>1</v>
      </c>
      <c r="F61" s="115" t="s">
        <v>85</v>
      </c>
      <c r="G61" s="115">
        <v>125</v>
      </c>
      <c r="H61" s="115">
        <v>144</v>
      </c>
      <c r="I61" s="115">
        <v>360</v>
      </c>
      <c r="J61" s="115">
        <v>614</v>
      </c>
    </row>
    <row r="62" spans="2:10">
      <c r="B62" s="115">
        <v>34</v>
      </c>
      <c r="C62" s="115">
        <v>24</v>
      </c>
      <c r="D62" s="115"/>
      <c r="E62" s="115" t="s">
        <v>1</v>
      </c>
      <c r="F62" s="115" t="s">
        <v>99</v>
      </c>
      <c r="G62" s="115">
        <v>150</v>
      </c>
      <c r="H62" s="115"/>
      <c r="I62" s="115"/>
      <c r="J62" s="115"/>
    </row>
    <row r="63" spans="2:10">
      <c r="B63" s="115">
        <v>35</v>
      </c>
      <c r="C63" s="115">
        <v>25</v>
      </c>
      <c r="D63" s="115"/>
      <c r="E63" s="115" t="s">
        <v>460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26</v>
      </c>
      <c r="D64" s="115"/>
      <c r="E64" s="115" t="s">
        <v>460</v>
      </c>
      <c r="F64" s="115"/>
      <c r="G64" s="115"/>
      <c r="H64" s="115"/>
      <c r="I64" s="115"/>
      <c r="J64" s="115"/>
    </row>
    <row r="65" spans="2:10">
      <c r="B65" s="115">
        <v>37</v>
      </c>
      <c r="C65" s="115">
        <v>27</v>
      </c>
      <c r="D65" s="115"/>
      <c r="E65" s="115" t="s">
        <v>460</v>
      </c>
      <c r="F65" s="115"/>
      <c r="G65" s="115"/>
      <c r="H65" s="115"/>
      <c r="I65" s="115"/>
      <c r="J65" s="115"/>
    </row>
    <row r="66" spans="2:10">
      <c r="B66" s="115">
        <v>38</v>
      </c>
      <c r="C66" s="115">
        <v>28</v>
      </c>
      <c r="D66" s="115"/>
      <c r="E66" s="115" t="s">
        <v>1</v>
      </c>
      <c r="F66" s="115" t="s">
        <v>86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29</v>
      </c>
      <c r="D67" s="115"/>
      <c r="E67" s="115" t="s">
        <v>1</v>
      </c>
      <c r="F67" s="115" t="s">
        <v>91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30</v>
      </c>
      <c r="D68" s="115"/>
      <c r="E68" s="115" t="s">
        <v>1</v>
      </c>
      <c r="F68" s="115" t="s">
        <v>87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31</v>
      </c>
      <c r="D69" s="115"/>
      <c r="E69" s="115" t="s">
        <v>1</v>
      </c>
      <c r="F69" s="115" t="s">
        <v>92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32</v>
      </c>
      <c r="D70" s="115"/>
      <c r="E70" s="115" t="s">
        <v>1</v>
      </c>
      <c r="F70" s="115" t="s">
        <v>88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33</v>
      </c>
      <c r="D71" s="115"/>
      <c r="E71" s="115" t="s">
        <v>1</v>
      </c>
      <c r="F71" s="115" t="s">
        <v>95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34</v>
      </c>
      <c r="D72" s="115"/>
      <c r="E72" s="115" t="s">
        <v>1</v>
      </c>
      <c r="F72" s="115" t="s">
        <v>89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35</v>
      </c>
      <c r="D73" s="115"/>
      <c r="E73" s="115" t="s">
        <v>1</v>
      </c>
      <c r="F73" s="115" t="s">
        <v>93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36</v>
      </c>
      <c r="D74" s="115"/>
      <c r="E74" s="115" t="s">
        <v>1</v>
      </c>
      <c r="F74" s="115" t="s">
        <v>90</v>
      </c>
      <c r="G74" s="115">
        <v>210</v>
      </c>
      <c r="H74" s="115">
        <v>75</v>
      </c>
      <c r="I74" s="115"/>
      <c r="J74" s="115"/>
    </row>
    <row r="75" spans="2:10">
      <c r="B75" s="115">
        <v>47</v>
      </c>
      <c r="C75" s="115">
        <v>37</v>
      </c>
      <c r="D75" s="115"/>
      <c r="E75" s="115" t="s">
        <v>1</v>
      </c>
      <c r="F75" s="115" t="s">
        <v>94</v>
      </c>
      <c r="G75" s="115"/>
      <c r="H75" s="115">
        <v>1</v>
      </c>
      <c r="I75" s="115"/>
      <c r="J75" s="115">
        <v>955</v>
      </c>
    </row>
    <row r="76" spans="2:10">
      <c r="B76" s="115">
        <v>48</v>
      </c>
      <c r="C76" s="115">
        <v>38</v>
      </c>
      <c r="D76" s="115"/>
      <c r="E76" s="115" t="s">
        <v>1</v>
      </c>
      <c r="F76" s="115" t="s">
        <v>126</v>
      </c>
      <c r="G76" s="115">
        <v>112</v>
      </c>
      <c r="H76" s="115" t="s">
        <v>489</v>
      </c>
      <c r="I76" s="115">
        <v>390</v>
      </c>
      <c r="J76" s="115">
        <v>500</v>
      </c>
    </row>
    <row r="77" spans="2:10">
      <c r="B77" s="115">
        <v>49</v>
      </c>
      <c r="C77" s="115">
        <v>39</v>
      </c>
      <c r="D77" s="115"/>
      <c r="E77" s="115" t="s">
        <v>1</v>
      </c>
      <c r="F77" s="115" t="s">
        <v>100</v>
      </c>
      <c r="G77" s="115">
        <v>58</v>
      </c>
      <c r="H77" s="115">
        <v>180</v>
      </c>
      <c r="I77" s="115">
        <v>450</v>
      </c>
      <c r="J77" s="115">
        <v>530</v>
      </c>
    </row>
    <row r="78" spans="2:10">
      <c r="B78" s="115">
        <v>50</v>
      </c>
      <c r="C78" s="115">
        <v>40</v>
      </c>
      <c r="D78" s="115"/>
      <c r="E78" s="115" t="s">
        <v>460</v>
      </c>
      <c r="F78" s="115"/>
      <c r="G78" s="115"/>
      <c r="H78" s="115"/>
      <c r="I78" s="115"/>
      <c r="J78" s="115"/>
    </row>
    <row r="79" spans="2:10">
      <c r="B79" s="115">
        <v>51</v>
      </c>
      <c r="C79" s="115">
        <v>41</v>
      </c>
      <c r="D79" s="115"/>
      <c r="E79" s="115" t="s">
        <v>1</v>
      </c>
      <c r="F79" s="115" t="s">
        <v>96</v>
      </c>
      <c r="G79" s="115"/>
      <c r="H79" s="115"/>
      <c r="I79" s="115"/>
      <c r="J79" s="115"/>
    </row>
    <row r="80" spans="2:10">
      <c r="B80" s="115">
        <v>52</v>
      </c>
      <c r="C80" s="115">
        <v>42</v>
      </c>
      <c r="D80" s="115"/>
      <c r="E80" s="115" t="s">
        <v>1</v>
      </c>
      <c r="F80" s="115" t="s">
        <v>97</v>
      </c>
      <c r="G80" s="115"/>
      <c r="H80" s="115"/>
      <c r="I80" s="115"/>
      <c r="J80" s="115"/>
    </row>
    <row r="81" spans="2:10">
      <c r="B81" s="115">
        <v>53</v>
      </c>
      <c r="C81" s="115">
        <v>43</v>
      </c>
      <c r="D81" s="115"/>
      <c r="E81" s="115" t="s">
        <v>460</v>
      </c>
      <c r="F81" s="115"/>
      <c r="G81" s="115"/>
      <c r="H81" s="115"/>
      <c r="I81" s="115"/>
      <c r="J81" s="115"/>
    </row>
    <row r="82" spans="2:10">
      <c r="B82" s="115">
        <v>54</v>
      </c>
      <c r="C82" s="115">
        <v>44</v>
      </c>
      <c r="D82" s="115" t="s">
        <v>199</v>
      </c>
      <c r="E82" s="115" t="s">
        <v>0</v>
      </c>
      <c r="F82" s="115" t="s">
        <v>234</v>
      </c>
      <c r="G82" s="115">
        <v>130</v>
      </c>
      <c r="H82" s="115">
        <v>220</v>
      </c>
      <c r="I82" s="115"/>
      <c r="J82" s="115"/>
    </row>
    <row r="83" spans="2:10">
      <c r="B83" s="115">
        <v>54</v>
      </c>
      <c r="C83" s="115">
        <v>44</v>
      </c>
      <c r="D83" s="115" t="s">
        <v>199</v>
      </c>
      <c r="E83" s="115" t="s">
        <v>0</v>
      </c>
      <c r="F83" s="115" t="s">
        <v>451</v>
      </c>
      <c r="G83" s="115">
        <v>360</v>
      </c>
      <c r="H83" s="115">
        <v>228</v>
      </c>
      <c r="I83" s="115"/>
      <c r="J83" s="115"/>
    </row>
    <row r="84" spans="2:10">
      <c r="B84" s="115">
        <v>55</v>
      </c>
      <c r="C84" s="115">
        <v>44</v>
      </c>
      <c r="D84" s="115" t="s">
        <v>28</v>
      </c>
      <c r="E84" s="115" t="s">
        <v>0</v>
      </c>
      <c r="F84" s="115" t="s">
        <v>144</v>
      </c>
      <c r="G84" s="115">
        <v>130</v>
      </c>
      <c r="H84" s="115">
        <v>220</v>
      </c>
      <c r="I84" s="115"/>
      <c r="J84" s="115"/>
    </row>
    <row r="85" spans="2:10">
      <c r="B85" s="115">
        <v>55</v>
      </c>
      <c r="C85" s="115">
        <v>44</v>
      </c>
      <c r="D85" s="115" t="s">
        <v>28</v>
      </c>
      <c r="E85" s="115" t="s">
        <v>0</v>
      </c>
      <c r="F85" s="115" t="s">
        <v>170</v>
      </c>
      <c r="G85" s="115">
        <v>360</v>
      </c>
      <c r="H85" s="115">
        <v>228</v>
      </c>
      <c r="I85" s="115"/>
      <c r="J85" s="115"/>
    </row>
    <row r="86" spans="2:10">
      <c r="B86" s="115">
        <v>56</v>
      </c>
      <c r="C86" s="115">
        <v>44</v>
      </c>
      <c r="D86" s="115" t="s">
        <v>29</v>
      </c>
      <c r="E86" s="115" t="s">
        <v>0</v>
      </c>
      <c r="F86" s="115" t="s">
        <v>146</v>
      </c>
      <c r="G86" s="115">
        <v>130</v>
      </c>
      <c r="H86" s="115">
        <v>220</v>
      </c>
      <c r="I86" s="115"/>
      <c r="J86" s="115"/>
    </row>
    <row r="87" spans="2:10">
      <c r="B87" s="115">
        <v>56</v>
      </c>
      <c r="C87" s="115">
        <v>44</v>
      </c>
      <c r="D87" s="115" t="s">
        <v>29</v>
      </c>
      <c r="E87" s="115" t="s">
        <v>0</v>
      </c>
      <c r="F87" s="115" t="s">
        <v>169</v>
      </c>
      <c r="G87" s="115">
        <v>360</v>
      </c>
      <c r="H87" s="115">
        <v>228</v>
      </c>
      <c r="I87" s="115"/>
      <c r="J87" s="115"/>
    </row>
    <row r="88" spans="2:10">
      <c r="B88" s="115">
        <v>57</v>
      </c>
      <c r="C88" s="115">
        <v>44</v>
      </c>
      <c r="D88" s="115" t="s">
        <v>159</v>
      </c>
      <c r="E88" s="115" t="s">
        <v>0</v>
      </c>
      <c r="F88" s="115" t="s">
        <v>148</v>
      </c>
      <c r="G88" s="115">
        <v>130</v>
      </c>
      <c r="H88" s="115">
        <v>220</v>
      </c>
      <c r="I88" s="115"/>
      <c r="J88" s="115"/>
    </row>
    <row r="89" spans="2:10">
      <c r="B89" s="115">
        <v>57</v>
      </c>
      <c r="C89" s="115">
        <v>44</v>
      </c>
      <c r="D89" s="115" t="s">
        <v>159</v>
      </c>
      <c r="E89" s="115" t="s">
        <v>0</v>
      </c>
      <c r="F89" s="115" t="s">
        <v>168</v>
      </c>
      <c r="G89" s="115">
        <v>360</v>
      </c>
      <c r="H89" s="115">
        <v>228</v>
      </c>
      <c r="I89" s="115"/>
      <c r="J89" s="115"/>
    </row>
    <row r="90" spans="2:10">
      <c r="B90" s="115">
        <v>58</v>
      </c>
      <c r="C90" s="115">
        <v>44</v>
      </c>
      <c r="D90" s="115" t="s">
        <v>388</v>
      </c>
      <c r="E90" s="115" t="s">
        <v>0</v>
      </c>
      <c r="F90" s="115" t="s">
        <v>175</v>
      </c>
      <c r="G90" s="115">
        <v>130</v>
      </c>
      <c r="H90" s="115">
        <v>220</v>
      </c>
      <c r="I90" s="115"/>
      <c r="J90" s="115"/>
    </row>
    <row r="91" spans="2:10">
      <c r="B91" s="115">
        <v>58</v>
      </c>
      <c r="C91" s="115">
        <v>44</v>
      </c>
      <c r="D91" s="115" t="s">
        <v>388</v>
      </c>
      <c r="E91" s="115" t="s">
        <v>0</v>
      </c>
      <c r="F91" s="115" t="s">
        <v>473</v>
      </c>
      <c r="G91" s="115">
        <v>360</v>
      </c>
      <c r="H91" s="115">
        <v>228</v>
      </c>
      <c r="I91" s="115"/>
      <c r="J91" s="115"/>
    </row>
    <row r="92" spans="2:10">
      <c r="B92" s="115">
        <v>59</v>
      </c>
      <c r="C92" s="115">
        <v>44</v>
      </c>
      <c r="D92" s="115" t="s">
        <v>388</v>
      </c>
      <c r="E92" s="115" t="s">
        <v>0</v>
      </c>
      <c r="F92" s="115" t="s">
        <v>176</v>
      </c>
      <c r="G92" s="115">
        <v>130</v>
      </c>
      <c r="H92" s="115">
        <v>220</v>
      </c>
      <c r="I92" s="115"/>
      <c r="J92" s="115"/>
    </row>
    <row r="93" spans="2:10">
      <c r="B93" s="115">
        <v>59</v>
      </c>
      <c r="C93" s="115">
        <v>44</v>
      </c>
      <c r="D93" s="115" t="s">
        <v>388</v>
      </c>
      <c r="E93" s="115" t="s">
        <v>0</v>
      </c>
      <c r="F93" s="115" t="s">
        <v>474</v>
      </c>
      <c r="G93" s="115">
        <v>360</v>
      </c>
      <c r="H93" s="115">
        <v>228</v>
      </c>
      <c r="I93" s="115"/>
      <c r="J93" s="115"/>
    </row>
    <row r="94" spans="2:10">
      <c r="B94" s="115">
        <v>60</v>
      </c>
      <c r="C94" s="115">
        <v>44</v>
      </c>
      <c r="D94" s="115" t="s">
        <v>160</v>
      </c>
      <c r="E94" s="115" t="s">
        <v>0</v>
      </c>
      <c r="F94" s="115" t="s">
        <v>151</v>
      </c>
      <c r="G94" s="115">
        <v>130</v>
      </c>
      <c r="H94" s="115">
        <v>220</v>
      </c>
      <c r="I94" s="115"/>
      <c r="J94" s="115"/>
    </row>
    <row r="95" spans="2:10">
      <c r="B95" s="115">
        <v>60</v>
      </c>
      <c r="C95" s="115">
        <v>44</v>
      </c>
      <c r="D95" s="115" t="s">
        <v>160</v>
      </c>
      <c r="E95" s="115" t="s">
        <v>0</v>
      </c>
      <c r="F95" s="115" t="s">
        <v>171</v>
      </c>
      <c r="G95" s="115">
        <v>360</v>
      </c>
      <c r="H95" s="115">
        <v>228</v>
      </c>
      <c r="I95" s="115"/>
      <c r="J95" s="115"/>
    </row>
    <row r="96" spans="2:10">
      <c r="B96" s="115">
        <v>61</v>
      </c>
      <c r="C96" s="115">
        <v>44</v>
      </c>
      <c r="D96" s="115" t="s">
        <v>389</v>
      </c>
      <c r="E96" s="115" t="s">
        <v>0</v>
      </c>
      <c r="F96" s="115" t="s">
        <v>177</v>
      </c>
      <c r="G96" s="115">
        <v>130</v>
      </c>
      <c r="H96" s="115">
        <v>220</v>
      </c>
      <c r="I96" s="115"/>
      <c r="J96" s="115"/>
    </row>
    <row r="97" spans="2:10">
      <c r="B97" s="115">
        <v>61</v>
      </c>
      <c r="C97" s="115">
        <v>44</v>
      </c>
      <c r="D97" s="115" t="s">
        <v>389</v>
      </c>
      <c r="E97" s="115" t="s">
        <v>0</v>
      </c>
      <c r="F97" s="115" t="s">
        <v>475</v>
      </c>
      <c r="G97" s="115">
        <v>360</v>
      </c>
      <c r="H97" s="115">
        <v>228</v>
      </c>
      <c r="I97" s="115"/>
      <c r="J97" s="115"/>
    </row>
    <row r="98" spans="2:10">
      <c r="B98" s="115">
        <v>62</v>
      </c>
      <c r="C98" s="115">
        <v>44</v>
      </c>
      <c r="D98" s="115" t="s">
        <v>389</v>
      </c>
      <c r="E98" s="115" t="s">
        <v>0</v>
      </c>
      <c r="F98" s="115" t="s">
        <v>178</v>
      </c>
      <c r="G98" s="115">
        <v>130</v>
      </c>
      <c r="H98" s="115">
        <v>220</v>
      </c>
      <c r="I98" s="115"/>
      <c r="J98" s="115"/>
    </row>
    <row r="99" spans="2:10">
      <c r="B99" s="115">
        <v>62</v>
      </c>
      <c r="C99" s="115">
        <v>44</v>
      </c>
      <c r="D99" s="115" t="s">
        <v>389</v>
      </c>
      <c r="E99" s="115" t="s">
        <v>0</v>
      </c>
      <c r="F99" s="115" t="s">
        <v>476</v>
      </c>
      <c r="G99" s="115">
        <v>360</v>
      </c>
      <c r="H99" s="115">
        <v>228</v>
      </c>
      <c r="I99" s="115"/>
      <c r="J99" s="115"/>
    </row>
    <row r="100" spans="2:10">
      <c r="B100" s="115">
        <v>63</v>
      </c>
      <c r="C100" s="115">
        <v>44</v>
      </c>
      <c r="D100" s="115" t="s">
        <v>161</v>
      </c>
      <c r="E100" s="115" t="s">
        <v>0</v>
      </c>
      <c r="F100" s="115" t="s">
        <v>154</v>
      </c>
      <c r="G100" s="115">
        <v>130</v>
      </c>
      <c r="H100" s="115">
        <v>220</v>
      </c>
      <c r="I100" s="115"/>
      <c r="J100" s="115"/>
    </row>
    <row r="101" spans="2:10">
      <c r="B101" s="115">
        <v>63</v>
      </c>
      <c r="C101" s="115">
        <v>44</v>
      </c>
      <c r="D101" s="115" t="s">
        <v>161</v>
      </c>
      <c r="E101" s="115" t="s">
        <v>0</v>
      </c>
      <c r="F101" s="115" t="s">
        <v>172</v>
      </c>
      <c r="G101" s="115">
        <v>360</v>
      </c>
      <c r="H101" s="115">
        <v>228</v>
      </c>
      <c r="I101" s="115"/>
      <c r="J101" s="115"/>
    </row>
    <row r="102" spans="2:10">
      <c r="B102" s="115">
        <v>64</v>
      </c>
      <c r="C102" s="115">
        <v>44</v>
      </c>
      <c r="D102" s="115" t="s">
        <v>142</v>
      </c>
      <c r="E102" s="115" t="s">
        <v>0</v>
      </c>
      <c r="F102" s="115" t="s">
        <v>156</v>
      </c>
      <c r="G102" s="115">
        <v>130</v>
      </c>
      <c r="H102" s="115">
        <v>220</v>
      </c>
      <c r="I102" s="115"/>
      <c r="J102" s="115"/>
    </row>
    <row r="103" spans="2:10">
      <c r="B103" s="115">
        <v>64</v>
      </c>
      <c r="C103" s="115">
        <v>44</v>
      </c>
      <c r="D103" s="115" t="s">
        <v>142</v>
      </c>
      <c r="E103" s="115" t="s">
        <v>0</v>
      </c>
      <c r="F103" s="115" t="s">
        <v>173</v>
      </c>
      <c r="G103" s="115">
        <v>360</v>
      </c>
      <c r="H103" s="115">
        <v>228</v>
      </c>
      <c r="I103" s="115"/>
      <c r="J103" s="115"/>
    </row>
    <row r="104" spans="2:10">
      <c r="B104" s="115">
        <v>65</v>
      </c>
      <c r="C104" s="115">
        <v>44</v>
      </c>
      <c r="D104" s="115" t="s">
        <v>162</v>
      </c>
      <c r="E104" s="115" t="s">
        <v>0</v>
      </c>
      <c r="F104" s="115" t="s">
        <v>158</v>
      </c>
      <c r="G104" s="115">
        <v>130</v>
      </c>
      <c r="H104" s="115">
        <v>220</v>
      </c>
      <c r="I104" s="115"/>
      <c r="J104" s="115"/>
    </row>
    <row r="105" spans="2:10">
      <c r="B105" s="115">
        <v>65</v>
      </c>
      <c r="C105" s="115">
        <v>44</v>
      </c>
      <c r="D105" s="115" t="s">
        <v>162</v>
      </c>
      <c r="E105" s="115" t="s">
        <v>0</v>
      </c>
      <c r="F105" s="115" t="s">
        <v>174</v>
      </c>
      <c r="G105" s="115">
        <v>360</v>
      </c>
      <c r="H105" s="115">
        <v>228</v>
      </c>
      <c r="I105" s="115"/>
      <c r="J105" s="115"/>
    </row>
    <row r="106" spans="2:10">
      <c r="B106" s="115">
        <v>66</v>
      </c>
      <c r="C106" s="115">
        <v>45</v>
      </c>
      <c r="D106" s="115"/>
      <c r="E106" s="115" t="s">
        <v>460</v>
      </c>
      <c r="F106" s="115"/>
      <c r="G106" s="115"/>
      <c r="H106" s="115"/>
      <c r="I106" s="115"/>
      <c r="J106" s="115"/>
    </row>
    <row r="107" spans="2:10">
      <c r="B107" s="115">
        <v>67</v>
      </c>
      <c r="C107" s="115">
        <v>46</v>
      </c>
      <c r="D107" s="115"/>
      <c r="E107" s="115" t="s">
        <v>460</v>
      </c>
      <c r="F107" s="115"/>
      <c r="G107" s="115"/>
      <c r="H107" s="115"/>
      <c r="I107" s="115"/>
      <c r="J107" s="115"/>
    </row>
    <row r="108" spans="2:10">
      <c r="B108" s="115">
        <v>68</v>
      </c>
      <c r="C108" s="115">
        <v>47</v>
      </c>
      <c r="D108" s="115"/>
      <c r="E108" s="115" t="s">
        <v>460</v>
      </c>
      <c r="F108" s="115"/>
      <c r="G108" s="115"/>
      <c r="H108" s="115"/>
      <c r="I108" s="115"/>
      <c r="J108" s="115"/>
    </row>
    <row r="109" spans="2:10">
      <c r="B109" s="115">
        <v>69</v>
      </c>
      <c r="C109" s="115">
        <v>48</v>
      </c>
      <c r="D109" s="115"/>
      <c r="E109" s="115" t="s">
        <v>460</v>
      </c>
      <c r="F109" s="115"/>
      <c r="G109" s="115"/>
      <c r="H109" s="115"/>
      <c r="I109" s="115"/>
      <c r="J109" s="115"/>
    </row>
    <row r="110" spans="2:10">
      <c r="B110" s="115">
        <v>70</v>
      </c>
      <c r="C110" s="115">
        <v>49</v>
      </c>
      <c r="D110" s="115"/>
      <c r="E110" s="115" t="s">
        <v>460</v>
      </c>
      <c r="F110" s="115"/>
      <c r="G110" s="115"/>
      <c r="H110" s="115"/>
      <c r="I110" s="115"/>
      <c r="J110" s="115"/>
    </row>
    <row r="111" spans="2:10">
      <c r="B111" s="115">
        <v>71</v>
      </c>
      <c r="C111" s="115">
        <v>50</v>
      </c>
      <c r="D111" s="115"/>
      <c r="E111" s="115" t="s">
        <v>460</v>
      </c>
      <c r="F111" s="115"/>
      <c r="G111" s="115"/>
      <c r="H111" s="115"/>
      <c r="I111" s="115"/>
      <c r="J111" s="115"/>
    </row>
    <row r="112" spans="2:10">
      <c r="B112" s="115">
        <v>72</v>
      </c>
      <c r="C112" s="115">
        <v>51</v>
      </c>
      <c r="D112" s="115"/>
      <c r="E112" s="115" t="s">
        <v>460</v>
      </c>
      <c r="F112" s="115"/>
      <c r="G112" s="115"/>
      <c r="H112" s="115"/>
      <c r="I112" s="115"/>
      <c r="J112" s="115"/>
    </row>
    <row r="113" spans="2:10">
      <c r="B113" s="115">
        <v>73</v>
      </c>
      <c r="C113" s="115">
        <v>52</v>
      </c>
      <c r="D113" s="115"/>
      <c r="E113" s="115" t="s">
        <v>460</v>
      </c>
      <c r="F113" s="115"/>
      <c r="G113" s="115"/>
      <c r="H113" s="115"/>
      <c r="I113" s="115"/>
      <c r="J113" s="115"/>
    </row>
    <row r="114" spans="2:10">
      <c r="B114" s="115">
        <v>74</v>
      </c>
      <c r="C114" s="115">
        <v>53</v>
      </c>
      <c r="D114" s="115"/>
      <c r="E114" s="115" t="s">
        <v>460</v>
      </c>
      <c r="F114" s="115"/>
      <c r="G114" s="115"/>
      <c r="H114" s="115"/>
      <c r="I114" s="115"/>
      <c r="J114" s="115"/>
    </row>
    <row r="115" spans="2:10">
      <c r="B115" s="115">
        <v>75</v>
      </c>
      <c r="C115" s="115">
        <v>54</v>
      </c>
      <c r="D115" s="115"/>
      <c r="E115" s="115" t="s">
        <v>460</v>
      </c>
      <c r="F115" s="115"/>
      <c r="G115" s="115"/>
      <c r="H115" s="115"/>
      <c r="I115" s="115"/>
      <c r="J115" s="115"/>
    </row>
    <row r="116" spans="2:10">
      <c r="B116" s="115">
        <v>76</v>
      </c>
      <c r="C116" s="115">
        <v>55</v>
      </c>
      <c r="D116" s="115"/>
      <c r="E116" s="115" t="s">
        <v>460</v>
      </c>
      <c r="F116" s="115"/>
      <c r="G116" s="115"/>
      <c r="H116" s="115"/>
      <c r="I116" s="115"/>
      <c r="J116" s="115"/>
    </row>
    <row r="117" spans="2:10">
      <c r="B117" s="115">
        <v>77</v>
      </c>
      <c r="C117" s="115">
        <v>56</v>
      </c>
      <c r="D117" s="115"/>
      <c r="E117" s="115" t="s">
        <v>460</v>
      </c>
      <c r="F117" s="115"/>
      <c r="G117" s="115"/>
      <c r="H117" s="115"/>
      <c r="I117" s="115"/>
      <c r="J117" s="115"/>
    </row>
    <row r="118" spans="2:10">
      <c r="B118" s="115">
        <v>78</v>
      </c>
      <c r="C118" s="115">
        <v>57</v>
      </c>
      <c r="D118" s="115"/>
      <c r="E118" s="115" t="s">
        <v>460</v>
      </c>
      <c r="F118" s="115"/>
      <c r="G118" s="115"/>
      <c r="H118" s="115"/>
      <c r="I118" s="115"/>
      <c r="J118" s="115"/>
    </row>
    <row r="119" spans="2:10">
      <c r="B119" s="115">
        <v>79</v>
      </c>
      <c r="C119" s="115">
        <v>58</v>
      </c>
      <c r="D119" s="115"/>
      <c r="E119" s="115" t="s">
        <v>460</v>
      </c>
      <c r="F119" s="115"/>
      <c r="G119" s="115"/>
      <c r="H119" s="115"/>
      <c r="I119" s="115"/>
      <c r="J119" s="115"/>
    </row>
    <row r="120" spans="2:10">
      <c r="B120" s="115">
        <v>80</v>
      </c>
      <c r="C120" s="115">
        <v>59</v>
      </c>
      <c r="D120" s="115"/>
      <c r="E120" s="115" t="s">
        <v>460</v>
      </c>
      <c r="F120" s="115"/>
      <c r="G120" s="115"/>
      <c r="H120" s="115"/>
      <c r="I120" s="115"/>
      <c r="J120" s="115"/>
    </row>
    <row r="121" spans="2:10">
      <c r="B121" s="115">
        <v>81</v>
      </c>
      <c r="C121" s="115">
        <v>60</v>
      </c>
      <c r="D121" s="115"/>
      <c r="E121" s="115" t="s">
        <v>460</v>
      </c>
      <c r="F121" s="115"/>
      <c r="G121" s="115"/>
      <c r="H121" s="115"/>
      <c r="I121" s="115"/>
      <c r="J121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2" r:id="rId5" name="Button 28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10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J853"/>
  <sheetViews>
    <sheetView topLeftCell="A154" workbookViewId="0">
      <selection activeCell="C836" sqref="C836:G84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51">
      <c r="A75" t="s">
        <v>451</v>
      </c>
      <c r="D75" s="170">
        <v>2016</v>
      </c>
      <c r="E75" s="170">
        <v>2015</v>
      </c>
      <c r="F75" s="170" t="s">
        <v>391</v>
      </c>
      <c r="G75" s="170" t="s">
        <v>392</v>
      </c>
      <c r="H75" s="170" t="s">
        <v>393</v>
      </c>
      <c r="I75" s="170" t="s">
        <v>394</v>
      </c>
      <c r="J75" s="170" t="s">
        <v>395</v>
      </c>
    </row>
    <row r="76" spans="1:10" ht="15.75">
      <c r="C76" s="156" t="s">
        <v>181</v>
      </c>
      <c r="D76" s="157">
        <v>85.93</v>
      </c>
      <c r="E76" s="157">
        <v>82.67</v>
      </c>
      <c r="F76" s="157">
        <v>89.46</v>
      </c>
      <c r="G76" s="157">
        <v>79.150000000000006</v>
      </c>
      <c r="H76" s="158">
        <v>3.2600000000000051</v>
      </c>
      <c r="I76" s="158">
        <v>-3.5299999999999869</v>
      </c>
      <c r="J76" s="158">
        <v>6.7800000000000011</v>
      </c>
    </row>
    <row r="77" spans="1:10" ht="15.75">
      <c r="C77" s="161" t="s">
        <v>182</v>
      </c>
      <c r="D77" s="157">
        <v>81.56</v>
      </c>
      <c r="E77" s="157">
        <v>77.59</v>
      </c>
      <c r="F77" s="157">
        <v>88.6</v>
      </c>
      <c r="G77" s="157">
        <v>77.23</v>
      </c>
      <c r="H77" s="158">
        <v>3.9699999999999989</v>
      </c>
      <c r="I77" s="158">
        <v>-7.039999999999992</v>
      </c>
      <c r="J77" s="158">
        <v>4.3299999999999983</v>
      </c>
    </row>
    <row r="78" spans="1:10" ht="15.75">
      <c r="C78" s="162" t="s">
        <v>180</v>
      </c>
      <c r="D78" s="157">
        <v>77.78</v>
      </c>
      <c r="E78" s="157">
        <v>73.56</v>
      </c>
      <c r="F78" s="157">
        <v>84.91</v>
      </c>
      <c r="G78" s="157">
        <v>75.44</v>
      </c>
      <c r="H78" s="158">
        <v>4.2199999999999989</v>
      </c>
      <c r="I78" s="158">
        <v>-7.1299999999999955</v>
      </c>
      <c r="J78" s="158">
        <v>2.3400000000000034</v>
      </c>
    </row>
    <row r="79" spans="1:10" ht="15.75">
      <c r="C79" s="163" t="s">
        <v>196</v>
      </c>
      <c r="D79" s="157">
        <v>83.3</v>
      </c>
      <c r="E79" s="157">
        <v>78.540000000000006</v>
      </c>
      <c r="F79" s="157">
        <v>90.36</v>
      </c>
      <c r="G79" s="157">
        <v>80.28</v>
      </c>
      <c r="H79" s="158">
        <v>4.7599999999999909</v>
      </c>
      <c r="I79" s="158">
        <v>-7.0600000000000023</v>
      </c>
      <c r="J79" s="158">
        <v>3.019999999999996</v>
      </c>
    </row>
    <row r="80" spans="1:10" ht="15.75">
      <c r="C80" s="164" t="s">
        <v>490</v>
      </c>
      <c r="D80" s="159">
        <v>86.19</v>
      </c>
      <c r="E80" s="159">
        <v>81.86</v>
      </c>
      <c r="F80" s="159">
        <v>92.63</v>
      </c>
      <c r="G80" s="159">
        <v>83.31</v>
      </c>
      <c r="H80" s="160">
        <v>4.3299999999999983</v>
      </c>
      <c r="I80" s="160">
        <v>-6.4399999999999977</v>
      </c>
      <c r="J80" s="160">
        <v>2.8799999999999955</v>
      </c>
    </row>
    <row r="81" spans="1:10">
      <c r="C81" t="s">
        <v>491</v>
      </c>
      <c r="D81" s="165">
        <v>82.91</v>
      </c>
      <c r="E81" s="165">
        <v>78.88</v>
      </c>
      <c r="F81" s="165">
        <v>89.03</v>
      </c>
      <c r="G81" s="165">
        <v>78.88</v>
      </c>
      <c r="H81" s="165">
        <v>4.0300000000000011</v>
      </c>
      <c r="I81" s="165">
        <v>-6.1200000000000045</v>
      </c>
      <c r="J81" s="165">
        <v>4.0300000000000011</v>
      </c>
    </row>
    <row r="82" spans="1:10">
      <c r="C82" t="s">
        <v>492</v>
      </c>
      <c r="D82" s="166">
        <v>4886</v>
      </c>
      <c r="E82" s="166">
        <v>4735</v>
      </c>
      <c r="F82" s="166"/>
      <c r="G82" s="166"/>
      <c r="H82" s="166"/>
      <c r="I82" s="166"/>
      <c r="J82" s="166"/>
    </row>
    <row r="83" spans="1:10">
      <c r="C83" t="s">
        <v>493</v>
      </c>
      <c r="D83" s="167">
        <v>78.88</v>
      </c>
      <c r="E83" s="167">
        <v>73.930000000000007</v>
      </c>
      <c r="F83" s="167"/>
      <c r="G83" s="167"/>
      <c r="H83" s="167"/>
      <c r="I83" s="167"/>
      <c r="J83" s="167"/>
    </row>
    <row r="84" spans="1:10">
      <c r="C84" t="s">
        <v>494</v>
      </c>
      <c r="D84" s="168">
        <v>4735</v>
      </c>
      <c r="E84" s="168">
        <v>4504</v>
      </c>
      <c r="F84" s="168"/>
      <c r="G84" s="168"/>
      <c r="H84" s="168"/>
      <c r="I84" s="168"/>
      <c r="J84" s="168"/>
    </row>
    <row r="85" spans="1:10" ht="33.75">
      <c r="C85" t="s">
        <v>179</v>
      </c>
      <c r="D85" s="169">
        <v>2016</v>
      </c>
      <c r="E85" s="169">
        <v>2015</v>
      </c>
      <c r="F85" s="169" t="s">
        <v>391</v>
      </c>
      <c r="G85" s="169" t="s">
        <v>392</v>
      </c>
      <c r="H85" s="169" t="s">
        <v>393</v>
      </c>
      <c r="I85" s="169" t="s">
        <v>394</v>
      </c>
      <c r="J85" s="169" t="s">
        <v>395</v>
      </c>
    </row>
    <row r="86" spans="1:10">
      <c r="C86" t="s">
        <v>495</v>
      </c>
      <c r="D86" s="165">
        <v>82.91</v>
      </c>
      <c r="E86" s="165">
        <v>82.91</v>
      </c>
      <c r="F86" s="165">
        <v>82.91</v>
      </c>
      <c r="G86" s="165">
        <v>82.91</v>
      </c>
      <c r="H86" s="165">
        <v>82.91</v>
      </c>
      <c r="I86" s="165">
        <v>82.91</v>
      </c>
      <c r="J86" s="165">
        <v>82.91</v>
      </c>
    </row>
    <row r="87" spans="1:10">
      <c r="C87" t="s">
        <v>496</v>
      </c>
      <c r="D87" s="171">
        <v>84.08</v>
      </c>
      <c r="E87" s="171">
        <v>79.319999999999993</v>
      </c>
      <c r="F87" s="171">
        <v>91.62</v>
      </c>
      <c r="G87" s="171">
        <v>82.28</v>
      </c>
      <c r="H87" s="172">
        <v>4.7600000000000051</v>
      </c>
      <c r="I87" s="172">
        <v>-7.5400000000000063</v>
      </c>
      <c r="J87" s="172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0" t="s">
        <v>200</v>
      </c>
      <c r="E136" s="170" t="s">
        <v>201</v>
      </c>
      <c r="F136" s="170" t="s">
        <v>202</v>
      </c>
      <c r="G136" s="170" t="s">
        <v>203</v>
      </c>
      <c r="H136" s="170" t="s">
        <v>204</v>
      </c>
    </row>
    <row r="137" spans="1:8" ht="15.75">
      <c r="C137" s="156" t="s">
        <v>181</v>
      </c>
      <c r="D137" s="157">
        <v>90.45</v>
      </c>
      <c r="E137" s="157">
        <v>86.08</v>
      </c>
      <c r="F137" s="157">
        <v>84.35</v>
      </c>
      <c r="G137" s="157">
        <v>87.74</v>
      </c>
      <c r="H137" s="157">
        <v>90.43</v>
      </c>
    </row>
    <row r="138" spans="1:8" ht="15.75">
      <c r="C138" s="161" t="s">
        <v>182</v>
      </c>
      <c r="D138" s="157">
        <v>84.9</v>
      </c>
      <c r="E138" s="157">
        <v>80.59</v>
      </c>
      <c r="F138" s="157">
        <v>81</v>
      </c>
      <c r="G138" s="157">
        <v>84.36</v>
      </c>
      <c r="H138" s="157">
        <v>87.34</v>
      </c>
    </row>
    <row r="139" spans="1:8" ht="15.75">
      <c r="C139" s="162" t="s">
        <v>180</v>
      </c>
      <c r="D139" s="157">
        <v>85.2</v>
      </c>
      <c r="E139" s="157">
        <v>77.400000000000006</v>
      </c>
      <c r="F139" s="157">
        <v>75.959999999999994</v>
      </c>
      <c r="G139" s="157">
        <v>79.81</v>
      </c>
      <c r="H139" s="157">
        <v>83.12</v>
      </c>
    </row>
    <row r="140" spans="1:8" ht="15.75">
      <c r="C140" s="163" t="s">
        <v>196</v>
      </c>
      <c r="D140" s="157">
        <v>83.54</v>
      </c>
      <c r="E140" s="157">
        <v>81.03</v>
      </c>
      <c r="F140" s="157">
        <v>83.26</v>
      </c>
      <c r="G140" s="157">
        <v>88.56</v>
      </c>
      <c r="H140" s="157">
        <v>91.07</v>
      </c>
    </row>
    <row r="141" spans="1:8" ht="15.75">
      <c r="C141" s="164" t="s">
        <v>490</v>
      </c>
      <c r="D141" s="159">
        <v>90.58</v>
      </c>
      <c r="E141" s="159">
        <v>85.89</v>
      </c>
      <c r="F141" s="159">
        <v>85.08</v>
      </c>
      <c r="G141" s="159">
        <v>88.42</v>
      </c>
      <c r="H141" s="159">
        <v>90.24</v>
      </c>
    </row>
    <row r="142" spans="1:8">
      <c r="C142" t="s">
        <v>491</v>
      </c>
      <c r="D142" s="165">
        <v>87.13</v>
      </c>
      <c r="E142" s="165">
        <v>82.26</v>
      </c>
      <c r="F142" s="165">
        <v>81.83</v>
      </c>
      <c r="G142" s="165">
        <v>85.57</v>
      </c>
      <c r="H142" s="165">
        <v>88.33</v>
      </c>
    </row>
    <row r="143" spans="1:8">
      <c r="C143" t="s">
        <v>492</v>
      </c>
      <c r="D143" s="166">
        <v>292</v>
      </c>
      <c r="E143" s="166">
        <v>1996</v>
      </c>
      <c r="F143" s="166">
        <v>1426</v>
      </c>
      <c r="G143" s="166">
        <v>736</v>
      </c>
      <c r="H143" s="166">
        <v>248</v>
      </c>
    </row>
    <row r="144" spans="1:8">
      <c r="C144" t="s">
        <v>493</v>
      </c>
      <c r="D144" s="167">
        <v>82.41</v>
      </c>
      <c r="E144" s="167">
        <v>77.44</v>
      </c>
      <c r="F144" s="167">
        <v>78.069999999999993</v>
      </c>
      <c r="G144" s="167">
        <v>82.57</v>
      </c>
      <c r="H144" s="167">
        <v>86.36</v>
      </c>
    </row>
    <row r="145" spans="1:8">
      <c r="C145" t="s">
        <v>494</v>
      </c>
      <c r="D145" s="168">
        <v>249</v>
      </c>
      <c r="E145" s="168">
        <v>1965</v>
      </c>
      <c r="F145" s="168">
        <v>1426</v>
      </c>
      <c r="G145" s="168">
        <v>733</v>
      </c>
      <c r="H145" s="168">
        <v>256</v>
      </c>
    </row>
    <row r="146" spans="1:8" ht="22.5">
      <c r="C146" t="s">
        <v>179</v>
      </c>
      <c r="D146" s="169" t="s">
        <v>200</v>
      </c>
      <c r="E146" s="169" t="s">
        <v>201</v>
      </c>
      <c r="F146" s="169" t="s">
        <v>202</v>
      </c>
      <c r="G146" s="169" t="s">
        <v>203</v>
      </c>
      <c r="H146" s="169" t="s">
        <v>204</v>
      </c>
    </row>
    <row r="147" spans="1:8">
      <c r="C147" t="s">
        <v>495</v>
      </c>
      <c r="D147" s="165">
        <v>82.91</v>
      </c>
      <c r="E147" s="165">
        <v>82.91</v>
      </c>
      <c r="F147" s="165">
        <v>82.91</v>
      </c>
      <c r="G147" s="165">
        <v>82.91</v>
      </c>
      <c r="H147" s="165">
        <v>82.91</v>
      </c>
    </row>
    <row r="148" spans="1:8">
      <c r="C148" t="s">
        <v>496</v>
      </c>
      <c r="D148" s="171">
        <v>87.33</v>
      </c>
      <c r="E148" s="171">
        <v>82.4</v>
      </c>
      <c r="F148" s="171">
        <v>83.7</v>
      </c>
      <c r="G148" s="171">
        <v>87.89</v>
      </c>
      <c r="H148" s="171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0" t="s">
        <v>205</v>
      </c>
      <c r="E227" s="170" t="s">
        <v>206</v>
      </c>
    </row>
    <row r="228" spans="1:5" ht="15.75">
      <c r="C228" s="156" t="s">
        <v>181</v>
      </c>
      <c r="D228" s="157">
        <v>86.53</v>
      </c>
      <c r="E228" s="157">
        <v>86.24</v>
      </c>
    </row>
    <row r="229" spans="1:5" ht="15.75">
      <c r="C229" s="161" t="s">
        <v>182</v>
      </c>
      <c r="D229" s="157">
        <v>82.52</v>
      </c>
      <c r="E229" s="157">
        <v>81.34</v>
      </c>
    </row>
    <row r="230" spans="1:5" ht="15.75">
      <c r="C230" s="162" t="s">
        <v>180</v>
      </c>
      <c r="D230" s="157">
        <v>78.27</v>
      </c>
      <c r="E230" s="157">
        <v>78.02</v>
      </c>
    </row>
    <row r="231" spans="1:5" ht="15.75">
      <c r="C231" s="163" t="s">
        <v>196</v>
      </c>
      <c r="D231" s="157">
        <v>83.68</v>
      </c>
      <c r="E231" s="157">
        <v>83.52</v>
      </c>
    </row>
    <row r="232" spans="1:5" ht="15.75">
      <c r="C232" s="164" t="s">
        <v>490</v>
      </c>
      <c r="D232" s="159">
        <v>86.39</v>
      </c>
      <c r="E232" s="159">
        <v>86.83</v>
      </c>
    </row>
    <row r="233" spans="1:5">
      <c r="C233" t="s">
        <v>491</v>
      </c>
      <c r="D233" s="165">
        <v>83.48</v>
      </c>
      <c r="E233" s="165">
        <v>83.12</v>
      </c>
    </row>
    <row r="234" spans="1:5">
      <c r="C234" t="s">
        <v>492</v>
      </c>
      <c r="D234" s="166">
        <v>2476</v>
      </c>
      <c r="E234" s="166">
        <v>2191</v>
      </c>
    </row>
    <row r="235" spans="1:5">
      <c r="C235" t="s">
        <v>493</v>
      </c>
      <c r="D235" s="167">
        <v>79.62</v>
      </c>
      <c r="E235" s="167">
        <v>78.790000000000006</v>
      </c>
    </row>
    <row r="236" spans="1:5">
      <c r="C236" t="s">
        <v>494</v>
      </c>
      <c r="D236" s="168">
        <v>2382</v>
      </c>
      <c r="E236" s="168">
        <v>2218</v>
      </c>
    </row>
    <row r="237" spans="1:5">
      <c r="C237" t="s">
        <v>179</v>
      </c>
      <c r="D237" s="169" t="s">
        <v>205</v>
      </c>
      <c r="E237" s="169" t="s">
        <v>206</v>
      </c>
    </row>
    <row r="238" spans="1:5">
      <c r="C238" t="s">
        <v>495</v>
      </c>
      <c r="D238" s="165">
        <v>82.91</v>
      </c>
      <c r="E238" s="165">
        <v>82.91</v>
      </c>
    </row>
    <row r="239" spans="1:5">
      <c r="C239" t="s">
        <v>496</v>
      </c>
      <c r="D239" s="171">
        <v>85.32</v>
      </c>
      <c r="E239" s="171">
        <v>83.78</v>
      </c>
    </row>
    <row r="244" spans="1:1">
      <c r="A244" t="s">
        <v>147</v>
      </c>
    </row>
    <row r="274" spans="1:8">
      <c r="A274" t="s">
        <v>148</v>
      </c>
    </row>
    <row r="288" spans="1:8" ht="63.75">
      <c r="A288" t="s">
        <v>168</v>
      </c>
      <c r="D288" s="170" t="s">
        <v>396</v>
      </c>
      <c r="E288" s="170" t="s">
        <v>332</v>
      </c>
      <c r="F288" s="170" t="s">
        <v>333</v>
      </c>
      <c r="G288" s="170" t="s">
        <v>334</v>
      </c>
      <c r="H288" s="170" t="s">
        <v>335</v>
      </c>
    </row>
    <row r="289" spans="3:8" ht="15.75">
      <c r="C289" s="156" t="s">
        <v>181</v>
      </c>
      <c r="D289" s="157">
        <v>76.19</v>
      </c>
      <c r="E289" s="157">
        <v>87.14</v>
      </c>
      <c r="F289" s="157">
        <v>86.86</v>
      </c>
      <c r="G289" s="157">
        <v>85.18</v>
      </c>
      <c r="H289" s="157">
        <v>87.05</v>
      </c>
    </row>
    <row r="290" spans="3:8" ht="15.75">
      <c r="C290" s="161" t="s">
        <v>182</v>
      </c>
      <c r="D290" s="157">
        <v>78.209999999999994</v>
      </c>
      <c r="E290" s="157">
        <v>80.63</v>
      </c>
      <c r="F290" s="157">
        <v>81.92</v>
      </c>
      <c r="G290" s="157">
        <v>81.260000000000005</v>
      </c>
      <c r="H290" s="157">
        <v>85.26</v>
      </c>
    </row>
    <row r="291" spans="3:8" ht="15.75">
      <c r="C291" s="162" t="s">
        <v>180</v>
      </c>
      <c r="D291" s="157">
        <v>80.489999999999995</v>
      </c>
      <c r="E291" s="157">
        <v>78.47</v>
      </c>
      <c r="F291" s="157">
        <v>78.739999999999995</v>
      </c>
      <c r="G291" s="157">
        <v>76.790000000000006</v>
      </c>
      <c r="H291" s="157">
        <v>79.03</v>
      </c>
    </row>
    <row r="292" spans="3:8" ht="15.75">
      <c r="C292" s="163" t="s">
        <v>196</v>
      </c>
      <c r="D292" s="157">
        <v>84.38</v>
      </c>
      <c r="E292" s="157">
        <v>84.66</v>
      </c>
      <c r="F292" s="157">
        <v>83.78</v>
      </c>
      <c r="G292" s="157">
        <v>82.02</v>
      </c>
      <c r="H292" s="157">
        <v>86.82</v>
      </c>
    </row>
    <row r="293" spans="3:8" ht="15.75">
      <c r="C293" s="164" t="s">
        <v>490</v>
      </c>
      <c r="D293" s="159">
        <v>78.33</v>
      </c>
      <c r="E293" s="159">
        <v>85.6</v>
      </c>
      <c r="F293" s="159">
        <v>86.75</v>
      </c>
      <c r="G293" s="159">
        <v>85.69</v>
      </c>
      <c r="H293" s="159">
        <v>89.35</v>
      </c>
    </row>
    <row r="294" spans="3:8">
      <c r="C294" t="s">
        <v>491</v>
      </c>
      <c r="D294" s="165">
        <v>79.010000000000005</v>
      </c>
      <c r="E294" s="165">
        <v>83.26</v>
      </c>
      <c r="F294" s="165">
        <v>83.59</v>
      </c>
      <c r="G294" s="165">
        <v>82.17</v>
      </c>
      <c r="H294" s="165">
        <v>85.4</v>
      </c>
    </row>
    <row r="295" spans="3:8">
      <c r="C295" t="s">
        <v>492</v>
      </c>
      <c r="D295" s="166">
        <v>12</v>
      </c>
      <c r="E295" s="166">
        <v>360</v>
      </c>
      <c r="F295" s="166">
        <v>2276</v>
      </c>
      <c r="G295" s="166">
        <v>1542</v>
      </c>
      <c r="H295" s="166">
        <v>500</v>
      </c>
    </row>
    <row r="296" spans="3:8">
      <c r="C296" t="s">
        <v>493</v>
      </c>
      <c r="D296" s="167">
        <v>68.069999999999993</v>
      </c>
      <c r="E296" s="167">
        <v>79.69</v>
      </c>
      <c r="F296" s="167">
        <v>79.13</v>
      </c>
      <c r="G296" s="167">
        <v>78.17</v>
      </c>
      <c r="H296" s="167">
        <v>82.9</v>
      </c>
    </row>
    <row r="297" spans="3:8">
      <c r="C297" t="s">
        <v>494</v>
      </c>
      <c r="D297" s="168">
        <v>14</v>
      </c>
      <c r="E297" s="168">
        <v>413</v>
      </c>
      <c r="F297" s="168">
        <v>2318</v>
      </c>
      <c r="G297" s="168">
        <v>1467</v>
      </c>
      <c r="H297" s="168">
        <v>425</v>
      </c>
    </row>
    <row r="298" spans="3:8" ht="45">
      <c r="C298" t="s">
        <v>179</v>
      </c>
      <c r="D298" s="169" t="s">
        <v>396</v>
      </c>
      <c r="E298" s="169" t="s">
        <v>332</v>
      </c>
      <c r="F298" s="169" t="s">
        <v>333</v>
      </c>
      <c r="G298" s="169" t="s">
        <v>334</v>
      </c>
      <c r="H298" s="169" t="s">
        <v>335</v>
      </c>
    </row>
    <row r="299" spans="3:8">
      <c r="C299" t="s">
        <v>495</v>
      </c>
      <c r="D299" s="165">
        <v>82.91</v>
      </c>
      <c r="E299" s="165">
        <v>82.91</v>
      </c>
      <c r="F299" s="165">
        <v>82.91</v>
      </c>
      <c r="G299" s="165">
        <v>82.91</v>
      </c>
      <c r="H299" s="165">
        <v>82.91</v>
      </c>
    </row>
    <row r="300" spans="3:8">
      <c r="C300" t="s">
        <v>496</v>
      </c>
      <c r="D300" s="171">
        <v>75</v>
      </c>
      <c r="E300" s="171">
        <v>86.11</v>
      </c>
      <c r="F300" s="171">
        <v>84.66</v>
      </c>
      <c r="G300" s="171">
        <v>82.38</v>
      </c>
      <c r="H300" s="171">
        <v>89.58</v>
      </c>
    </row>
    <row r="305" spans="1:1">
      <c r="A305" t="s">
        <v>149</v>
      </c>
    </row>
    <row r="335" spans="1:1">
      <c r="A335" t="s">
        <v>175</v>
      </c>
    </row>
    <row r="349" spans="1:8" ht="140.25">
      <c r="A349" t="s">
        <v>473</v>
      </c>
      <c r="D349" s="174" t="s">
        <v>397</v>
      </c>
      <c r="E349" s="174" t="s">
        <v>398</v>
      </c>
      <c r="F349" s="174" t="s">
        <v>399</v>
      </c>
      <c r="G349" s="174" t="s">
        <v>400</v>
      </c>
      <c r="H349" s="174" t="s">
        <v>401</v>
      </c>
    </row>
    <row r="350" spans="1:8" ht="15.75">
      <c r="C350" s="156" t="s">
        <v>181</v>
      </c>
      <c r="D350" s="157">
        <v>93.53</v>
      </c>
      <c r="E350" s="157">
        <v>91.83</v>
      </c>
      <c r="F350" s="157">
        <v>88.97</v>
      </c>
      <c r="G350" s="157">
        <v>83.86</v>
      </c>
      <c r="H350" s="157">
        <v>84.1</v>
      </c>
    </row>
    <row r="351" spans="1:8" ht="15.75">
      <c r="C351" s="161" t="s">
        <v>182</v>
      </c>
      <c r="D351" s="157">
        <v>93.66</v>
      </c>
      <c r="E351" s="157">
        <v>89.43</v>
      </c>
      <c r="F351" s="157">
        <v>85.92</v>
      </c>
      <c r="G351" s="157">
        <v>81.99</v>
      </c>
      <c r="H351" s="157">
        <v>79.41</v>
      </c>
    </row>
    <row r="352" spans="1:8" ht="15.75">
      <c r="C352" s="162" t="s">
        <v>180</v>
      </c>
      <c r="D352" s="157">
        <v>87.16</v>
      </c>
      <c r="E352" s="157">
        <v>83.33</v>
      </c>
      <c r="F352" s="157">
        <v>81.790000000000006</v>
      </c>
      <c r="G352" s="157">
        <v>75.37</v>
      </c>
      <c r="H352" s="157">
        <v>74.319999999999993</v>
      </c>
    </row>
    <row r="353" spans="1:8" ht="15.75">
      <c r="C353" s="163" t="s">
        <v>196</v>
      </c>
      <c r="D353" s="157">
        <v>94.93</v>
      </c>
      <c r="E353" s="157">
        <v>92.27</v>
      </c>
      <c r="F353" s="157">
        <v>89.09</v>
      </c>
      <c r="G353" s="157">
        <v>82.97</v>
      </c>
      <c r="H353" s="157">
        <v>81.58</v>
      </c>
    </row>
    <row r="354" spans="1:8" ht="15.75">
      <c r="C354" s="164" t="s">
        <v>490</v>
      </c>
      <c r="D354" s="159">
        <v>94.86</v>
      </c>
      <c r="E354" s="159">
        <v>92.88</v>
      </c>
      <c r="F354" s="159">
        <v>90.23</v>
      </c>
      <c r="G354" s="159">
        <v>86.42</v>
      </c>
      <c r="H354" s="159">
        <v>83.34</v>
      </c>
    </row>
    <row r="355" spans="1:8">
      <c r="C355" t="s">
        <v>491</v>
      </c>
      <c r="D355" s="165">
        <v>92.75</v>
      </c>
      <c r="E355" s="165">
        <v>89.82</v>
      </c>
      <c r="F355" s="165">
        <v>87.04</v>
      </c>
      <c r="G355" s="165">
        <v>82.03</v>
      </c>
      <c r="H355" s="165">
        <v>80.510000000000005</v>
      </c>
    </row>
    <row r="356" spans="1:8">
      <c r="C356" t="s">
        <v>492</v>
      </c>
      <c r="D356" s="166">
        <v>74</v>
      </c>
      <c r="E356" s="166">
        <v>139</v>
      </c>
      <c r="F356" s="166">
        <v>979</v>
      </c>
      <c r="G356" s="166">
        <v>794</v>
      </c>
      <c r="H356" s="166">
        <v>386</v>
      </c>
    </row>
    <row r="357" spans="1:8">
      <c r="C357" t="s">
        <v>493</v>
      </c>
      <c r="D357" s="167">
        <v>91.91</v>
      </c>
      <c r="E357" s="167">
        <v>88.05</v>
      </c>
      <c r="F357" s="167">
        <v>86.33</v>
      </c>
      <c r="G357" s="167">
        <v>77.510000000000005</v>
      </c>
      <c r="H357" s="167">
        <v>73.2</v>
      </c>
    </row>
    <row r="358" spans="1:8">
      <c r="C358" t="s">
        <v>494</v>
      </c>
      <c r="D358" s="168">
        <v>65</v>
      </c>
      <c r="E358" s="168">
        <v>121</v>
      </c>
      <c r="F358" s="168">
        <v>895</v>
      </c>
      <c r="G358" s="168">
        <v>768</v>
      </c>
      <c r="H358" s="168">
        <v>265</v>
      </c>
    </row>
    <row r="359" spans="1:8" ht="112.5">
      <c r="C359" t="s">
        <v>179</v>
      </c>
      <c r="D359" s="173" t="s">
        <v>397</v>
      </c>
      <c r="E359" s="173" t="s">
        <v>398</v>
      </c>
      <c r="F359" s="173" t="s">
        <v>399</v>
      </c>
      <c r="G359" s="173" t="s">
        <v>400</v>
      </c>
      <c r="H359" s="173" t="s">
        <v>401</v>
      </c>
    </row>
    <row r="360" spans="1:8">
      <c r="C360" t="s">
        <v>495</v>
      </c>
      <c r="D360" s="165">
        <v>82.91</v>
      </c>
      <c r="E360" s="165">
        <v>82.91</v>
      </c>
      <c r="F360" s="165">
        <v>82.91</v>
      </c>
      <c r="G360" s="165">
        <v>82.91</v>
      </c>
      <c r="H360" s="165">
        <v>82.91</v>
      </c>
    </row>
    <row r="361" spans="1:8">
      <c r="C361" t="s">
        <v>496</v>
      </c>
      <c r="D361" s="171">
        <v>98.65</v>
      </c>
      <c r="E361" s="171">
        <v>94.24</v>
      </c>
      <c r="F361" s="171">
        <v>89.27</v>
      </c>
      <c r="G361" s="171">
        <v>85.34</v>
      </c>
      <c r="H361" s="171">
        <v>81.61</v>
      </c>
    </row>
    <row r="366" spans="1:8">
      <c r="A366" t="s">
        <v>176</v>
      </c>
    </row>
    <row r="380" spans="1:8" ht="127.5">
      <c r="A380" t="s">
        <v>474</v>
      </c>
      <c r="D380" s="174" t="s">
        <v>402</v>
      </c>
      <c r="E380" s="174" t="s">
        <v>403</v>
      </c>
      <c r="F380" s="174" t="s">
        <v>404</v>
      </c>
      <c r="G380" s="174" t="s">
        <v>405</v>
      </c>
      <c r="H380" s="174" t="s">
        <v>406</v>
      </c>
    </row>
    <row r="381" spans="1:8" ht="15.75">
      <c r="C381" s="156" t="s">
        <v>181</v>
      </c>
      <c r="D381" s="157">
        <v>78.73</v>
      </c>
      <c r="E381" s="157">
        <v>86.35</v>
      </c>
      <c r="F381" s="157">
        <v>87.52</v>
      </c>
      <c r="G381" s="157">
        <v>90.4</v>
      </c>
      <c r="H381" s="157">
        <v>79.88</v>
      </c>
    </row>
    <row r="382" spans="1:8" ht="15.75">
      <c r="C382" s="161" t="s">
        <v>182</v>
      </c>
      <c r="D382" s="157">
        <v>74.709999999999994</v>
      </c>
      <c r="E382" s="157">
        <v>79.209999999999994</v>
      </c>
      <c r="F382" s="157">
        <v>81.94</v>
      </c>
      <c r="G382" s="157">
        <v>82.09</v>
      </c>
      <c r="H382" s="157">
        <v>80.540000000000006</v>
      </c>
    </row>
    <row r="383" spans="1:8" ht="15.75">
      <c r="C383" s="162" t="s">
        <v>180</v>
      </c>
      <c r="D383" s="157">
        <v>69.97</v>
      </c>
      <c r="E383" s="157">
        <v>77.64</v>
      </c>
      <c r="F383" s="157">
        <v>79.180000000000007</v>
      </c>
      <c r="G383" s="157">
        <v>83.27</v>
      </c>
      <c r="H383" s="157">
        <v>72.260000000000005</v>
      </c>
    </row>
    <row r="384" spans="1:8" ht="15.75">
      <c r="C384" s="163" t="s">
        <v>196</v>
      </c>
      <c r="D384" s="157">
        <v>76.73</v>
      </c>
      <c r="E384" s="157">
        <v>80.61</v>
      </c>
      <c r="F384" s="157">
        <v>83.49</v>
      </c>
      <c r="G384" s="157">
        <v>80.66</v>
      </c>
      <c r="H384" s="157">
        <v>76.23</v>
      </c>
    </row>
    <row r="385" spans="1:8" ht="15.75">
      <c r="C385" s="164" t="s">
        <v>490</v>
      </c>
      <c r="D385" s="159">
        <v>79.400000000000006</v>
      </c>
      <c r="E385" s="159">
        <v>84.13</v>
      </c>
      <c r="F385" s="159">
        <v>86.8</v>
      </c>
      <c r="G385" s="159">
        <v>89.26</v>
      </c>
      <c r="H385" s="159">
        <v>80.28</v>
      </c>
    </row>
    <row r="386" spans="1:8">
      <c r="C386" t="s">
        <v>491</v>
      </c>
      <c r="D386" s="165">
        <v>75.88</v>
      </c>
      <c r="E386" s="165">
        <v>81.69</v>
      </c>
      <c r="F386" s="165">
        <v>83.78</v>
      </c>
      <c r="G386" s="165">
        <v>85.39</v>
      </c>
      <c r="H386" s="165">
        <v>77.95</v>
      </c>
    </row>
    <row r="387" spans="1:8">
      <c r="C387" t="s">
        <v>492</v>
      </c>
      <c r="D387" s="166">
        <v>426</v>
      </c>
      <c r="E387" s="166">
        <v>536</v>
      </c>
      <c r="F387" s="166">
        <v>877</v>
      </c>
      <c r="G387" s="166">
        <v>396</v>
      </c>
      <c r="H387" s="166">
        <v>42</v>
      </c>
    </row>
    <row r="388" spans="1:8">
      <c r="C388" t="s">
        <v>493</v>
      </c>
      <c r="D388" s="167">
        <v>71.02</v>
      </c>
      <c r="E388" s="167">
        <v>74.760000000000005</v>
      </c>
      <c r="F388" s="167">
        <v>80.2</v>
      </c>
      <c r="G388" s="167">
        <v>80.39</v>
      </c>
      <c r="H388" s="167" t="s">
        <v>215</v>
      </c>
    </row>
    <row r="389" spans="1:8">
      <c r="C389" t="s">
        <v>494</v>
      </c>
      <c r="D389" s="168">
        <v>519</v>
      </c>
      <c r="E389" s="168">
        <v>572</v>
      </c>
      <c r="F389" s="168">
        <v>937</v>
      </c>
      <c r="G389" s="168">
        <v>444</v>
      </c>
      <c r="H389" s="168" t="s">
        <v>213</v>
      </c>
    </row>
    <row r="390" spans="1:8" ht="90">
      <c r="C390" t="s">
        <v>179</v>
      </c>
      <c r="D390" s="173" t="s">
        <v>402</v>
      </c>
      <c r="E390" s="173" t="s">
        <v>403</v>
      </c>
      <c r="F390" s="173" t="s">
        <v>404</v>
      </c>
      <c r="G390" s="173" t="s">
        <v>405</v>
      </c>
      <c r="H390" s="173" t="s">
        <v>406</v>
      </c>
    </row>
    <row r="391" spans="1:8">
      <c r="C391" t="s">
        <v>495</v>
      </c>
      <c r="D391" s="165">
        <v>82.91</v>
      </c>
      <c r="E391" s="165">
        <v>82.91</v>
      </c>
      <c r="F391" s="165">
        <v>82.91</v>
      </c>
      <c r="G391" s="165">
        <v>82.91</v>
      </c>
      <c r="H391" s="165">
        <v>82.91</v>
      </c>
    </row>
    <row r="392" spans="1:8">
      <c r="C392" t="s">
        <v>496</v>
      </c>
      <c r="D392" s="171">
        <v>80</v>
      </c>
      <c r="E392" s="171">
        <v>81.459999999999994</v>
      </c>
      <c r="F392" s="171">
        <v>82.78</v>
      </c>
      <c r="G392" s="171">
        <v>82.83</v>
      </c>
      <c r="H392" s="171">
        <v>76.19</v>
      </c>
    </row>
    <row r="397" spans="1:8">
      <c r="A397" t="s">
        <v>150</v>
      </c>
    </row>
    <row r="457" spans="1:1">
      <c r="A457" t="s">
        <v>151</v>
      </c>
    </row>
    <row r="471" spans="1:9" ht="25.5">
      <c r="A471" t="s">
        <v>171</v>
      </c>
      <c r="D471" s="170" t="s">
        <v>336</v>
      </c>
      <c r="E471" s="170" t="s">
        <v>337</v>
      </c>
      <c r="F471" s="170" t="s">
        <v>338</v>
      </c>
      <c r="G471" s="170" t="s">
        <v>339</v>
      </c>
      <c r="H471" s="170" t="s">
        <v>340</v>
      </c>
      <c r="I471" s="170" t="s">
        <v>341</v>
      </c>
    </row>
    <row r="472" spans="1:9" ht="15.75">
      <c r="C472" s="156" t="s">
        <v>181</v>
      </c>
      <c r="D472" s="157">
        <v>91.75</v>
      </c>
      <c r="E472" s="157">
        <v>87.14</v>
      </c>
      <c r="F472" s="157">
        <v>84.41</v>
      </c>
      <c r="G472" s="157">
        <v>79.94</v>
      </c>
      <c r="H472" s="157">
        <v>87.42</v>
      </c>
      <c r="I472" s="157">
        <v>88.24</v>
      </c>
    </row>
    <row r="473" spans="1:9" ht="15.75">
      <c r="C473" s="161" t="s">
        <v>182</v>
      </c>
      <c r="D473" s="157">
        <v>87.01</v>
      </c>
      <c r="E473" s="157">
        <v>82.15</v>
      </c>
      <c r="F473" s="157">
        <v>78.97</v>
      </c>
      <c r="G473" s="157">
        <v>76.930000000000007</v>
      </c>
      <c r="H473" s="157">
        <v>83.93</v>
      </c>
      <c r="I473" s="157">
        <v>84.79</v>
      </c>
    </row>
    <row r="474" spans="1:9" ht="15.75">
      <c r="C474" s="162" t="s">
        <v>180</v>
      </c>
      <c r="D474" s="157">
        <v>87.17</v>
      </c>
      <c r="E474" s="157">
        <v>79.760000000000005</v>
      </c>
      <c r="F474" s="157">
        <v>74.66</v>
      </c>
      <c r="G474" s="157">
        <v>72.42</v>
      </c>
      <c r="H474" s="157">
        <v>77.63</v>
      </c>
      <c r="I474" s="157">
        <v>80.38</v>
      </c>
    </row>
    <row r="475" spans="1:9" ht="15.75">
      <c r="C475" s="163" t="s">
        <v>196</v>
      </c>
      <c r="D475" s="157">
        <v>86.67</v>
      </c>
      <c r="E475" s="157">
        <v>82.73</v>
      </c>
      <c r="F475" s="157">
        <v>79.88</v>
      </c>
      <c r="G475" s="157">
        <v>80.069999999999993</v>
      </c>
      <c r="H475" s="157">
        <v>86.61</v>
      </c>
      <c r="I475" s="157">
        <v>88.62</v>
      </c>
    </row>
    <row r="476" spans="1:9" ht="15.75">
      <c r="C476" s="164" t="s">
        <v>490</v>
      </c>
      <c r="D476" s="159">
        <v>91.77</v>
      </c>
      <c r="E476" s="159">
        <v>87.67</v>
      </c>
      <c r="F476" s="159">
        <v>83.75</v>
      </c>
      <c r="G476" s="159">
        <v>81.36</v>
      </c>
      <c r="H476" s="159">
        <v>88.32</v>
      </c>
      <c r="I476" s="159">
        <v>88.26</v>
      </c>
    </row>
    <row r="477" spans="1:9">
      <c r="C477" t="s">
        <v>491</v>
      </c>
      <c r="D477" s="165">
        <v>89.02</v>
      </c>
      <c r="E477" s="165">
        <v>83.93</v>
      </c>
      <c r="F477" s="165">
        <v>80.37</v>
      </c>
      <c r="G477" s="165">
        <v>77.959999999999994</v>
      </c>
      <c r="H477" s="165">
        <v>84.65</v>
      </c>
      <c r="I477" s="165">
        <v>85.91</v>
      </c>
    </row>
    <row r="478" spans="1:9">
      <c r="C478" t="s">
        <v>492</v>
      </c>
      <c r="D478" s="166">
        <v>425</v>
      </c>
      <c r="E478" s="166">
        <v>1125</v>
      </c>
      <c r="F478" s="166">
        <v>1198</v>
      </c>
      <c r="G478" s="166">
        <v>412</v>
      </c>
      <c r="H478" s="166">
        <v>791</v>
      </c>
      <c r="I478" s="166">
        <v>719</v>
      </c>
    </row>
    <row r="479" spans="1:9">
      <c r="C479" t="s">
        <v>493</v>
      </c>
      <c r="D479" s="167">
        <v>83.99</v>
      </c>
      <c r="E479" s="167">
        <v>78.19</v>
      </c>
      <c r="F479" s="167">
        <v>76.42</v>
      </c>
      <c r="G479" s="167">
        <v>76.36</v>
      </c>
      <c r="H479" s="167">
        <v>80.75</v>
      </c>
      <c r="I479" s="167">
        <v>84.02</v>
      </c>
    </row>
    <row r="480" spans="1:9">
      <c r="C480" t="s">
        <v>494</v>
      </c>
      <c r="D480" s="168">
        <v>305</v>
      </c>
      <c r="E480" s="168">
        <v>1135</v>
      </c>
      <c r="F480" s="168">
        <v>1202</v>
      </c>
      <c r="G480" s="168">
        <v>481</v>
      </c>
      <c r="H480" s="168">
        <v>715</v>
      </c>
      <c r="I480" s="168">
        <v>773</v>
      </c>
    </row>
    <row r="481" spans="1:9" ht="22.5">
      <c r="C481" t="s">
        <v>179</v>
      </c>
      <c r="D481" s="169" t="s">
        <v>336</v>
      </c>
      <c r="E481" s="169" t="s">
        <v>337</v>
      </c>
      <c r="F481" s="169" t="s">
        <v>338</v>
      </c>
      <c r="G481" s="169" t="s">
        <v>339</v>
      </c>
      <c r="H481" s="169" t="s">
        <v>340</v>
      </c>
      <c r="I481" s="169" t="s">
        <v>341</v>
      </c>
    </row>
    <row r="482" spans="1:9">
      <c r="C482" t="s">
        <v>495</v>
      </c>
      <c r="D482" s="165">
        <v>82.91</v>
      </c>
      <c r="E482" s="165">
        <v>82.91</v>
      </c>
      <c r="F482" s="165">
        <v>82.91</v>
      </c>
      <c r="G482" s="165">
        <v>82.91</v>
      </c>
      <c r="H482" s="165">
        <v>82.91</v>
      </c>
      <c r="I482" s="165">
        <v>82.91</v>
      </c>
    </row>
    <row r="483" spans="1:9">
      <c r="C483" t="s">
        <v>496</v>
      </c>
      <c r="D483" s="171">
        <v>90.59</v>
      </c>
      <c r="E483" s="171">
        <v>84.53</v>
      </c>
      <c r="F483" s="171">
        <v>80.75</v>
      </c>
      <c r="G483" s="171">
        <v>79.08</v>
      </c>
      <c r="H483" s="171">
        <v>86.71</v>
      </c>
      <c r="I483" s="171">
        <v>89.28</v>
      </c>
    </row>
    <row r="488" spans="1:9">
      <c r="A488" t="s">
        <v>152</v>
      </c>
    </row>
    <row r="518" spans="1:1">
      <c r="A518" t="s">
        <v>177</v>
      </c>
    </row>
    <row r="532" spans="1:10" ht="38.25">
      <c r="A532" t="s">
        <v>475</v>
      </c>
      <c r="D532" s="170" t="s">
        <v>407</v>
      </c>
      <c r="E532" s="170" t="s">
        <v>408</v>
      </c>
      <c r="F532" s="170" t="s">
        <v>409</v>
      </c>
      <c r="G532" s="170" t="s">
        <v>410</v>
      </c>
      <c r="H532" s="170" t="s">
        <v>411</v>
      </c>
      <c r="I532" s="170" t="s">
        <v>412</v>
      </c>
      <c r="J532" s="170" t="s">
        <v>413</v>
      </c>
    </row>
    <row r="533" spans="1:10" ht="15.75">
      <c r="C533" s="156" t="s">
        <v>181</v>
      </c>
      <c r="D533" s="157">
        <v>70.28</v>
      </c>
      <c r="E533" s="157">
        <v>93.52</v>
      </c>
      <c r="F533" s="157">
        <v>81.7</v>
      </c>
      <c r="G533" s="157">
        <v>85.8</v>
      </c>
      <c r="H533" s="157">
        <v>86.78</v>
      </c>
      <c r="I533" s="157">
        <v>83.81</v>
      </c>
      <c r="J533" s="157">
        <v>96.24</v>
      </c>
    </row>
    <row r="534" spans="1:10" ht="15.75">
      <c r="C534" s="161" t="s">
        <v>182</v>
      </c>
      <c r="D534" s="157">
        <v>62.23</v>
      </c>
      <c r="E534" s="157">
        <v>94.29</v>
      </c>
      <c r="F534" s="157">
        <v>80.44</v>
      </c>
      <c r="G534" s="157">
        <v>83.68</v>
      </c>
      <c r="H534" s="157">
        <v>81.459999999999994</v>
      </c>
      <c r="I534" s="157">
        <v>84.28</v>
      </c>
      <c r="J534" s="157">
        <v>91.48</v>
      </c>
    </row>
    <row r="535" spans="1:10" ht="15.75">
      <c r="C535" s="162" t="s">
        <v>180</v>
      </c>
      <c r="D535" s="157">
        <v>67.959999999999994</v>
      </c>
      <c r="E535" s="157">
        <v>91.07</v>
      </c>
      <c r="F535" s="157">
        <v>74.040000000000006</v>
      </c>
      <c r="G535" s="157">
        <v>74.45</v>
      </c>
      <c r="H535" s="157">
        <v>78.72</v>
      </c>
      <c r="I535" s="157">
        <v>76.58</v>
      </c>
      <c r="J535" s="157">
        <v>81.349999999999994</v>
      </c>
    </row>
    <row r="536" spans="1:10" ht="15.75">
      <c r="C536" s="163" t="s">
        <v>196</v>
      </c>
      <c r="D536" s="157">
        <v>72.989999999999995</v>
      </c>
      <c r="E536" s="157">
        <v>99.04</v>
      </c>
      <c r="F536" s="157">
        <v>80</v>
      </c>
      <c r="G536" s="157">
        <v>84.75</v>
      </c>
      <c r="H536" s="157">
        <v>83.95</v>
      </c>
      <c r="I536" s="157">
        <v>89.61</v>
      </c>
      <c r="J536" s="157">
        <v>93.45</v>
      </c>
    </row>
    <row r="537" spans="1:10" ht="15.75">
      <c r="C537" s="164" t="s">
        <v>490</v>
      </c>
      <c r="D537" s="159">
        <v>60.71</v>
      </c>
      <c r="E537" s="159">
        <v>98.57</v>
      </c>
      <c r="F537" s="159">
        <v>79.77</v>
      </c>
      <c r="G537" s="159">
        <v>87.66</v>
      </c>
      <c r="H537" s="159">
        <v>86.3</v>
      </c>
      <c r="I537" s="159">
        <v>90.11</v>
      </c>
      <c r="J537" s="159">
        <v>93.76</v>
      </c>
    </row>
    <row r="538" spans="1:10">
      <c r="C538" t="s">
        <v>491</v>
      </c>
      <c r="D538" s="165">
        <v>66.8</v>
      </c>
      <c r="E538" s="165">
        <v>94.93</v>
      </c>
      <c r="F538" s="165">
        <v>79.16</v>
      </c>
      <c r="G538" s="165">
        <v>83.16</v>
      </c>
      <c r="H538" s="165">
        <v>83.39</v>
      </c>
      <c r="I538" s="165">
        <v>84.44</v>
      </c>
      <c r="J538" s="165">
        <v>91.35</v>
      </c>
    </row>
    <row r="539" spans="1:10">
      <c r="C539" t="s">
        <v>492</v>
      </c>
      <c r="D539" s="166">
        <v>8</v>
      </c>
      <c r="E539" s="166">
        <v>14</v>
      </c>
      <c r="F539" s="166">
        <v>41</v>
      </c>
      <c r="G539" s="166">
        <v>199</v>
      </c>
      <c r="H539" s="166">
        <v>2612</v>
      </c>
      <c r="I539" s="166">
        <v>95</v>
      </c>
      <c r="J539" s="166">
        <v>21</v>
      </c>
    </row>
    <row r="540" spans="1:10">
      <c r="C540" t="s">
        <v>493</v>
      </c>
      <c r="D540" s="167">
        <v>71.709999999999994</v>
      </c>
      <c r="E540" s="167">
        <v>94.66</v>
      </c>
      <c r="F540" s="167">
        <v>78.58</v>
      </c>
      <c r="G540" s="167">
        <v>74.38</v>
      </c>
      <c r="H540" s="167">
        <v>80.41</v>
      </c>
      <c r="I540" s="167">
        <v>84.16</v>
      </c>
      <c r="J540" s="167" t="s">
        <v>215</v>
      </c>
    </row>
    <row r="541" spans="1:10">
      <c r="C541" t="s">
        <v>494</v>
      </c>
      <c r="D541" s="168">
        <v>22</v>
      </c>
      <c r="E541" s="168">
        <v>10</v>
      </c>
      <c r="F541" s="168">
        <v>47</v>
      </c>
      <c r="G541" s="168">
        <v>187</v>
      </c>
      <c r="H541" s="168">
        <v>2535</v>
      </c>
      <c r="I541" s="168">
        <v>89</v>
      </c>
      <c r="J541" s="168" t="s">
        <v>213</v>
      </c>
    </row>
    <row r="542" spans="1:10" ht="33.75">
      <c r="C542" t="s">
        <v>179</v>
      </c>
      <c r="D542" s="169" t="s">
        <v>407</v>
      </c>
      <c r="E542" s="169" t="s">
        <v>408</v>
      </c>
      <c r="F542" s="169" t="s">
        <v>409</v>
      </c>
      <c r="G542" s="169" t="s">
        <v>410</v>
      </c>
      <c r="H542" s="169" t="s">
        <v>411</v>
      </c>
      <c r="I542" s="169" t="s">
        <v>412</v>
      </c>
      <c r="J542" s="169" t="s">
        <v>413</v>
      </c>
    </row>
    <row r="543" spans="1:10">
      <c r="C543" t="s">
        <v>495</v>
      </c>
      <c r="D543" s="165">
        <v>82.91</v>
      </c>
      <c r="E543" s="165">
        <v>82.91</v>
      </c>
      <c r="F543" s="165">
        <v>82.91</v>
      </c>
      <c r="G543" s="165">
        <v>82.91</v>
      </c>
      <c r="H543" s="165">
        <v>82.91</v>
      </c>
      <c r="I543" s="165">
        <v>82.91</v>
      </c>
      <c r="J543" s="165">
        <v>82.91</v>
      </c>
    </row>
    <row r="544" spans="1:10">
      <c r="C544" t="s">
        <v>496</v>
      </c>
      <c r="D544" s="171">
        <v>75</v>
      </c>
      <c r="E544" s="171">
        <v>100</v>
      </c>
      <c r="F544" s="171">
        <v>75.61</v>
      </c>
      <c r="G544" s="171">
        <v>86.36</v>
      </c>
      <c r="H544" s="171">
        <v>83.41</v>
      </c>
      <c r="I544" s="171">
        <v>91.58</v>
      </c>
      <c r="J544" s="171">
        <v>100</v>
      </c>
    </row>
    <row r="549" spans="1:1">
      <c r="A549" t="s">
        <v>178</v>
      </c>
    </row>
    <row r="563" spans="1:10" ht="51">
      <c r="A563" t="s">
        <v>476</v>
      </c>
      <c r="D563" s="170" t="s">
        <v>342</v>
      </c>
      <c r="E563" s="170" t="s">
        <v>414</v>
      </c>
      <c r="F563" s="170" t="s">
        <v>415</v>
      </c>
      <c r="G563" s="170" t="s">
        <v>416</v>
      </c>
      <c r="H563" s="170" t="s">
        <v>417</v>
      </c>
      <c r="I563" s="170" t="s">
        <v>343</v>
      </c>
      <c r="J563" s="170" t="s">
        <v>418</v>
      </c>
    </row>
    <row r="564" spans="1:10" ht="15.75">
      <c r="C564" s="156" t="s">
        <v>181</v>
      </c>
      <c r="D564" s="157">
        <v>90.49</v>
      </c>
      <c r="E564" s="157">
        <v>78.42</v>
      </c>
      <c r="F564" s="157">
        <v>89.17</v>
      </c>
      <c r="G564" s="157">
        <v>84.63</v>
      </c>
      <c r="H564" s="157">
        <v>81.78</v>
      </c>
      <c r="I564" s="157" t="s">
        <v>215</v>
      </c>
      <c r="J564" s="157">
        <v>97.14</v>
      </c>
    </row>
    <row r="565" spans="1:10" ht="15.75">
      <c r="C565" s="161" t="s">
        <v>182</v>
      </c>
      <c r="D565" s="157">
        <v>90.16</v>
      </c>
      <c r="E565" s="157">
        <v>79.81</v>
      </c>
      <c r="F565" s="157">
        <v>87.3</v>
      </c>
      <c r="G565" s="157">
        <v>79.87</v>
      </c>
      <c r="H565" s="157">
        <v>83.85</v>
      </c>
      <c r="I565" s="157" t="s">
        <v>215</v>
      </c>
      <c r="J565" s="157">
        <v>95.38</v>
      </c>
    </row>
    <row r="566" spans="1:10" ht="15.75">
      <c r="C566" s="162" t="s">
        <v>180</v>
      </c>
      <c r="D566" s="157">
        <v>80.63</v>
      </c>
      <c r="E566" s="157">
        <v>70.56</v>
      </c>
      <c r="F566" s="157">
        <v>81.760000000000005</v>
      </c>
      <c r="G566" s="157">
        <v>76.849999999999994</v>
      </c>
      <c r="H566" s="157">
        <v>73.540000000000006</v>
      </c>
      <c r="I566" s="157" t="s">
        <v>215</v>
      </c>
      <c r="J566" s="157">
        <v>85</v>
      </c>
    </row>
    <row r="567" spans="1:10" ht="15.75">
      <c r="C567" s="163" t="s">
        <v>196</v>
      </c>
      <c r="D567" s="157">
        <v>88.73</v>
      </c>
      <c r="E567" s="157">
        <v>76.319999999999993</v>
      </c>
      <c r="F567" s="157">
        <v>90.11</v>
      </c>
      <c r="G567" s="157">
        <v>80.97</v>
      </c>
      <c r="H567" s="157">
        <v>81.84</v>
      </c>
      <c r="I567" s="157" t="s">
        <v>215</v>
      </c>
      <c r="J567" s="157">
        <v>96.25</v>
      </c>
    </row>
    <row r="568" spans="1:10" ht="15.75">
      <c r="C568" s="164" t="s">
        <v>490</v>
      </c>
      <c r="D568" s="159">
        <v>92.57</v>
      </c>
      <c r="E568" s="159">
        <v>79.37</v>
      </c>
      <c r="F568" s="159">
        <v>91.39</v>
      </c>
      <c r="G568" s="159">
        <v>85.14</v>
      </c>
      <c r="H568" s="159">
        <v>86.85</v>
      </c>
      <c r="I568" s="159" t="s">
        <v>215</v>
      </c>
      <c r="J568" s="159">
        <v>91</v>
      </c>
    </row>
    <row r="569" spans="1:10">
      <c r="C569" t="s">
        <v>491</v>
      </c>
      <c r="D569" s="165">
        <v>88.51</v>
      </c>
      <c r="E569" s="165">
        <v>77.03</v>
      </c>
      <c r="F569" s="165">
        <v>87.77</v>
      </c>
      <c r="G569" s="165">
        <v>81.510000000000005</v>
      </c>
      <c r="H569" s="165">
        <v>81.52</v>
      </c>
      <c r="I569" s="165" t="s">
        <v>215</v>
      </c>
      <c r="J569" s="165">
        <v>93.1</v>
      </c>
    </row>
    <row r="570" spans="1:10">
      <c r="C570" t="s">
        <v>492</v>
      </c>
      <c r="D570" s="166">
        <v>170</v>
      </c>
      <c r="E570" s="166">
        <v>102</v>
      </c>
      <c r="F570" s="166">
        <v>60</v>
      </c>
      <c r="G570" s="166">
        <v>1478</v>
      </c>
      <c r="H570" s="166">
        <v>73</v>
      </c>
      <c r="I570" s="166">
        <v>3</v>
      </c>
      <c r="J570" s="166">
        <v>10</v>
      </c>
    </row>
    <row r="571" spans="1:10">
      <c r="C571" t="s">
        <v>493</v>
      </c>
      <c r="D571" s="167">
        <v>87.49</v>
      </c>
      <c r="E571" s="167">
        <v>80.099999999999994</v>
      </c>
      <c r="F571" s="167">
        <v>77.22</v>
      </c>
      <c r="G571" s="167">
        <v>75.45</v>
      </c>
      <c r="H571" s="167">
        <v>82.2</v>
      </c>
      <c r="I571" s="167" t="s">
        <v>215</v>
      </c>
      <c r="J571" s="167">
        <v>91.82</v>
      </c>
    </row>
    <row r="572" spans="1:10">
      <c r="C572" t="s">
        <v>494</v>
      </c>
      <c r="D572" s="168">
        <v>159</v>
      </c>
      <c r="E572" s="168">
        <v>99</v>
      </c>
      <c r="F572" s="168">
        <v>55</v>
      </c>
      <c r="G572" s="168">
        <v>1432</v>
      </c>
      <c r="H572" s="168">
        <v>77</v>
      </c>
      <c r="I572" s="168">
        <v>5</v>
      </c>
      <c r="J572" s="168">
        <v>11</v>
      </c>
    </row>
    <row r="573" spans="1:10" ht="33.75">
      <c r="C573" t="s">
        <v>179</v>
      </c>
      <c r="D573" s="169" t="s">
        <v>342</v>
      </c>
      <c r="E573" s="169" t="s">
        <v>414</v>
      </c>
      <c r="F573" s="169" t="s">
        <v>415</v>
      </c>
      <c r="G573" s="169" t="s">
        <v>416</v>
      </c>
      <c r="H573" s="169" t="s">
        <v>417</v>
      </c>
      <c r="I573" s="169" t="s">
        <v>343</v>
      </c>
      <c r="J573" s="169" t="s">
        <v>418</v>
      </c>
    </row>
    <row r="574" spans="1:10">
      <c r="C574" t="s">
        <v>495</v>
      </c>
      <c r="D574" s="165">
        <v>82.91</v>
      </c>
      <c r="E574" s="165">
        <v>82.91</v>
      </c>
      <c r="F574" s="165">
        <v>82.91</v>
      </c>
      <c r="G574" s="165">
        <v>82.91</v>
      </c>
      <c r="H574" s="165">
        <v>82.91</v>
      </c>
      <c r="I574" s="165">
        <v>82.91</v>
      </c>
      <c r="J574" s="165">
        <v>82.91</v>
      </c>
    </row>
    <row r="575" spans="1:10">
      <c r="C575" t="s">
        <v>496</v>
      </c>
      <c r="D575" s="171">
        <v>91.12</v>
      </c>
      <c r="E575" s="171">
        <v>81.37</v>
      </c>
      <c r="F575" s="171">
        <v>91.53</v>
      </c>
      <c r="G575" s="171">
        <v>83.23</v>
      </c>
      <c r="H575" s="171">
        <v>87.67</v>
      </c>
      <c r="I575" s="171" t="s">
        <v>215</v>
      </c>
      <c r="J575" s="171">
        <v>100</v>
      </c>
    </row>
    <row r="580" spans="1:1">
      <c r="A580" t="s">
        <v>153</v>
      </c>
    </row>
    <row r="640" spans="1:1">
      <c r="A640" t="s">
        <v>154</v>
      </c>
    </row>
    <row r="654" spans="1:7">
      <c r="A654" t="s">
        <v>172</v>
      </c>
      <c r="D654" s="170" t="s">
        <v>419</v>
      </c>
      <c r="E654" s="170" t="s">
        <v>420</v>
      </c>
      <c r="F654" s="170" t="s">
        <v>421</v>
      </c>
      <c r="G654" s="170" t="s">
        <v>422</v>
      </c>
    </row>
    <row r="655" spans="1:7" ht="15.75">
      <c r="C655" s="156" t="s">
        <v>181</v>
      </c>
      <c r="D655" s="157">
        <v>92.06</v>
      </c>
      <c r="E655" s="157">
        <v>82.99</v>
      </c>
      <c r="F655" s="157">
        <v>73.010000000000005</v>
      </c>
      <c r="G655" s="157">
        <v>58.22</v>
      </c>
    </row>
    <row r="656" spans="1:7" ht="15.75">
      <c r="C656" s="161" t="s">
        <v>182</v>
      </c>
      <c r="D656" s="157">
        <v>87.65</v>
      </c>
      <c r="E656" s="157">
        <v>78.34</v>
      </c>
      <c r="F656" s="157">
        <v>69.09</v>
      </c>
      <c r="G656" s="157">
        <v>54.71</v>
      </c>
    </row>
    <row r="657" spans="1:7" ht="15.75">
      <c r="C657" s="162" t="s">
        <v>180</v>
      </c>
      <c r="D657" s="157">
        <v>83.2</v>
      </c>
      <c r="E657" s="157">
        <v>74.31</v>
      </c>
      <c r="F657" s="157">
        <v>66.7</v>
      </c>
      <c r="G657" s="157">
        <v>56.94</v>
      </c>
    </row>
    <row r="658" spans="1:7" ht="15.75">
      <c r="C658" s="163" t="s">
        <v>196</v>
      </c>
      <c r="D658" s="157">
        <v>87.6</v>
      </c>
      <c r="E658" s="157">
        <v>81.8</v>
      </c>
      <c r="F658" s="157">
        <v>71.7</v>
      </c>
      <c r="G658" s="157">
        <v>66.19</v>
      </c>
    </row>
    <row r="659" spans="1:7" ht="15.75">
      <c r="C659" s="164" t="s">
        <v>490</v>
      </c>
      <c r="D659" s="159">
        <v>90.98</v>
      </c>
      <c r="E659" s="159">
        <v>84.03</v>
      </c>
      <c r="F659" s="159">
        <v>75.88</v>
      </c>
      <c r="G659" s="159">
        <v>65.92</v>
      </c>
    </row>
    <row r="660" spans="1:7">
      <c r="C660" t="s">
        <v>491</v>
      </c>
      <c r="D660" s="165">
        <v>88.39</v>
      </c>
      <c r="E660" s="165">
        <v>80.150000000000006</v>
      </c>
      <c r="F660" s="165">
        <v>71.099999999999994</v>
      </c>
      <c r="G660" s="165">
        <v>59.77</v>
      </c>
    </row>
    <row r="661" spans="1:7">
      <c r="C661" t="s">
        <v>492</v>
      </c>
      <c r="D661" s="166">
        <v>2444</v>
      </c>
      <c r="E661" s="166">
        <v>1088</v>
      </c>
      <c r="F661" s="166">
        <v>501</v>
      </c>
      <c r="G661" s="166">
        <v>116</v>
      </c>
    </row>
    <row r="662" spans="1:7">
      <c r="C662" t="s">
        <v>493</v>
      </c>
      <c r="D662" s="167">
        <v>84.86</v>
      </c>
      <c r="E662" s="167">
        <v>74.510000000000005</v>
      </c>
      <c r="F662" s="167">
        <v>66.599999999999994</v>
      </c>
      <c r="G662" s="167">
        <v>55.18</v>
      </c>
    </row>
    <row r="663" spans="1:7">
      <c r="C663" t="s">
        <v>494</v>
      </c>
      <c r="D663" s="168">
        <v>2773</v>
      </c>
      <c r="E663" s="168">
        <v>1087</v>
      </c>
      <c r="F663" s="168">
        <v>595</v>
      </c>
      <c r="G663" s="168">
        <v>110</v>
      </c>
    </row>
    <row r="664" spans="1:7">
      <c r="C664" t="s">
        <v>179</v>
      </c>
      <c r="D664" s="169" t="s">
        <v>419</v>
      </c>
      <c r="E664" s="169" t="s">
        <v>420</v>
      </c>
      <c r="F664" s="169" t="s">
        <v>421</v>
      </c>
      <c r="G664" s="169" t="s">
        <v>422</v>
      </c>
    </row>
    <row r="665" spans="1:7">
      <c r="C665" t="s">
        <v>495</v>
      </c>
      <c r="D665" s="165">
        <v>82.91</v>
      </c>
      <c r="E665" s="165">
        <v>82.91</v>
      </c>
      <c r="F665" s="165">
        <v>82.91</v>
      </c>
      <c r="G665" s="165">
        <v>82.91</v>
      </c>
    </row>
    <row r="666" spans="1:7">
      <c r="C666" t="s">
        <v>496</v>
      </c>
      <c r="D666" s="171">
        <v>89.51</v>
      </c>
      <c r="E666" s="171">
        <v>82.26</v>
      </c>
      <c r="F666" s="171">
        <v>70.599999999999994</v>
      </c>
      <c r="G666" s="171">
        <v>68.099999999999994</v>
      </c>
    </row>
    <row r="671" spans="1:7">
      <c r="A671" t="s">
        <v>155</v>
      </c>
    </row>
    <row r="731" spans="1:1">
      <c r="A731" t="s">
        <v>156</v>
      </c>
    </row>
    <row r="745" spans="1:8" ht="102">
      <c r="A745" t="s">
        <v>173</v>
      </c>
      <c r="D745" s="170" t="s">
        <v>207</v>
      </c>
      <c r="E745" s="170" t="s">
        <v>208</v>
      </c>
      <c r="F745" s="170" t="s">
        <v>209</v>
      </c>
      <c r="G745" s="170" t="s">
        <v>210</v>
      </c>
      <c r="H745" s="170" t="s">
        <v>211</v>
      </c>
    </row>
    <row r="746" spans="1:8" ht="15.75">
      <c r="C746" s="156" t="s">
        <v>181</v>
      </c>
      <c r="D746" s="157">
        <v>88.46</v>
      </c>
      <c r="E746" s="157">
        <v>81.81</v>
      </c>
      <c r="F746" s="157">
        <v>69.47</v>
      </c>
      <c r="G746" s="157">
        <v>90.75</v>
      </c>
      <c r="H746" s="157">
        <v>71.900000000000006</v>
      </c>
    </row>
    <row r="747" spans="1:8" ht="15.75">
      <c r="C747" s="161" t="s">
        <v>182</v>
      </c>
      <c r="D747" s="157">
        <v>84.45</v>
      </c>
      <c r="E747" s="157">
        <v>75.67</v>
      </c>
      <c r="F747" s="157">
        <v>62.34</v>
      </c>
      <c r="G747" s="157">
        <v>87.24</v>
      </c>
      <c r="H747" s="157">
        <v>66.099999999999994</v>
      </c>
    </row>
    <row r="748" spans="1:8" ht="15.75">
      <c r="C748" s="162" t="s">
        <v>180</v>
      </c>
      <c r="D748" s="157">
        <v>79.25</v>
      </c>
      <c r="E748" s="157">
        <v>73.47</v>
      </c>
      <c r="F748" s="157">
        <v>59.43</v>
      </c>
      <c r="G748" s="157">
        <v>82.97</v>
      </c>
      <c r="H748" s="157">
        <v>62.41</v>
      </c>
    </row>
    <row r="749" spans="1:8" ht="15.75">
      <c r="C749" s="163" t="s">
        <v>196</v>
      </c>
      <c r="D749" s="157">
        <v>84.85</v>
      </c>
      <c r="E749" s="157">
        <v>75.930000000000007</v>
      </c>
      <c r="F749" s="157">
        <v>67.13</v>
      </c>
      <c r="G749" s="157">
        <v>89.76</v>
      </c>
      <c r="H749" s="157">
        <v>66.989999999999995</v>
      </c>
    </row>
    <row r="750" spans="1:8" ht="15.75">
      <c r="C750" s="164" t="s">
        <v>490</v>
      </c>
      <c r="D750" s="159">
        <v>88.44</v>
      </c>
      <c r="E750" s="159">
        <v>81.05</v>
      </c>
      <c r="F750" s="159">
        <v>68.94</v>
      </c>
      <c r="G750" s="159">
        <v>91.63</v>
      </c>
      <c r="H750" s="159">
        <v>70.739999999999995</v>
      </c>
    </row>
    <row r="751" spans="1:8">
      <c r="C751" t="s">
        <v>491</v>
      </c>
      <c r="D751" s="165">
        <v>85.13</v>
      </c>
      <c r="E751" s="165">
        <v>77.69</v>
      </c>
      <c r="F751" s="165">
        <v>65.31</v>
      </c>
      <c r="G751" s="165">
        <v>88.38</v>
      </c>
      <c r="H751" s="165">
        <v>67.58</v>
      </c>
    </row>
    <row r="752" spans="1:8">
      <c r="C752" t="s">
        <v>492</v>
      </c>
      <c r="D752" s="166">
        <v>680</v>
      </c>
      <c r="E752" s="166">
        <v>940</v>
      </c>
      <c r="F752" s="166">
        <v>101</v>
      </c>
      <c r="G752" s="166">
        <v>1993</v>
      </c>
      <c r="H752" s="166">
        <v>218</v>
      </c>
    </row>
    <row r="753" spans="1:8">
      <c r="C753" t="s">
        <v>493</v>
      </c>
      <c r="D753" s="167">
        <v>80.739999999999995</v>
      </c>
      <c r="E753" s="167">
        <v>74.11</v>
      </c>
      <c r="F753" s="167">
        <v>60.51</v>
      </c>
      <c r="G753" s="167">
        <v>85.59</v>
      </c>
      <c r="H753" s="167">
        <v>59.82</v>
      </c>
    </row>
    <row r="754" spans="1:8">
      <c r="C754" t="s">
        <v>494</v>
      </c>
      <c r="D754" s="168">
        <v>764</v>
      </c>
      <c r="E754" s="168">
        <v>1235</v>
      </c>
      <c r="F754" s="168">
        <v>132</v>
      </c>
      <c r="G754" s="168">
        <v>2149</v>
      </c>
      <c r="H754" s="168">
        <v>297</v>
      </c>
    </row>
    <row r="755" spans="1:8" ht="67.5">
      <c r="C755" t="s">
        <v>179</v>
      </c>
      <c r="D755" s="169" t="s">
        <v>207</v>
      </c>
      <c r="E755" s="169" t="s">
        <v>208</v>
      </c>
      <c r="F755" s="169" t="s">
        <v>209</v>
      </c>
      <c r="G755" s="169" t="s">
        <v>210</v>
      </c>
      <c r="H755" s="169" t="s">
        <v>211</v>
      </c>
    </row>
    <row r="756" spans="1:8">
      <c r="C756" t="s">
        <v>495</v>
      </c>
      <c r="D756" s="165">
        <v>82.91</v>
      </c>
      <c r="E756" s="165">
        <v>82.91</v>
      </c>
      <c r="F756" s="165">
        <v>82.91</v>
      </c>
      <c r="G756" s="165">
        <v>82.91</v>
      </c>
      <c r="H756" s="165">
        <v>82.91</v>
      </c>
    </row>
    <row r="757" spans="1:8">
      <c r="C757" t="s">
        <v>496</v>
      </c>
      <c r="D757" s="171">
        <v>87.3</v>
      </c>
      <c r="E757" s="171">
        <v>77.290000000000006</v>
      </c>
      <c r="F757" s="171">
        <v>65.349999999999994</v>
      </c>
      <c r="G757" s="171">
        <v>91.62</v>
      </c>
      <c r="H757" s="171">
        <v>61.47</v>
      </c>
    </row>
    <row r="762" spans="1:8">
      <c r="A762" t="s">
        <v>157</v>
      </c>
    </row>
    <row r="822" spans="1:1">
      <c r="A822" t="s">
        <v>158</v>
      </c>
    </row>
    <row r="836" spans="1:7">
      <c r="A836" t="s">
        <v>174</v>
      </c>
      <c r="D836" s="170" t="s">
        <v>423</v>
      </c>
      <c r="E836" s="170" t="s">
        <v>420</v>
      </c>
      <c r="F836" s="170" t="s">
        <v>421</v>
      </c>
      <c r="G836" s="170" t="s">
        <v>422</v>
      </c>
    </row>
    <row r="837" spans="1:7" ht="15.75">
      <c r="C837" s="156" t="s">
        <v>181</v>
      </c>
      <c r="D837" s="157">
        <v>93.66</v>
      </c>
      <c r="E837" s="157">
        <v>88.03</v>
      </c>
      <c r="F837" s="157">
        <v>82.62</v>
      </c>
      <c r="G837" s="157">
        <v>65.010000000000005</v>
      </c>
    </row>
    <row r="838" spans="1:7" ht="15.75">
      <c r="C838" s="161" t="s">
        <v>182</v>
      </c>
      <c r="D838" s="157">
        <v>89.83</v>
      </c>
      <c r="E838" s="157">
        <v>83.54</v>
      </c>
      <c r="F838" s="157">
        <v>77.73</v>
      </c>
      <c r="G838" s="157">
        <v>61.02</v>
      </c>
    </row>
    <row r="839" spans="1:7" ht="15.75">
      <c r="C839" s="162" t="s">
        <v>180</v>
      </c>
      <c r="D839" s="157">
        <v>85.29</v>
      </c>
      <c r="E839" s="157">
        <v>79.36</v>
      </c>
      <c r="F839" s="157">
        <v>73.209999999999994</v>
      </c>
      <c r="G839" s="157">
        <v>61.49</v>
      </c>
    </row>
    <row r="840" spans="1:7" ht="15.75">
      <c r="C840" s="163" t="s">
        <v>196</v>
      </c>
      <c r="D840" s="157">
        <v>89.45</v>
      </c>
      <c r="E840" s="157">
        <v>84.49</v>
      </c>
      <c r="F840" s="157">
        <v>80.319999999999993</v>
      </c>
      <c r="G840" s="157">
        <v>67.36</v>
      </c>
    </row>
    <row r="841" spans="1:7" ht="15.75">
      <c r="C841" s="164" t="s">
        <v>490</v>
      </c>
      <c r="D841" s="159">
        <v>93.27</v>
      </c>
      <c r="E841" s="159">
        <v>88.22</v>
      </c>
      <c r="F841" s="159">
        <v>84</v>
      </c>
      <c r="G841" s="159">
        <v>70.72</v>
      </c>
    </row>
    <row r="842" spans="1:7">
      <c r="C842" t="s">
        <v>491</v>
      </c>
      <c r="D842" s="165">
        <v>90.42</v>
      </c>
      <c r="E842" s="165">
        <v>84.77</v>
      </c>
      <c r="F842" s="165">
        <v>79.48</v>
      </c>
      <c r="G842" s="165">
        <v>64.67</v>
      </c>
    </row>
    <row r="843" spans="1:7">
      <c r="C843" t="s">
        <v>492</v>
      </c>
      <c r="D843" s="166">
        <v>789</v>
      </c>
      <c r="E843" s="166">
        <v>283</v>
      </c>
      <c r="F843" s="166">
        <v>450</v>
      </c>
      <c r="G843" s="166">
        <v>317</v>
      </c>
    </row>
    <row r="844" spans="1:7">
      <c r="C844" t="s">
        <v>493</v>
      </c>
      <c r="D844" s="167" t="s">
        <v>215</v>
      </c>
      <c r="E844" s="167" t="s">
        <v>215</v>
      </c>
      <c r="F844" s="167" t="s">
        <v>215</v>
      </c>
      <c r="G844" s="167" t="s">
        <v>215</v>
      </c>
    </row>
    <row r="845" spans="1:7">
      <c r="C845" t="s">
        <v>494</v>
      </c>
      <c r="D845" s="168" t="s">
        <v>213</v>
      </c>
      <c r="E845" s="168" t="s">
        <v>213</v>
      </c>
      <c r="F845" s="168" t="s">
        <v>213</v>
      </c>
      <c r="G845" s="168" t="s">
        <v>213</v>
      </c>
    </row>
    <row r="846" spans="1:7">
      <c r="C846" t="s">
        <v>179</v>
      </c>
      <c r="D846" s="169" t="s">
        <v>423</v>
      </c>
      <c r="E846" s="169" t="s">
        <v>420</v>
      </c>
      <c r="F846" s="169" t="s">
        <v>421</v>
      </c>
      <c r="G846" s="169" t="s">
        <v>422</v>
      </c>
    </row>
    <row r="847" spans="1:7">
      <c r="C847" t="s">
        <v>495</v>
      </c>
      <c r="D847" s="165">
        <v>82.91</v>
      </c>
      <c r="E847" s="165">
        <v>82.91</v>
      </c>
      <c r="F847" s="165">
        <v>82.91</v>
      </c>
      <c r="G847" s="165">
        <v>82.91</v>
      </c>
    </row>
    <row r="848" spans="1:7">
      <c r="C848" t="s">
        <v>496</v>
      </c>
      <c r="D848" s="171">
        <v>93.54</v>
      </c>
      <c r="E848" s="171">
        <v>87.99</v>
      </c>
      <c r="F848" s="171">
        <v>81.739999999999995</v>
      </c>
      <c r="G848" s="171">
        <v>63.29</v>
      </c>
    </row>
    <row r="853" spans="1:1">
      <c r="A853" t="s">
        <v>478</v>
      </c>
    </row>
  </sheetData>
  <conditionalFormatting sqref="D76:D80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E76:E80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F76:F80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G76:G80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D137:H141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228:D232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228:E232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89:D293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89:H293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50:H354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81:H385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72:I476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33:J537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64:H568 J564:J568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55:G65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46:H750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37:G841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4:AJ504"/>
  <sheetViews>
    <sheetView topLeftCell="A488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497</v>
      </c>
    </row>
    <row r="160" spans="1:1">
      <c r="A160" t="s">
        <v>498</v>
      </c>
    </row>
    <row r="187" spans="1:1">
      <c r="A187" t="s">
        <v>499</v>
      </c>
    </row>
    <row r="213" spans="1:1">
      <c r="A213" t="s">
        <v>500</v>
      </c>
    </row>
    <row r="240" spans="1:1">
      <c r="A240" t="s">
        <v>501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90" t="s">
        <v>12</v>
      </c>
      <c r="E268" s="292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90"/>
      <c r="E269" s="293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90"/>
      <c r="E270" s="292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91"/>
      <c r="E271" s="293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90" t="s">
        <v>13</v>
      </c>
      <c r="E272" s="292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90"/>
      <c r="E273" s="292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90"/>
      <c r="E274" s="293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90"/>
      <c r="E275" s="292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90"/>
      <c r="E276" s="293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91"/>
      <c r="E277" s="194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90" t="s">
        <v>14</v>
      </c>
      <c r="E278" s="292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90"/>
      <c r="E279" s="292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90"/>
      <c r="E280" s="293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91"/>
      <c r="E281" s="194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88" t="s">
        <v>15</v>
      </c>
      <c r="E294" s="295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94"/>
      <c r="E295" s="296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94"/>
      <c r="E296" s="297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89"/>
      <c r="E297" s="296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88" t="s">
        <v>16</v>
      </c>
      <c r="E298" s="297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89"/>
      <c r="E299" s="296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88" t="s">
        <v>17</v>
      </c>
      <c r="E300" s="297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94"/>
      <c r="E301" s="297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94"/>
      <c r="E302" s="296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94"/>
      <c r="E303" s="297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94"/>
      <c r="E304" s="297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94"/>
      <c r="E305" s="297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89"/>
      <c r="E306" s="296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77" t="s">
        <v>18</v>
      </c>
      <c r="E321" s="298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77"/>
      <c r="E322" s="299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77"/>
      <c r="E323" s="300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78"/>
      <c r="E324" s="301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302" t="s">
        <v>19</v>
      </c>
      <c r="E325" s="302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303"/>
      <c r="E326" s="303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304"/>
      <c r="E327" s="304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6" t="s">
        <v>20</v>
      </c>
      <c r="E328" s="300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77"/>
      <c r="E329" s="299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77"/>
      <c r="E330" s="299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77"/>
      <c r="E331" s="299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78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305" t="s">
        <v>21</v>
      </c>
      <c r="E348" s="306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307"/>
      <c r="E349" s="308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305" t="s">
        <v>22</v>
      </c>
      <c r="E350" s="306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307"/>
      <c r="E351" s="308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305" t="s">
        <v>23</v>
      </c>
      <c r="E352" s="306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310"/>
      <c r="E353" s="311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310"/>
      <c r="E354" s="311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307"/>
      <c r="E355" s="308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312" t="s">
        <v>24</v>
      </c>
      <c r="E374" s="312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312"/>
      <c r="E375" s="312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313"/>
      <c r="E376" s="313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9" t="s">
        <v>25</v>
      </c>
      <c r="E377" s="317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80"/>
      <c r="E378" s="318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80"/>
      <c r="E379" s="317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81"/>
      <c r="E380" s="319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320" t="s">
        <v>26</v>
      </c>
      <c r="E381" s="320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312"/>
      <c r="E382" s="312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313"/>
      <c r="E383" s="313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42" t="s">
        <v>179</v>
      </c>
      <c r="N400" s="342"/>
      <c r="O400" s="195" t="s">
        <v>242</v>
      </c>
      <c r="P400" s="185">
        <v>2016</v>
      </c>
      <c r="Q400" s="185">
        <v>2015</v>
      </c>
      <c r="R400" s="185" t="s">
        <v>360</v>
      </c>
      <c r="S400" s="185" t="s">
        <v>243</v>
      </c>
      <c r="T400" s="185" t="s">
        <v>244</v>
      </c>
      <c r="U400" s="185" t="s">
        <v>361</v>
      </c>
    </row>
    <row r="401" spans="1:21" ht="20.100000000000001" customHeight="1">
      <c r="A401" t="s">
        <v>100</v>
      </c>
      <c r="M401" s="358" t="s">
        <v>34</v>
      </c>
      <c r="N401" s="355">
        <v>86</v>
      </c>
      <c r="O401" s="176" t="s">
        <v>12</v>
      </c>
      <c r="P401" s="175">
        <v>87</v>
      </c>
      <c r="Q401" s="175">
        <v>84</v>
      </c>
      <c r="R401" s="175">
        <v>89</v>
      </c>
      <c r="S401" s="175">
        <v>78</v>
      </c>
      <c r="T401" s="175">
        <v>-2</v>
      </c>
      <c r="U401" s="175">
        <v>9</v>
      </c>
    </row>
    <row r="402" spans="1:21" ht="20.100000000000001" customHeight="1">
      <c r="M402" s="359"/>
      <c r="N402" s="356"/>
      <c r="O402" s="176" t="s">
        <v>13</v>
      </c>
      <c r="P402" s="175">
        <v>86</v>
      </c>
      <c r="Q402" s="175">
        <v>82</v>
      </c>
      <c r="R402" s="175">
        <v>89</v>
      </c>
      <c r="S402" s="175">
        <v>80</v>
      </c>
      <c r="T402" s="175">
        <v>-3</v>
      </c>
      <c r="U402" s="175">
        <v>6</v>
      </c>
    </row>
    <row r="403" spans="1:21" ht="20.100000000000001" customHeight="1" thickBot="1">
      <c r="M403" s="360"/>
      <c r="N403" s="357"/>
      <c r="O403" s="183" t="s">
        <v>14</v>
      </c>
      <c r="P403" s="179">
        <v>86</v>
      </c>
      <c r="Q403" s="179">
        <v>82</v>
      </c>
      <c r="R403" s="179">
        <v>90</v>
      </c>
      <c r="S403" s="179">
        <v>79</v>
      </c>
      <c r="T403" s="179">
        <v>-4</v>
      </c>
      <c r="U403" s="179">
        <v>7</v>
      </c>
    </row>
    <row r="404" spans="1:21" ht="20.100000000000001" customHeight="1">
      <c r="M404" s="364" t="s">
        <v>41</v>
      </c>
      <c r="N404" s="361">
        <v>82</v>
      </c>
      <c r="O404" s="186" t="s">
        <v>15</v>
      </c>
      <c r="P404" s="187">
        <v>82</v>
      </c>
      <c r="Q404" s="187">
        <v>79</v>
      </c>
      <c r="R404" s="187">
        <v>89</v>
      </c>
      <c r="S404" s="187">
        <v>77</v>
      </c>
      <c r="T404" s="187">
        <v>-7</v>
      </c>
      <c r="U404" s="187">
        <v>5</v>
      </c>
    </row>
    <row r="405" spans="1:21" ht="20.100000000000001" customHeight="1">
      <c r="M405" s="365"/>
      <c r="N405" s="362"/>
      <c r="O405" s="186" t="s">
        <v>16</v>
      </c>
      <c r="P405" s="187">
        <v>81</v>
      </c>
      <c r="Q405" s="187">
        <v>77</v>
      </c>
      <c r="R405" s="187">
        <v>87</v>
      </c>
      <c r="S405" s="187">
        <v>73</v>
      </c>
      <c r="T405" s="187">
        <v>-6</v>
      </c>
      <c r="U405" s="187">
        <v>8</v>
      </c>
    </row>
    <row r="406" spans="1:21" ht="20.100000000000001" customHeight="1" thickBot="1">
      <c r="M406" s="366"/>
      <c r="N406" s="363"/>
      <c r="O406" s="188" t="s">
        <v>17</v>
      </c>
      <c r="P406" s="189">
        <v>81</v>
      </c>
      <c r="Q406" s="189">
        <v>77</v>
      </c>
      <c r="R406" s="189">
        <v>89</v>
      </c>
      <c r="S406" s="189">
        <v>78</v>
      </c>
      <c r="T406" s="189">
        <v>-8</v>
      </c>
      <c r="U406" s="189">
        <v>3</v>
      </c>
    </row>
    <row r="407" spans="1:21" ht="20.100000000000001" customHeight="1">
      <c r="M407" s="370" t="s">
        <v>48</v>
      </c>
      <c r="N407" s="367">
        <v>78</v>
      </c>
      <c r="O407" s="177" t="s">
        <v>18</v>
      </c>
      <c r="P407" s="175">
        <v>69</v>
      </c>
      <c r="Q407" s="175">
        <v>63</v>
      </c>
      <c r="R407" s="175">
        <v>77</v>
      </c>
      <c r="S407" s="175">
        <v>65</v>
      </c>
      <c r="T407" s="175">
        <v>-8</v>
      </c>
      <c r="U407" s="175">
        <v>4</v>
      </c>
    </row>
    <row r="408" spans="1:21" ht="20.100000000000001" customHeight="1">
      <c r="M408" s="371"/>
      <c r="N408" s="368"/>
      <c r="O408" s="177" t="s">
        <v>19</v>
      </c>
      <c r="P408" s="175">
        <v>68</v>
      </c>
      <c r="Q408" s="175">
        <v>62</v>
      </c>
      <c r="R408" s="175">
        <v>78</v>
      </c>
      <c r="S408" s="175">
        <v>64</v>
      </c>
      <c r="T408" s="175">
        <v>-10</v>
      </c>
      <c r="U408" s="175">
        <v>4</v>
      </c>
    </row>
    <row r="409" spans="1:21" ht="20.100000000000001" customHeight="1" thickBot="1">
      <c r="M409" s="372"/>
      <c r="N409" s="369"/>
      <c r="O409" s="184" t="s">
        <v>20</v>
      </c>
      <c r="P409" s="180">
        <v>91</v>
      </c>
      <c r="Q409" s="180">
        <v>89</v>
      </c>
      <c r="R409" s="180">
        <v>96</v>
      </c>
      <c r="S409" s="180">
        <v>91</v>
      </c>
      <c r="T409" s="180">
        <v>-5</v>
      </c>
      <c r="U409" s="180">
        <v>0</v>
      </c>
    </row>
    <row r="410" spans="1:21" ht="20.100000000000001" customHeight="1">
      <c r="M410" s="346" t="s">
        <v>55</v>
      </c>
      <c r="N410" s="343">
        <v>83</v>
      </c>
      <c r="O410" s="190" t="s">
        <v>21</v>
      </c>
      <c r="P410" s="187">
        <v>81</v>
      </c>
      <c r="Q410" s="187">
        <v>76</v>
      </c>
      <c r="R410" s="187">
        <v>88</v>
      </c>
      <c r="S410" s="187">
        <v>77</v>
      </c>
      <c r="T410" s="187">
        <v>-7</v>
      </c>
      <c r="U410" s="187">
        <v>4</v>
      </c>
    </row>
    <row r="411" spans="1:21" ht="20.100000000000001" customHeight="1">
      <c r="M411" s="347"/>
      <c r="N411" s="344"/>
      <c r="O411" s="190" t="s">
        <v>22</v>
      </c>
      <c r="P411" s="187">
        <v>84</v>
      </c>
      <c r="Q411" s="187">
        <v>79</v>
      </c>
      <c r="R411" s="187">
        <v>91</v>
      </c>
      <c r="S411" s="187">
        <v>80</v>
      </c>
      <c r="T411" s="187">
        <v>-7</v>
      </c>
      <c r="U411" s="187">
        <v>4</v>
      </c>
    </row>
    <row r="412" spans="1:21" ht="20.100000000000001" customHeight="1" thickBot="1">
      <c r="M412" s="348"/>
      <c r="N412" s="345"/>
      <c r="O412" s="191" t="s">
        <v>23</v>
      </c>
      <c r="P412" s="192">
        <v>84</v>
      </c>
      <c r="Q412" s="192">
        <v>79</v>
      </c>
      <c r="R412" s="192">
        <v>91</v>
      </c>
      <c r="S412" s="192">
        <v>82</v>
      </c>
      <c r="T412" s="192">
        <v>-7</v>
      </c>
      <c r="U412" s="192">
        <v>2</v>
      </c>
    </row>
    <row r="413" spans="1:21" ht="20.100000000000001" customHeight="1">
      <c r="M413" s="352" t="s">
        <v>192</v>
      </c>
      <c r="N413" s="349">
        <v>86</v>
      </c>
      <c r="O413" s="178" t="s">
        <v>24</v>
      </c>
      <c r="P413" s="175">
        <v>87</v>
      </c>
      <c r="Q413" s="175">
        <v>83</v>
      </c>
      <c r="R413" s="175">
        <v>93</v>
      </c>
      <c r="S413" s="175">
        <v>84</v>
      </c>
      <c r="T413" s="175">
        <v>-6</v>
      </c>
      <c r="U413" s="175">
        <v>3</v>
      </c>
    </row>
    <row r="414" spans="1:21" ht="20.100000000000001" customHeight="1">
      <c r="M414" s="353"/>
      <c r="N414" s="350"/>
      <c r="O414" s="178" t="s">
        <v>25</v>
      </c>
      <c r="P414" s="175">
        <v>88</v>
      </c>
      <c r="Q414" s="175">
        <v>84</v>
      </c>
      <c r="R414" s="175">
        <v>94</v>
      </c>
      <c r="S414" s="175">
        <v>86</v>
      </c>
      <c r="T414" s="175">
        <v>-6</v>
      </c>
      <c r="U414" s="175">
        <v>2</v>
      </c>
    </row>
    <row r="415" spans="1:21" ht="20.100000000000001" customHeight="1" thickBot="1">
      <c r="M415" s="354"/>
      <c r="N415" s="351"/>
      <c r="O415" s="182" t="s">
        <v>26</v>
      </c>
      <c r="P415" s="181">
        <v>82</v>
      </c>
      <c r="Q415" s="181">
        <v>78</v>
      </c>
      <c r="R415" s="181">
        <v>90</v>
      </c>
      <c r="S415" s="181">
        <v>78</v>
      </c>
      <c r="T415" s="181">
        <v>-8</v>
      </c>
      <c r="U415" s="181">
        <v>4</v>
      </c>
    </row>
    <row r="442" spans="1:9">
      <c r="A442" t="s">
        <v>502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D374:E376"/>
    <mergeCell ref="D377:D380"/>
    <mergeCell ref="E377:E378"/>
    <mergeCell ref="E379:E380"/>
    <mergeCell ref="D381:E383"/>
    <mergeCell ref="M400:N400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148" priority="94">
      <formula>H268=""</formula>
    </cfRule>
    <cfRule type="expression" dxfId="147" priority="95">
      <formula>H268&lt;44.5</formula>
    </cfRule>
    <cfRule type="expression" dxfId="146" priority="96">
      <formula>H268&lt;60.5</formula>
    </cfRule>
    <cfRule type="expression" dxfId="145" priority="97">
      <formula>H268&lt;85.5</formula>
    </cfRule>
    <cfRule type="expression" dxfId="144" priority="98">
      <formula>H268&gt;85.5</formula>
    </cfRule>
  </conditionalFormatting>
  <conditionalFormatting sqref="J268:K281 H268:H281">
    <cfRule type="expression" dxfId="143" priority="89">
      <formula>H268=""</formula>
    </cfRule>
    <cfRule type="expression" dxfId="142" priority="90">
      <formula>H268&lt;44.5</formula>
    </cfRule>
    <cfRule type="expression" dxfId="141" priority="91">
      <formula>H268&lt;60.5</formula>
    </cfRule>
    <cfRule type="expression" dxfId="140" priority="92">
      <formula>H268&lt;85.5</formula>
    </cfRule>
    <cfRule type="expression" dxfId="139" priority="93">
      <formula>H268&gt;85.5</formula>
    </cfRule>
  </conditionalFormatting>
  <conditionalFormatting sqref="I268:I281">
    <cfRule type="expression" dxfId="138" priority="84">
      <formula>I268=""</formula>
    </cfRule>
    <cfRule type="expression" dxfId="137" priority="85">
      <formula>I268&lt;44.5</formula>
    </cfRule>
    <cfRule type="expression" dxfId="136" priority="86">
      <formula>I268&lt;60.5</formula>
    </cfRule>
    <cfRule type="expression" dxfId="135" priority="87">
      <formula>I268&lt;85.5</formula>
    </cfRule>
    <cfRule type="expression" dxfId="134" priority="88">
      <formula>I268&gt;85.5</formula>
    </cfRule>
  </conditionalFormatting>
  <conditionalFormatting sqref="I268:I281">
    <cfRule type="expression" dxfId="133" priority="79">
      <formula>I268=""</formula>
    </cfRule>
    <cfRule type="expression" dxfId="132" priority="80">
      <formula>I268&lt;44.5</formula>
    </cfRule>
    <cfRule type="expression" dxfId="131" priority="81">
      <formula>I268&lt;60.5</formula>
    </cfRule>
    <cfRule type="expression" dxfId="130" priority="82">
      <formula>I268&lt;85.5</formula>
    </cfRule>
    <cfRule type="expression" dxfId="129" priority="83">
      <formula>I268&gt;85.5</formula>
    </cfRule>
  </conditionalFormatting>
  <conditionalFormatting sqref="H294:H306">
    <cfRule type="expression" dxfId="128" priority="74">
      <formula>H294=""</formula>
    </cfRule>
    <cfRule type="expression" dxfId="127" priority="75">
      <formula>H294&lt;44.5</formula>
    </cfRule>
    <cfRule type="expression" dxfId="126" priority="76">
      <formula>H294&lt;60.5</formula>
    </cfRule>
    <cfRule type="expression" dxfId="125" priority="77">
      <formula>H294&lt;85.5</formula>
    </cfRule>
    <cfRule type="expression" dxfId="124" priority="78">
      <formula>H294&gt;85.5</formula>
    </cfRule>
  </conditionalFormatting>
  <conditionalFormatting sqref="J294:K306">
    <cfRule type="expression" dxfId="123" priority="69">
      <formula>J294=""</formula>
    </cfRule>
    <cfRule type="expression" dxfId="122" priority="70">
      <formula>J294&lt;44.5</formula>
    </cfRule>
    <cfRule type="expression" dxfId="121" priority="71">
      <formula>J294&lt;60.5</formula>
    </cfRule>
    <cfRule type="expression" dxfId="120" priority="72">
      <formula>J294&lt;85.5</formula>
    </cfRule>
    <cfRule type="expression" dxfId="119" priority="73">
      <formula>J294&gt;85.5</formula>
    </cfRule>
  </conditionalFormatting>
  <conditionalFormatting sqref="I294:I306">
    <cfRule type="expression" dxfId="118" priority="64">
      <formula>I294=""</formula>
    </cfRule>
    <cfRule type="expression" dxfId="117" priority="65">
      <formula>I294&lt;44.5</formula>
    </cfRule>
    <cfRule type="expression" dxfId="116" priority="66">
      <formula>I294&lt;60.5</formula>
    </cfRule>
    <cfRule type="expression" dxfId="115" priority="67">
      <formula>I294&lt;85.5</formula>
    </cfRule>
    <cfRule type="expression" dxfId="114" priority="68">
      <formula>I294&gt;85.5</formula>
    </cfRule>
  </conditionalFormatting>
  <conditionalFormatting sqref="H321:H332">
    <cfRule type="expression" dxfId="113" priority="59">
      <formula>H321=""</formula>
    </cfRule>
    <cfRule type="expression" dxfId="112" priority="60">
      <formula>H321&lt;44.5</formula>
    </cfRule>
    <cfRule type="expression" dxfId="111" priority="61">
      <formula>H321&lt;60.5</formula>
    </cfRule>
    <cfRule type="expression" dxfId="110" priority="62">
      <formula>H321&lt;85.5</formula>
    </cfRule>
    <cfRule type="expression" dxfId="109" priority="63">
      <formula>H321&gt;85.5</formula>
    </cfRule>
  </conditionalFormatting>
  <conditionalFormatting sqref="J321:K332">
    <cfRule type="expression" dxfId="108" priority="54">
      <formula>J321=""</formula>
    </cfRule>
    <cfRule type="expression" dxfId="107" priority="55">
      <formula>J321&lt;44.5</formula>
    </cfRule>
    <cfRule type="expression" dxfId="106" priority="56">
      <formula>J321&lt;60.5</formula>
    </cfRule>
    <cfRule type="expression" dxfId="105" priority="57">
      <formula>J321&lt;85.5</formula>
    </cfRule>
    <cfRule type="expression" dxfId="104" priority="58">
      <formula>J321&gt;85.5</formula>
    </cfRule>
  </conditionalFormatting>
  <conditionalFormatting sqref="I321:I332">
    <cfRule type="expression" dxfId="103" priority="49">
      <formula>I321=""</formula>
    </cfRule>
    <cfRule type="expression" dxfId="102" priority="50">
      <formula>I321&lt;44.5</formula>
    </cfRule>
    <cfRule type="expression" dxfId="101" priority="51">
      <formula>I321&lt;60.5</formula>
    </cfRule>
    <cfRule type="expression" dxfId="100" priority="52">
      <formula>I321&lt;85.5</formula>
    </cfRule>
    <cfRule type="expression" dxfId="99" priority="53">
      <formula>I321&gt;85.5</formula>
    </cfRule>
  </conditionalFormatting>
  <conditionalFormatting sqref="H348:H355">
    <cfRule type="expression" dxfId="98" priority="44">
      <formula>H348=""</formula>
    </cfRule>
    <cfRule type="expression" dxfId="97" priority="45">
      <formula>H348&lt;44.5</formula>
    </cfRule>
    <cfRule type="expression" dxfId="96" priority="46">
      <formula>H348&lt;60.5</formula>
    </cfRule>
    <cfRule type="expression" dxfId="95" priority="47">
      <formula>H348&lt;85.5</formula>
    </cfRule>
    <cfRule type="expression" dxfId="94" priority="48">
      <formula>H348&gt;85.5</formula>
    </cfRule>
  </conditionalFormatting>
  <conditionalFormatting sqref="J348:K355">
    <cfRule type="expression" dxfId="93" priority="39">
      <formula>J348=""</formula>
    </cfRule>
    <cfRule type="expression" dxfId="92" priority="40">
      <formula>J348&lt;44.5</formula>
    </cfRule>
    <cfRule type="expression" dxfId="91" priority="41">
      <formula>J348&lt;60.5</formula>
    </cfRule>
    <cfRule type="expression" dxfId="90" priority="42">
      <formula>J348&lt;85.5</formula>
    </cfRule>
    <cfRule type="expression" dxfId="89" priority="43">
      <formula>J348&gt;85.5</formula>
    </cfRule>
  </conditionalFormatting>
  <conditionalFormatting sqref="I348:I355">
    <cfRule type="expression" dxfId="88" priority="34">
      <formula>I348=""</formula>
    </cfRule>
    <cfRule type="expression" dxfId="87" priority="35">
      <formula>I348&lt;44.5</formula>
    </cfRule>
    <cfRule type="expression" dxfId="86" priority="36">
      <formula>I348&lt;60.5</formula>
    </cfRule>
    <cfRule type="expression" dxfId="85" priority="37">
      <formula>I348&lt;85.5</formula>
    </cfRule>
    <cfRule type="expression" dxfId="84" priority="38">
      <formula>I348&gt;85.5</formula>
    </cfRule>
  </conditionalFormatting>
  <conditionalFormatting sqref="H374:H383">
    <cfRule type="expression" dxfId="83" priority="29">
      <formula>H374=""</formula>
    </cfRule>
    <cfRule type="expression" dxfId="82" priority="30">
      <formula>H374&lt;44.5</formula>
    </cfRule>
    <cfRule type="expression" dxfId="81" priority="31">
      <formula>H374&lt;60.5</formula>
    </cfRule>
    <cfRule type="expression" dxfId="80" priority="32">
      <formula>H374&lt;85.5</formula>
    </cfRule>
    <cfRule type="expression" dxfId="79" priority="33">
      <formula>H374&gt;85.5</formula>
    </cfRule>
  </conditionalFormatting>
  <conditionalFormatting sqref="J374:K383">
    <cfRule type="expression" dxfId="78" priority="24">
      <formula>J374=""</formula>
    </cfRule>
    <cfRule type="expression" dxfId="77" priority="25">
      <formula>J374&lt;44.5</formula>
    </cfRule>
    <cfRule type="expression" dxfId="76" priority="26">
      <formula>J374&lt;60.5</formula>
    </cfRule>
    <cfRule type="expression" dxfId="75" priority="27">
      <formula>J374&lt;85.5</formula>
    </cfRule>
    <cfRule type="expression" dxfId="74" priority="28">
      <formula>J374&gt;85.5</formula>
    </cfRule>
  </conditionalFormatting>
  <conditionalFormatting sqref="I374:I383">
    <cfRule type="expression" dxfId="73" priority="19">
      <formula>I374=""</formula>
    </cfRule>
    <cfRule type="expression" dxfId="72" priority="20">
      <formula>I374&lt;44.5</formula>
    </cfRule>
    <cfRule type="expression" dxfId="71" priority="21">
      <formula>I374&lt;60.5</formula>
    </cfRule>
    <cfRule type="expression" dxfId="70" priority="22">
      <formula>I374&lt;85.5</formula>
    </cfRule>
    <cfRule type="expression" dxfId="69" priority="23">
      <formula>I374&gt;85.5</formula>
    </cfRule>
  </conditionalFormatting>
  <conditionalFormatting sqref="H442:H448">
    <cfRule type="expression" dxfId="68" priority="14">
      <formula>H442=""</formula>
    </cfRule>
    <cfRule type="expression" dxfId="67" priority="15">
      <formula>H442&lt;44.5</formula>
    </cfRule>
    <cfRule type="expression" dxfId="66" priority="16">
      <formula>H442&lt;60.5</formula>
    </cfRule>
    <cfRule type="expression" dxfId="65" priority="17">
      <formula>H442&lt;85.5</formula>
    </cfRule>
    <cfRule type="expression" dxfId="64" priority="18">
      <formula>H442&gt;85.5</formula>
    </cfRule>
  </conditionalFormatting>
  <conditionalFormatting sqref="I442:I446">
    <cfRule type="expression" dxfId="63" priority="9">
      <formula>I442=""</formula>
    </cfRule>
    <cfRule type="expression" dxfId="62" priority="10">
      <formula>I442&lt;44.5</formula>
    </cfRule>
    <cfRule type="expression" dxfId="61" priority="11">
      <formula>I442&lt;60.5</formula>
    </cfRule>
    <cfRule type="expression" dxfId="60" priority="12">
      <formula>I442&lt;85.5</formula>
    </cfRule>
    <cfRule type="expression" dxfId="59" priority="13">
      <formula>I442&gt;85.5</formula>
    </cfRule>
  </conditionalFormatting>
  <conditionalFormatting sqref="E468 C468">
    <cfRule type="expression" dxfId="58" priority="6">
      <formula>$C468="IMPARCIALIDAD"</formula>
    </cfRule>
  </conditionalFormatting>
  <conditionalFormatting sqref="E468:E477 C468:C477">
    <cfRule type="expression" dxfId="57" priority="7">
      <formula>$C468="RESPETO"</formula>
    </cfRule>
    <cfRule type="expression" dxfId="56" priority="8">
      <formula>$C468="CREDIBILIDAD"</formula>
    </cfRule>
  </conditionalFormatting>
  <conditionalFormatting sqref="D468">
    <cfRule type="expression" dxfId="55" priority="4">
      <formula>$C468="IMPARCIALIDAD"</formula>
    </cfRule>
  </conditionalFormatting>
  <conditionalFormatting sqref="D468:D477">
    <cfRule type="expression" dxfId="54" priority="5">
      <formula>$C468="RESPETO"</formula>
    </cfRule>
  </conditionalFormatting>
  <conditionalFormatting sqref="E495:E504 C495:C504">
    <cfRule type="expression" dxfId="53" priority="2">
      <formula>$C495="RESPETO"</formula>
    </cfRule>
    <cfRule type="expression" dxfId="52" priority="3">
      <formula>$C495="CREDIBILIDAD"</formula>
    </cfRule>
  </conditionalFormatting>
  <conditionalFormatting sqref="D495:D504">
    <cfRule type="expression" dxfId="51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2017-07-07T05:18:59Z</dcterms:modified>
</cp:coreProperties>
</file>